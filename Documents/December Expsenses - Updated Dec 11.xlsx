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119" documentId="8_{83534F6B-0B5B-4741-8FB8-5C75C4F94161}" xr6:coauthVersionLast="46" xr6:coauthVersionMax="46" xr10:uidLastSave="{BCFD7DBD-837B-A74D-B52A-36C8863C246C}"/>
  <bookViews>
    <workbookView xWindow="0" yWindow="460" windowWidth="25600" windowHeight="13660" xr2:uid="{3DB7E417-26B5-41DE-B387-19C723B8C47E}"/>
  </bookViews>
  <sheets>
    <sheet name="Sheet1" sheetId="1" r:id="rId1"/>
  </sheets>
  <definedNames>
    <definedName name="_xlcn.WorksheetConnection_DecemberExpsensesUpdatedDec9.xlsxTable11" hidden="1">Sheet1!$A$1:$H$19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Sheet1!$A$1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ecember Expsenses - Updated Dec 9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F4" i="1"/>
  <c r="A20" i="1"/>
  <c r="B20" i="1"/>
  <c r="C20" i="1"/>
  <c r="D20" i="1"/>
  <c r="E20" i="1"/>
  <c r="F20" i="1"/>
  <c r="G20" i="1"/>
  <c r="H20" i="1"/>
  <c r="F11" i="1"/>
  <c r="F2" i="1" l="1"/>
  <c r="F6" i="1"/>
  <c r="F7" i="1"/>
  <c r="F8" i="1"/>
  <c r="F9" i="1"/>
  <c r="F10" i="1"/>
  <c r="F12" i="1"/>
  <c r="F13" i="1"/>
  <c r="F14" i="1"/>
  <c r="F15" i="1"/>
  <c r="F17" i="1"/>
  <c r="F18" i="1"/>
  <c r="F19" i="1"/>
  <c r="F3" i="1"/>
  <c r="F5" i="1"/>
  <c r="H5" i="1" l="1"/>
  <c r="H19" i="1"/>
  <c r="H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3E0291-6375-41E3-A7E3-D7AFF58DD715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7BD7537-2E43-4FA9-9E99-A88CD4A56E95}" name="WorksheetConnection_December Expsenses - Updated Dec 9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DecemberExpsensesUpdatedDec9.xlsxTable11"/>
        </x15:connection>
      </ext>
    </extLst>
  </connection>
</connections>
</file>

<file path=xl/sharedStrings.xml><?xml version="1.0" encoding="utf-8"?>
<sst xmlns="http://schemas.openxmlformats.org/spreadsheetml/2006/main" count="39" uniqueCount="38">
  <si>
    <t xml:space="preserve">Due Date </t>
  </si>
  <si>
    <t>Total Cost</t>
  </si>
  <si>
    <t>Payment Made</t>
  </si>
  <si>
    <t>PMT Date</t>
  </si>
  <si>
    <t xml:space="preserve">Balance </t>
  </si>
  <si>
    <t xml:space="preserve">Notes </t>
  </si>
  <si>
    <t xml:space="preserve">Parking </t>
  </si>
  <si>
    <t xml:space="preserve">Paid with Check </t>
  </si>
  <si>
    <t xml:space="preserve">Food Store </t>
  </si>
  <si>
    <t>Overnight Parking</t>
  </si>
  <si>
    <t xml:space="preserve">Expense </t>
  </si>
  <si>
    <t>Milk, Eggs, Bread, Lettuce</t>
  </si>
  <si>
    <t>TJ MAXX</t>
  </si>
  <si>
    <t>Debt Payment</t>
  </si>
  <si>
    <t>Xmas Tips</t>
  </si>
  <si>
    <t>LinkedIn</t>
  </si>
  <si>
    <t>Lowest Amount Possible with staff of 20 based on articles framework</t>
  </si>
  <si>
    <t>Haircut</t>
  </si>
  <si>
    <t>Gym</t>
  </si>
  <si>
    <t>Really missing the gym since it closed in my building. I found a gym for $30 somewhat close. Did a week trial and liked it a good amount</t>
  </si>
  <si>
    <t>Kevin, JR &amp; I are suppose to exchange gifts + Ocsana said she already got me a gift (not sure how to handle either situation.</t>
  </si>
  <si>
    <t>Xmas Gifts</t>
  </si>
  <si>
    <t>Subway</t>
  </si>
  <si>
    <t>To and Front Interviews</t>
  </si>
  <si>
    <t>Date 12/12</t>
  </si>
  <si>
    <t>Group Total</t>
  </si>
  <si>
    <t>Automatically get withdrawn from my account just after midnight of the 14th</t>
  </si>
  <si>
    <t>Paid $100  with left over from Check</t>
  </si>
  <si>
    <t>Traffic kept me from being able to return early enough where I could unload and get back to the garage by midnight</t>
  </si>
  <si>
    <t>Needs attention for coming interviews</t>
  </si>
  <si>
    <t xml:space="preserve">Hearing Doctor </t>
  </si>
  <si>
    <t>Utility Bills</t>
  </si>
  <si>
    <t xml:space="preserve">Frame for the picture Grammy got me for Xmas </t>
  </si>
  <si>
    <t xml:space="preserve">Expired, so I don’t have access to LinkedIn learning/it look bizarre for any recruiter whose working to not have the premium account and have it publicly visible that they are a premium member. </t>
  </si>
  <si>
    <t>Dinner Green key (Mike)</t>
  </si>
  <si>
    <t xml:space="preserve">Ocsana is really pressuring me about going to this christmas light show on saterday. Would like honest advice on the feasibility of me continuing our relationship. I really like her but can't afford it and have run out excuses to aviod seeing her because I dont have the money. </t>
  </si>
  <si>
    <t xml:space="preserve">JR formers boss wants to get dinner Friday night or Monday of next weekend to give me some guidance moving forward. He's a current employee at Green key and has been incredibly help the last 3 days since I met him. He also is not aware that I'm not working. Realistically I would offer to pay for his to in light of help but just coving mine is a manageable obstacle. </t>
  </si>
  <si>
    <t>Planet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</si>
</sst>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trike/>
      <sz val="11"/>
      <color rgb="FF006100"/>
      <name val="Calibri"/>
      <family val="2"/>
      <scheme val="minor"/>
    </font>
    <font>
      <strike/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44" fontId="0" fillId="0" borderId="0" xfId="0" applyNumberFormat="1"/>
    <xf numFmtId="44" fontId="4" fillId="4" borderId="1" xfId="3" applyNumberFormat="1"/>
    <xf numFmtId="14" fontId="7" fillId="3" borderId="2" xfId="2" applyNumberFormat="1" applyFont="1" applyFill="1" applyBorder="1"/>
    <xf numFmtId="44" fontId="3" fillId="3" borderId="3" xfId="2" applyNumberFormat="1" applyFont="1" applyFill="1" applyBorder="1"/>
    <xf numFmtId="14" fontId="3" fillId="3" borderId="3" xfId="2" applyNumberFormat="1" applyFont="1" applyFill="1" applyBorder="1"/>
    <xf numFmtId="14" fontId="9" fillId="4" borderId="5" xfId="3" applyNumberFormat="1" applyFont="1" applyFill="1" applyBorder="1"/>
    <xf numFmtId="44" fontId="4" fillId="4" borderId="5" xfId="3" applyNumberFormat="1" applyFont="1" applyFill="1" applyBorder="1"/>
    <xf numFmtId="14" fontId="4" fillId="4" borderId="5" xfId="3" applyNumberFormat="1" applyFont="1" applyFill="1" applyBorder="1"/>
    <xf numFmtId="44" fontId="7" fillId="3" borderId="4" xfId="2" applyNumberFormat="1" applyFont="1" applyFill="1" applyBorder="1"/>
    <xf numFmtId="44" fontId="6" fillId="5" borderId="6" xfId="4" applyNumberFormat="1" applyFill="1" applyBorder="1"/>
    <xf numFmtId="44" fontId="3" fillId="3" borderId="4" xfId="2" applyNumberFormat="1" applyBorder="1"/>
    <xf numFmtId="14" fontId="6" fillId="0" borderId="2" xfId="4" applyNumberFormat="1" applyBorder="1"/>
    <xf numFmtId="44" fontId="6" fillId="0" borderId="3" xfId="4" applyNumberFormat="1" applyBorder="1"/>
    <xf numFmtId="14" fontId="6" fillId="0" borderId="3" xfId="4" applyNumberFormat="1" applyBorder="1"/>
    <xf numFmtId="44" fontId="6" fillId="0" borderId="4" xfId="4" applyNumberFormat="1" applyBorder="1"/>
    <xf numFmtId="14" fontId="6" fillId="7" borderId="2" xfId="4" applyNumberFormat="1" applyFill="1" applyBorder="1"/>
    <xf numFmtId="44" fontId="6" fillId="7" borderId="3" xfId="4" applyNumberFormat="1" applyFill="1" applyBorder="1"/>
    <xf numFmtId="14" fontId="6" fillId="7" borderId="3" xfId="4" applyNumberFormat="1" applyFill="1" applyBorder="1"/>
    <xf numFmtId="44" fontId="6" fillId="7" borderId="4" xfId="4" applyNumberFormat="1" applyFill="1" applyBorder="1"/>
    <xf numFmtId="49" fontId="3" fillId="3" borderId="3" xfId="2" applyNumberFormat="1" applyFont="1" applyFill="1" applyBorder="1"/>
    <xf numFmtId="49" fontId="4" fillId="4" borderId="5" xfId="3" applyNumberFormat="1" applyFont="1" applyFill="1" applyBorder="1"/>
    <xf numFmtId="49" fontId="0" fillId="0" borderId="0" xfId="0" applyNumberFormat="1"/>
    <xf numFmtId="49" fontId="6" fillId="0" borderId="3" xfId="4" applyNumberFormat="1" applyBorder="1"/>
    <xf numFmtId="49" fontId="6" fillId="7" borderId="3" xfId="4" applyNumberFormat="1" applyFill="1" applyBorder="1"/>
    <xf numFmtId="49" fontId="3" fillId="3" borderId="3" xfId="2" applyNumberFormat="1" applyFont="1" applyFill="1" applyBorder="1" applyAlignment="1">
      <alignment wrapText="1"/>
    </xf>
    <xf numFmtId="49" fontId="4" fillId="4" borderId="5" xfId="3" applyNumberFormat="1" applyFont="1" applyFill="1" applyBorder="1" applyAlignment="1">
      <alignment wrapText="1"/>
    </xf>
    <xf numFmtId="49" fontId="6" fillId="0" borderId="3" xfId="4" applyNumberFormat="1" applyBorder="1" applyAlignment="1">
      <alignment wrapText="1"/>
    </xf>
    <xf numFmtId="49" fontId="6" fillId="7" borderId="3" xfId="4" applyNumberFormat="1" applyFill="1" applyBorder="1" applyAlignment="1">
      <alignment wrapText="1"/>
    </xf>
    <xf numFmtId="49" fontId="0" fillId="0" borderId="0" xfId="0" applyNumberFormat="1" applyAlignment="1">
      <alignment wrapText="1"/>
    </xf>
    <xf numFmtId="14" fontId="10" fillId="2" borderId="2" xfId="1" applyNumberFormat="1" applyFont="1" applyFill="1" applyBorder="1"/>
    <xf numFmtId="49" fontId="11" fillId="2" borderId="3" xfId="1" applyNumberFormat="1" applyFont="1" applyFill="1" applyBorder="1"/>
    <xf numFmtId="44" fontId="11" fillId="2" borderId="3" xfId="1" applyNumberFormat="1" applyFont="1" applyFill="1" applyBorder="1"/>
    <xf numFmtId="14" fontId="11" fillId="2" borderId="3" xfId="1" applyNumberFormat="1" applyFont="1" applyFill="1" applyBorder="1"/>
    <xf numFmtId="49" fontId="11" fillId="2" borderId="3" xfId="1" applyNumberFormat="1" applyFont="1" applyFill="1" applyBorder="1" applyAlignment="1">
      <alignment wrapText="1"/>
    </xf>
    <xf numFmtId="44" fontId="11" fillId="2" borderId="4" xfId="1" applyNumberFormat="1" applyFont="1" applyBorder="1"/>
    <xf numFmtId="14" fontId="5" fillId="6" borderId="7" xfId="0" applyNumberFormat="1" applyFont="1" applyFill="1" applyBorder="1"/>
    <xf numFmtId="49" fontId="5" fillId="6" borderId="0" xfId="0" applyNumberFormat="1" applyFont="1" applyFill="1" applyBorder="1"/>
    <xf numFmtId="44" fontId="5" fillId="6" borderId="0" xfId="0" applyNumberFormat="1" applyFont="1" applyFill="1" applyBorder="1"/>
    <xf numFmtId="14" fontId="5" fillId="6" borderId="0" xfId="0" applyNumberFormat="1" applyFont="1" applyFill="1" applyBorder="1"/>
    <xf numFmtId="49" fontId="5" fillId="6" borderId="0" xfId="0" applyNumberFormat="1" applyFont="1" applyFill="1" applyBorder="1" applyAlignment="1">
      <alignment wrapText="1"/>
    </xf>
    <xf numFmtId="44" fontId="5" fillId="6" borderId="8" xfId="0" applyNumberFormat="1" applyFont="1" applyFill="1" applyBorder="1"/>
    <xf numFmtId="0" fontId="0" fillId="0" borderId="10" xfId="0" applyBorder="1"/>
    <xf numFmtId="44" fontId="0" fillId="0" borderId="11" xfId="0" applyNumberFormat="1" applyBorder="1"/>
    <xf numFmtId="14" fontId="8" fillId="2" borderId="0" xfId="1" applyNumberFormat="1" applyFont="1"/>
    <xf numFmtId="49" fontId="8" fillId="2" borderId="0" xfId="1" applyNumberFormat="1" applyFont="1"/>
    <xf numFmtId="44" fontId="8" fillId="2" borderId="0" xfId="1" applyNumberFormat="1" applyFont="1"/>
    <xf numFmtId="14" fontId="2" fillId="2" borderId="5" xfId="1" applyNumberFormat="1" applyBorder="1"/>
    <xf numFmtId="49" fontId="2" fillId="2" borderId="5" xfId="1" applyNumberFormat="1" applyBorder="1"/>
    <xf numFmtId="44" fontId="2" fillId="2" borderId="5" xfId="1" applyNumberFormat="1" applyBorder="1"/>
    <xf numFmtId="49" fontId="2" fillId="2" borderId="5" xfId="1" applyNumberFormat="1" applyBorder="1" applyAlignment="1">
      <alignment wrapText="1"/>
    </xf>
    <xf numFmtId="44" fontId="2" fillId="2" borderId="1" xfId="1" applyNumberFormat="1" applyBorder="1"/>
    <xf numFmtId="14" fontId="0" fillId="0" borderId="9" xfId="0" applyNumberFormat="1" applyBorder="1"/>
  </cellXfs>
  <cellStyles count="5">
    <cellStyle name="Bad" xfId="2" builtinId="27"/>
    <cellStyle name="Explanatory Text" xfId="4" builtinId="53"/>
    <cellStyle name="Good" xfId="1" builtinId="26"/>
    <cellStyle name="Input" xfId="3" builtinId="20"/>
    <cellStyle name="Normal" xfId="0" builtinId="0"/>
  </cellStyles>
  <dxfs count="11">
    <dxf>
      <numFmt numFmtId="34" formatCode="_(&quot;$&quot;* #,##0.00_);_(&quot;$&quot;* \(#,##0.00\);_(&quot;$&quot;* &quot;-&quot;??_);_(@_)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9" formatCode="m/d/yy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7D6BC-6921-4DED-A6EE-70FDF0AE4FFA}" name="Table2" displayName="Table2" ref="A1:H20" totalsRowCount="1" headerRowDxfId="10" tableBorderDxfId="9" totalsRowBorderDxfId="8">
  <autoFilter ref="A1:H19" xr:uid="{868DF9A1-02A0-4D48-8845-85060AEDD499}"/>
  <tableColumns count="8">
    <tableColumn id="1" xr3:uid="{BD4A59A2-660F-44BB-84D8-9927F70CBDBC}" name="Due Date " totalsRowFunction="sum" totalsRowDxfId="7"/>
    <tableColumn id="2" xr3:uid="{2B425D63-C37B-4839-96AD-3BB18C6FFE1E}" name="Expense " totalsRowFunction="custom" totalsRowDxfId="6">
      <totalsRowFormula>SUBTOTAL(109,B6:B11)</totalsRowFormula>
    </tableColumn>
    <tableColumn id="3" xr3:uid="{E15A2BFA-1036-4CAB-8EAF-C075F52ADA20}" name="Total Cost" totalsRowFunction="custom" totalsRowDxfId="5">
      <totalsRowFormula>SUBTOTAL(109,C6:C11)</totalsRowFormula>
    </tableColumn>
    <tableColumn id="4" xr3:uid="{F563465E-A2D1-454D-B346-809942A16FCD}" name="Payment Made" totalsRowFunction="custom" totalsRowDxfId="4">
      <totalsRowFormula>SUBTOTAL(109,D6:D11)</totalsRowFormula>
    </tableColumn>
    <tableColumn id="5" xr3:uid="{6097BD1F-FBA8-4AE3-8CFC-54441A126CBF}" name="PMT Date" totalsRowFunction="custom" totalsRowDxfId="3">
      <totalsRowFormula>SUBTOTAL(109,E6:E11)</totalsRowFormula>
    </tableColumn>
    <tableColumn id="6" xr3:uid="{FAA44553-B2D1-4967-A5ED-C7061125308B}" name="Balance " totalsRowFunction="custom" totalsRowDxfId="2">
      <calculatedColumnFormula>C2-D2</calculatedColumnFormula>
      <totalsRowFormula>SUBTOTAL(109,F6:F11)</totalsRowFormula>
    </tableColumn>
    <tableColumn id="7" xr3:uid="{F4DD382F-BE3E-48C9-9B53-FD1E41D20098}" name="Notes " totalsRowFunction="custom" totalsRowDxfId="1">
      <totalsRowFormula>SUBTOTAL(109,G6:G11)</totalsRowFormula>
    </tableColumn>
    <tableColumn id="8" xr3:uid="{FC829142-8568-4C29-B6FF-7AD40DFC2B59}" name="Group Total" totalsRowFunction="custom" totalsRowDxfId="0">
      <totalsRowFormula>SUBTOTAL(109,H6:H11)</totalsRowFormula>
    </tableColumn>
  </tableColumns>
  <tableStyleInfo name="TableStyleLight8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269F-21D3-4E9E-A157-0FC4EC65B540}">
  <dimension ref="A1:H24"/>
  <sheetViews>
    <sheetView tabSelected="1" topLeftCell="A10" workbookViewId="0">
      <selection activeCell="C25" sqref="C25"/>
    </sheetView>
  </sheetViews>
  <sheetFormatPr baseColWidth="10" defaultColWidth="8.83203125" defaultRowHeight="15" x14ac:dyDescent="0.2"/>
  <cols>
    <col min="1" max="1" width="16.5" style="1" customWidth="1"/>
    <col min="2" max="2" width="28.6640625" style="23" customWidth="1"/>
    <col min="3" max="3" width="13.33203125" style="2" customWidth="1"/>
    <col min="4" max="4" width="18" style="2" customWidth="1"/>
    <col min="5" max="5" width="11.6640625" style="1" customWidth="1"/>
    <col min="6" max="6" width="11.83203125" style="2" customWidth="1"/>
    <col min="7" max="7" width="100.33203125" style="30" customWidth="1"/>
    <col min="8" max="8" width="15.5" style="2" customWidth="1"/>
  </cols>
  <sheetData>
    <row r="1" spans="1:8" ht="16" x14ac:dyDescent="0.2">
      <c r="A1" s="37" t="s">
        <v>0</v>
      </c>
      <c r="B1" s="38" t="s">
        <v>10</v>
      </c>
      <c r="C1" s="39" t="s">
        <v>1</v>
      </c>
      <c r="D1" s="39" t="s">
        <v>2</v>
      </c>
      <c r="E1" s="40" t="s">
        <v>3</v>
      </c>
      <c r="F1" s="39" t="s">
        <v>4</v>
      </c>
      <c r="G1" s="41" t="s">
        <v>5</v>
      </c>
      <c r="H1" s="42" t="s">
        <v>25</v>
      </c>
    </row>
    <row r="2" spans="1:8" ht="16" x14ac:dyDescent="0.2">
      <c r="A2" s="4">
        <v>44154</v>
      </c>
      <c r="B2" s="21" t="s">
        <v>8</v>
      </c>
      <c r="C2" s="5">
        <v>134</v>
      </c>
      <c r="D2" s="5">
        <v>100</v>
      </c>
      <c r="E2" s="6">
        <v>44169</v>
      </c>
      <c r="F2" s="5">
        <f>SUM(C2-D2)</f>
        <v>34</v>
      </c>
      <c r="G2" s="26" t="s">
        <v>27</v>
      </c>
      <c r="H2" s="12"/>
    </row>
    <row r="3" spans="1:8" x14ac:dyDescent="0.2">
      <c r="A3" s="4">
        <v>44159</v>
      </c>
      <c r="B3" s="21" t="s">
        <v>31</v>
      </c>
      <c r="C3" s="5">
        <v>141</v>
      </c>
      <c r="D3" s="5">
        <v>141</v>
      </c>
      <c r="E3" s="6">
        <v>44159</v>
      </c>
      <c r="F3" s="5">
        <f>SUM(C3-D3)</f>
        <v>0</v>
      </c>
      <c r="G3" s="26"/>
      <c r="H3" s="10"/>
    </row>
    <row r="4" spans="1:8" x14ac:dyDescent="0.2">
      <c r="A4" s="4">
        <v>44160</v>
      </c>
      <c r="B4" s="21" t="s">
        <v>37</v>
      </c>
      <c r="C4" s="5">
        <v>156.38</v>
      </c>
      <c r="D4" s="5">
        <v>156.38</v>
      </c>
      <c r="E4" s="6">
        <v>44178</v>
      </c>
      <c r="F4" s="5">
        <f>C4-D4</f>
        <v>0</v>
      </c>
      <c r="G4" s="26"/>
      <c r="H4" s="10"/>
    </row>
    <row r="5" spans="1:8" x14ac:dyDescent="0.2">
      <c r="A5" s="4">
        <v>44175</v>
      </c>
      <c r="B5" s="21" t="s">
        <v>30</v>
      </c>
      <c r="C5" s="5">
        <v>125</v>
      </c>
      <c r="D5" s="5">
        <v>125</v>
      </c>
      <c r="E5" s="6">
        <v>44175</v>
      </c>
      <c r="F5" s="5">
        <f>SUM(C5-D5)</f>
        <v>0</v>
      </c>
      <c r="G5" s="26"/>
      <c r="H5" s="10">
        <f>SUM(F2:F5)</f>
        <v>34</v>
      </c>
    </row>
    <row r="6" spans="1:8" ht="16" x14ac:dyDescent="0.2">
      <c r="A6" s="31">
        <v>44166</v>
      </c>
      <c r="B6" s="32" t="s">
        <v>6</v>
      </c>
      <c r="C6" s="33">
        <v>100</v>
      </c>
      <c r="D6" s="33">
        <v>100</v>
      </c>
      <c r="E6" s="34">
        <v>44168</v>
      </c>
      <c r="F6" s="33">
        <f t="shared" ref="F6:F19" si="0">C6-D6</f>
        <v>0</v>
      </c>
      <c r="G6" s="35" t="s">
        <v>7</v>
      </c>
      <c r="H6" s="36"/>
    </row>
    <row r="7" spans="1:8" ht="16" x14ac:dyDescent="0.2">
      <c r="A7" s="31">
        <v>44168</v>
      </c>
      <c r="B7" s="32" t="s">
        <v>9</v>
      </c>
      <c r="C7" s="33">
        <v>56</v>
      </c>
      <c r="D7" s="33">
        <v>56</v>
      </c>
      <c r="E7" s="34">
        <v>44168</v>
      </c>
      <c r="F7" s="33">
        <f t="shared" si="0"/>
        <v>0</v>
      </c>
      <c r="G7" s="35" t="s">
        <v>28</v>
      </c>
      <c r="H7" s="36"/>
    </row>
    <row r="8" spans="1:8" ht="16" x14ac:dyDescent="0.2">
      <c r="A8" s="31">
        <v>44169</v>
      </c>
      <c r="B8" s="32" t="s">
        <v>22</v>
      </c>
      <c r="C8" s="33">
        <v>5.5</v>
      </c>
      <c r="D8" s="33">
        <v>5.5</v>
      </c>
      <c r="E8" s="34">
        <v>44169</v>
      </c>
      <c r="F8" s="33">
        <f t="shared" si="0"/>
        <v>0</v>
      </c>
      <c r="G8" s="35" t="s">
        <v>23</v>
      </c>
      <c r="H8" s="36"/>
    </row>
    <row r="9" spans="1:8" ht="16" x14ac:dyDescent="0.2">
      <c r="A9" s="31">
        <v>44170</v>
      </c>
      <c r="B9" s="32" t="s">
        <v>8</v>
      </c>
      <c r="C9" s="33">
        <v>18</v>
      </c>
      <c r="D9" s="33">
        <v>18</v>
      </c>
      <c r="E9" s="34">
        <v>44170</v>
      </c>
      <c r="F9" s="33">
        <f t="shared" si="0"/>
        <v>0</v>
      </c>
      <c r="G9" s="35" t="s">
        <v>11</v>
      </c>
      <c r="H9" s="36"/>
    </row>
    <row r="10" spans="1:8" ht="16" x14ac:dyDescent="0.2">
      <c r="A10" s="31">
        <v>44170</v>
      </c>
      <c r="B10" s="32" t="s">
        <v>12</v>
      </c>
      <c r="C10" s="33">
        <v>6.41</v>
      </c>
      <c r="D10" s="33">
        <v>6.41</v>
      </c>
      <c r="E10" s="34">
        <v>44170</v>
      </c>
      <c r="F10" s="33">
        <f t="shared" si="0"/>
        <v>0</v>
      </c>
      <c r="G10" s="35" t="s">
        <v>32</v>
      </c>
      <c r="H10" s="36"/>
    </row>
    <row r="11" spans="1:8" x14ac:dyDescent="0.2">
      <c r="A11" s="45">
        <v>44176</v>
      </c>
      <c r="B11" s="46" t="s">
        <v>17</v>
      </c>
      <c r="C11" s="47">
        <v>50</v>
      </c>
      <c r="D11" s="47">
        <v>50</v>
      </c>
      <c r="E11" s="45"/>
      <c r="F11" s="47">
        <f>C11-D11</f>
        <v>0</v>
      </c>
      <c r="G11" s="46" t="s">
        <v>29</v>
      </c>
      <c r="H11" s="47"/>
    </row>
    <row r="12" spans="1:8" ht="32" x14ac:dyDescent="0.2">
      <c r="A12" s="48">
        <v>44172</v>
      </c>
      <c r="B12" s="49" t="s">
        <v>15</v>
      </c>
      <c r="C12" s="50">
        <v>33</v>
      </c>
      <c r="D12" s="50">
        <v>33</v>
      </c>
      <c r="E12" s="48"/>
      <c r="F12" s="50">
        <f t="shared" si="0"/>
        <v>0</v>
      </c>
      <c r="G12" s="51" t="s">
        <v>33</v>
      </c>
      <c r="H12" s="52"/>
    </row>
    <row r="13" spans="1:8" ht="48" x14ac:dyDescent="0.2">
      <c r="A13" s="7">
        <v>44176</v>
      </c>
      <c r="B13" s="22" t="s">
        <v>34</v>
      </c>
      <c r="C13" s="8">
        <v>75</v>
      </c>
      <c r="D13" s="8">
        <v>81</v>
      </c>
      <c r="E13" s="9"/>
      <c r="F13" s="8">
        <f t="shared" si="0"/>
        <v>-6</v>
      </c>
      <c r="G13" s="27" t="s">
        <v>36</v>
      </c>
      <c r="H13" s="3"/>
    </row>
    <row r="14" spans="1:8" ht="16" x14ac:dyDescent="0.2">
      <c r="A14" s="7">
        <v>44180</v>
      </c>
      <c r="B14" s="22" t="s">
        <v>13</v>
      </c>
      <c r="C14" s="8">
        <v>1019</v>
      </c>
      <c r="D14" s="8">
        <v>1019</v>
      </c>
      <c r="E14" s="9"/>
      <c r="F14" s="8">
        <f t="shared" si="0"/>
        <v>0</v>
      </c>
      <c r="G14" s="27" t="s">
        <v>26</v>
      </c>
      <c r="H14" s="3"/>
    </row>
    <row r="15" spans="1:8" ht="16" x14ac:dyDescent="0.2">
      <c r="A15" s="7">
        <v>44185</v>
      </c>
      <c r="B15" s="22" t="s">
        <v>14</v>
      </c>
      <c r="C15" s="8">
        <v>240</v>
      </c>
      <c r="D15" s="8">
        <v>50</v>
      </c>
      <c r="E15" s="9"/>
      <c r="F15" s="8">
        <f t="shared" si="0"/>
        <v>190</v>
      </c>
      <c r="G15" s="27" t="s">
        <v>16</v>
      </c>
      <c r="H15" s="3">
        <f>SUM(F12:F15)</f>
        <v>184</v>
      </c>
    </row>
    <row r="17" spans="1:8" ht="32" x14ac:dyDescent="0.2">
      <c r="A17" s="13">
        <v>44174</v>
      </c>
      <c r="B17" s="24" t="s">
        <v>18</v>
      </c>
      <c r="C17" s="14">
        <v>30</v>
      </c>
      <c r="D17" s="14">
        <v>30</v>
      </c>
      <c r="E17" s="15"/>
      <c r="F17" s="14">
        <f t="shared" si="0"/>
        <v>0</v>
      </c>
      <c r="G17" s="28" t="s">
        <v>19</v>
      </c>
      <c r="H17" s="16"/>
    </row>
    <row r="18" spans="1:8" ht="16" x14ac:dyDescent="0.2">
      <c r="A18" s="17">
        <v>44185</v>
      </c>
      <c r="B18" s="25" t="s">
        <v>21</v>
      </c>
      <c r="C18" s="18">
        <v>50</v>
      </c>
      <c r="D18" s="18">
        <v>53</v>
      </c>
      <c r="E18" s="19"/>
      <c r="F18" s="18">
        <f t="shared" si="0"/>
        <v>-3</v>
      </c>
      <c r="G18" s="29" t="s">
        <v>20</v>
      </c>
      <c r="H18" s="20"/>
    </row>
    <row r="19" spans="1:8" ht="49" thickBot="1" x14ac:dyDescent="0.25">
      <c r="A19" s="13">
        <v>44177</v>
      </c>
      <c r="B19" s="24" t="s">
        <v>24</v>
      </c>
      <c r="C19" s="14">
        <v>104</v>
      </c>
      <c r="D19" s="14">
        <v>104</v>
      </c>
      <c r="E19" s="15"/>
      <c r="F19" s="14">
        <f t="shared" si="0"/>
        <v>0</v>
      </c>
      <c r="G19" s="28" t="s">
        <v>35</v>
      </c>
      <c r="H19" s="11">
        <f>SUM(F11:F19)</f>
        <v>181</v>
      </c>
    </row>
    <row r="20" spans="1:8" ht="16" thickBot="1" x14ac:dyDescent="0.25">
      <c r="A20" s="53">
        <f>SUBTOTAL(109,Table2[[Due Date ]])</f>
        <v>750916</v>
      </c>
      <c r="B20" s="43">
        <f t="shared" ref="B20:H20" si="1">SUBTOTAL(109,B6:B11)</f>
        <v>0</v>
      </c>
      <c r="C20" s="43">
        <f t="shared" si="1"/>
        <v>235.91</v>
      </c>
      <c r="D20" s="43">
        <f t="shared" si="1"/>
        <v>235.91</v>
      </c>
      <c r="E20" s="43">
        <f t="shared" si="1"/>
        <v>220845</v>
      </c>
      <c r="F20" s="43">
        <f t="shared" si="1"/>
        <v>0</v>
      </c>
      <c r="G20" s="43">
        <f t="shared" si="1"/>
        <v>0</v>
      </c>
      <c r="H20" s="44">
        <f t="shared" si="1"/>
        <v>0</v>
      </c>
    </row>
    <row r="24" spans="1:8" x14ac:dyDescent="0.2">
      <c r="C24" s="2">
        <f>SUM(C3+C11+C12+C13+C14+C17+C18+C19+D15+C4)</f>
        <v>1708.38</v>
      </c>
    </row>
  </sheetData>
  <dataConsolidate/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EEA10A1-8A8D-41C4-BD66-C1092450CAFB}">
  <ds:schemaRefs/>
</ds:datastoreItem>
</file>

<file path=customXml/itemProps2.xml><?xml version="1.0" encoding="utf-8"?>
<ds:datastoreItem xmlns:ds="http://schemas.openxmlformats.org/officeDocument/2006/customXml" ds:itemID="{451D0005-7ED9-4933-907F-C6B62BAE3F98}">
  <ds:schemaRefs/>
</ds:datastoreItem>
</file>

<file path=customXml/itemProps3.xml><?xml version="1.0" encoding="utf-8"?>
<ds:datastoreItem xmlns:ds="http://schemas.openxmlformats.org/officeDocument/2006/customXml" ds:itemID="{BC613F1B-A42D-4BDD-9853-42AFD71A1991}">
  <ds:schemaRefs/>
</ds:datastoreItem>
</file>

<file path=customXml/itemProps4.xml><?xml version="1.0" encoding="utf-8"?>
<ds:datastoreItem xmlns:ds="http://schemas.openxmlformats.org/officeDocument/2006/customXml" ds:itemID="{7597DAF1-F8A7-4A71-BFEA-3C0DAFD8F15A}">
  <ds:schemaRefs/>
</ds:datastoreItem>
</file>

<file path=customXml/itemProps5.xml><?xml version="1.0" encoding="utf-8"?>
<ds:datastoreItem xmlns:ds="http://schemas.openxmlformats.org/officeDocument/2006/customXml" ds:itemID="{1BE9AD09-A4A5-4119-AA3F-83524F01BFBA}">
  <ds:schemaRefs/>
</ds:datastoreItem>
</file>

<file path=customXml/itemProps6.xml><?xml version="1.0" encoding="utf-8"?>
<ds:datastoreItem xmlns:ds="http://schemas.openxmlformats.org/officeDocument/2006/customXml" ds:itemID="{DE122C04-0D42-4B26-A3E9-E215A1D3D106}">
  <ds:schemaRefs/>
</ds:datastoreItem>
</file>

<file path=customXml/itemProps7.xml><?xml version="1.0" encoding="utf-8"?>
<ds:datastoreItem xmlns:ds="http://schemas.openxmlformats.org/officeDocument/2006/customXml" ds:itemID="{4B942025-7A78-403A-969C-5C8DFB515345}">
  <ds:schemaRefs/>
</ds:datastoreItem>
</file>

<file path=customXml/itemProps8.xml><?xml version="1.0" encoding="utf-8"?>
<ds:datastoreItem xmlns:ds="http://schemas.openxmlformats.org/officeDocument/2006/customXml" ds:itemID="{A6D04CF6-4B50-46C3-88F1-2BC0B4AF5941}">
  <ds:schemaRefs/>
</ds:datastoreItem>
</file>

<file path=customXml/itemProps9.xml><?xml version="1.0" encoding="utf-8"?>
<ds:datastoreItem xmlns:ds="http://schemas.openxmlformats.org/officeDocument/2006/customXml" ds:itemID="{A3D68350-7483-48C9-8AB7-0A019BACD67B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6525318E-09E8-4294-8FC9-426AF928BDEC}">
  <ds:schemaRefs/>
</ds:datastoreItem>
</file>

<file path=customXml/itemProps11.xml><?xml version="1.0" encoding="utf-8"?>
<ds:datastoreItem xmlns:ds="http://schemas.openxmlformats.org/officeDocument/2006/customXml" ds:itemID="{0678741E-3F9F-49B6-9318-27DA7C33403C}">
  <ds:schemaRefs/>
</ds:datastoreItem>
</file>

<file path=customXml/itemProps12.xml><?xml version="1.0" encoding="utf-8"?>
<ds:datastoreItem xmlns:ds="http://schemas.openxmlformats.org/officeDocument/2006/customXml" ds:itemID="{1E49D0E8-A351-4CD6-90BD-7B71AF713ED5}">
  <ds:schemaRefs/>
</ds:datastoreItem>
</file>

<file path=customXml/itemProps13.xml><?xml version="1.0" encoding="utf-8"?>
<ds:datastoreItem xmlns:ds="http://schemas.openxmlformats.org/officeDocument/2006/customXml" ds:itemID="{D3A75AE4-5D57-4C5F-A265-010B4B7A866B}">
  <ds:schemaRefs/>
</ds:datastoreItem>
</file>

<file path=customXml/itemProps14.xml><?xml version="1.0" encoding="utf-8"?>
<ds:datastoreItem xmlns:ds="http://schemas.openxmlformats.org/officeDocument/2006/customXml" ds:itemID="{BAD39966-07E3-42AE-8F9C-8FD9772E940F}">
  <ds:schemaRefs/>
</ds:datastoreItem>
</file>

<file path=customXml/itemProps15.xml><?xml version="1.0" encoding="utf-8"?>
<ds:datastoreItem xmlns:ds="http://schemas.openxmlformats.org/officeDocument/2006/customXml" ds:itemID="{E1A74965-CD52-4420-9133-0B430140718F}">
  <ds:schemaRefs/>
</ds:datastoreItem>
</file>

<file path=customXml/itemProps16.xml><?xml version="1.0" encoding="utf-8"?>
<ds:datastoreItem xmlns:ds="http://schemas.openxmlformats.org/officeDocument/2006/customXml" ds:itemID="{297A0EE6-5819-4E1A-9634-7F6ADA608ED9}">
  <ds:schemaRefs/>
</ds:datastoreItem>
</file>

<file path=customXml/itemProps17.xml><?xml version="1.0" encoding="utf-8"?>
<ds:datastoreItem xmlns:ds="http://schemas.openxmlformats.org/officeDocument/2006/customXml" ds:itemID="{3FBA16AF-DE71-4E31-A90D-AC26B6E099B5}">
  <ds:schemaRefs/>
</ds:datastoreItem>
</file>

<file path=customXml/itemProps18.xml><?xml version="1.0" encoding="utf-8"?>
<ds:datastoreItem xmlns:ds="http://schemas.openxmlformats.org/officeDocument/2006/customXml" ds:itemID="{84D20AD3-10A6-41F6-A9D4-3F5299DFA1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 Blair</cp:lastModifiedBy>
  <dcterms:created xsi:type="dcterms:W3CDTF">2020-12-09T01:04:44Z</dcterms:created>
  <dcterms:modified xsi:type="dcterms:W3CDTF">2020-12-30T15:23:39Z</dcterms:modified>
</cp:coreProperties>
</file>