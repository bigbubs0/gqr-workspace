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20" documentId="8_{FD8B18EA-2FE3-41B4-8178-13A655F7D993}" xr6:coauthVersionLast="47" xr6:coauthVersionMax="47" xr10:uidLastSave="{6ECCD5C2-AA14-46BD-A719-360BC29DD0BD}"/>
  <bookViews>
    <workbookView xWindow="28680" yWindow="-255" windowWidth="29040" windowHeight="15720" activeTab="1" xr2:uid="{00000000-000D-0000-FFFF-FFFF00000000}"/>
  </bookViews>
  <sheets>
    <sheet name="Jobs invoiced 1.1.24 - 3.27.24" sheetId="1" r:id="rId1"/>
    <sheet name="Sales &amp; Source phone #'s" sheetId="2" r:id="rId2"/>
  </sheets>
  <definedNames>
    <definedName name="_xlnm._FilterDatabase" localSheetId="0" hidden="1">'Jobs invoiced 1.1.24 - 3.27.24'!$A$1:$N$82</definedName>
    <definedName name="_xlnm._FilterDatabase" localSheetId="1" hidden="1">'Sales &amp; Source phone #''s'!$G$2:$G$22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NgX+B1LW7hKO6xZP0IYHDdTqvpeMuf3+7fIS4ntQE="/>
    </ext>
  </extLst>
</workbook>
</file>

<file path=xl/calcChain.xml><?xml version="1.0" encoding="utf-8"?>
<calcChain xmlns="http://schemas.openxmlformats.org/spreadsheetml/2006/main">
  <c r="B182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" i="2"/>
</calcChain>
</file>

<file path=xl/sharedStrings.xml><?xml version="1.0" encoding="utf-8"?>
<sst xmlns="http://schemas.openxmlformats.org/spreadsheetml/2006/main" count="860" uniqueCount="393">
  <si>
    <t>Estimate Type</t>
  </si>
  <si>
    <t>Estimate ID</t>
  </si>
  <si>
    <t>Estimate Date</t>
  </si>
  <si>
    <t>Estimate Close Date</t>
  </si>
  <si>
    <t>Contact Name</t>
  </si>
  <si>
    <t>Phone 1</t>
  </si>
  <si>
    <t>Phone 2</t>
  </si>
  <si>
    <t>Email</t>
  </si>
  <si>
    <t>Status</t>
  </si>
  <si>
    <t>Proposal Last Updated</t>
  </si>
  <si>
    <t>Division</t>
  </si>
  <si>
    <t>Referral</t>
  </si>
  <si>
    <t>Ref. Note</t>
  </si>
  <si>
    <t>Total Price With Tax</t>
  </si>
  <si>
    <t>Standard</t>
  </si>
  <si>
    <t>EST4460019</t>
  </si>
  <si>
    <t>Janet  Freeman</t>
  </si>
  <si>
    <t>413-949-0581</t>
  </si>
  <si>
    <t>jfreeman100@comcast.net</t>
  </si>
  <si>
    <t>Billing Complete</t>
  </si>
  <si>
    <t>Tree</t>
  </si>
  <si>
    <t>Google Local Services AD</t>
  </si>
  <si>
    <t>EST4444685</t>
  </si>
  <si>
    <t>Dream  Scape Designs</t>
  </si>
  <si>
    <t>413-306-1543  Marco</t>
  </si>
  <si>
    <t>413-262-1032  Kate</t>
  </si>
  <si>
    <t>mbasile92@outlook.com</t>
  </si>
  <si>
    <t>EST4440901</t>
  </si>
  <si>
    <t>Center School</t>
  </si>
  <si>
    <t>413-427-2076</t>
  </si>
  <si>
    <t>pmiller@positiveregard.com</t>
  </si>
  <si>
    <t>Dan White</t>
  </si>
  <si>
    <t>EST4436341</t>
  </si>
  <si>
    <t>EST4436437</t>
  </si>
  <si>
    <t>Jenise Rivera</t>
  </si>
  <si>
    <t>413-539-0195</t>
  </si>
  <si>
    <t>hndezrivera.j@gmail.com</t>
  </si>
  <si>
    <t>Google</t>
  </si>
  <si>
    <t>EST4436659</t>
  </si>
  <si>
    <t>Oak Grove Cemetery</t>
  </si>
  <si>
    <t>413-739-2127</t>
  </si>
  <si>
    <t>oakgrovecemetery426@gmail.com</t>
  </si>
  <si>
    <t>Repeat</t>
  </si>
  <si>
    <t>Home Show 2018 spoke to RS</t>
  </si>
  <si>
    <t>EST4436524</t>
  </si>
  <si>
    <t>Rupert Gordon</t>
  </si>
  <si>
    <t>413-244-5647</t>
  </si>
  <si>
    <t>rupertgord@gmail.com</t>
  </si>
  <si>
    <t>EST4435005</t>
  </si>
  <si>
    <t>Deanna Minnan</t>
  </si>
  <si>
    <t>413-262-0506</t>
  </si>
  <si>
    <t>deannam73@comcast.net</t>
  </si>
  <si>
    <t>Tom Haramut</t>
  </si>
  <si>
    <t>EST4430851</t>
  </si>
  <si>
    <t>Sears Real  Estate</t>
  </si>
  <si>
    <t>413-785-1697</t>
  </si>
  <si>
    <t>nancy@searsre.com</t>
  </si>
  <si>
    <t>EST4425896</t>
  </si>
  <si>
    <t>Town of East Longmeadow</t>
  </si>
  <si>
    <t>(413) 374-5254</t>
  </si>
  <si>
    <t>413-525-5400</t>
  </si>
  <si>
    <t>darrell.keane@eastlongmeadowma.gov</t>
  </si>
  <si>
    <t>EST4425934</t>
  </si>
  <si>
    <t>EST4420420</t>
  </si>
  <si>
    <t>Joe Mursko</t>
  </si>
  <si>
    <t>860-614-1053</t>
  </si>
  <si>
    <t>postcardhistory@comcast.net</t>
  </si>
  <si>
    <t>Email Blast</t>
  </si>
  <si>
    <t>2024 Winter Discount 10%</t>
  </si>
  <si>
    <t>EST4421325</t>
  </si>
  <si>
    <t>MMWEC</t>
  </si>
  <si>
    <t>413-427-3713</t>
  </si>
  <si>
    <t>jlynch@mmwec.org</t>
  </si>
  <si>
    <t>Jim Lynch</t>
  </si>
  <si>
    <t>EST4416610</t>
  </si>
  <si>
    <t>EST4415228</t>
  </si>
  <si>
    <t>Alex Wanczyk</t>
  </si>
  <si>
    <t>413-552-6184</t>
  </si>
  <si>
    <t>alexwanczyk@gmail.com</t>
  </si>
  <si>
    <t>2024 Winter 10% off email</t>
  </si>
  <si>
    <t>EST4413918</t>
  </si>
  <si>
    <t>Beth Scibelli</t>
  </si>
  <si>
    <t>413-525-0391</t>
  </si>
  <si>
    <t>Scibelliel@aol.com</t>
  </si>
  <si>
    <t>Prospect Builders</t>
  </si>
  <si>
    <t>EST4413610</t>
  </si>
  <si>
    <t>Claude  Bisson</t>
  </si>
  <si>
    <t>413-566-3365</t>
  </si>
  <si>
    <t>413-427-6344</t>
  </si>
  <si>
    <t>plumberbis2@aol.com</t>
  </si>
  <si>
    <t>EST4416213</t>
  </si>
  <si>
    <t>Dean Lomascolo</t>
  </si>
  <si>
    <t>dean@prospectbuilders.com</t>
  </si>
  <si>
    <t>EST4415290</t>
  </si>
  <si>
    <t>Elizabeth Battey</t>
  </si>
  <si>
    <t>413-281-7135</t>
  </si>
  <si>
    <t>lizfurlano@hotmail.com</t>
  </si>
  <si>
    <t>online submission</t>
  </si>
  <si>
    <t>EST4415410</t>
  </si>
  <si>
    <t>Laura Broad</t>
  </si>
  <si>
    <t>413-567-5176</t>
  </si>
  <si>
    <t>413-537-1890</t>
  </si>
  <si>
    <t>broadkl@aol.com</t>
  </si>
  <si>
    <t>Ref - Chris White</t>
  </si>
  <si>
    <t>EST4415394</t>
  </si>
  <si>
    <t>Maria Restrepo</t>
  </si>
  <si>
    <t>413-433-4757</t>
  </si>
  <si>
    <t>marycrz@yahoo.com</t>
  </si>
  <si>
    <t>Google 5/5/23</t>
  </si>
  <si>
    <t>EST4412644</t>
  </si>
  <si>
    <t>Jonathan Figueroa</t>
  </si>
  <si>
    <t>413-612-8295</t>
  </si>
  <si>
    <t>noel92409@gmail.com</t>
  </si>
  <si>
    <t>Google Business Profile</t>
  </si>
  <si>
    <t>EST4413403</t>
  </si>
  <si>
    <t>EST4408572</t>
  </si>
  <si>
    <t>EST4406689</t>
  </si>
  <si>
    <t>DOC</t>
  </si>
  <si>
    <t>413-315-7456</t>
  </si>
  <si>
    <t>froy@doc.build</t>
  </si>
  <si>
    <t>friend</t>
  </si>
  <si>
    <t>EST4407133</t>
  </si>
  <si>
    <t>Jennifer Wilson</t>
  </si>
  <si>
    <t>413-519-6640</t>
  </si>
  <si>
    <t>Jenix09@gmail.com</t>
  </si>
  <si>
    <t>EST4406455</t>
  </si>
  <si>
    <t>John Huff</t>
  </si>
  <si>
    <t>727-408-0510</t>
  </si>
  <si>
    <t>joankhuff@gmail.com</t>
  </si>
  <si>
    <t>Online Submission</t>
  </si>
  <si>
    <t>EST4405771</t>
  </si>
  <si>
    <t>Michelle Ruby</t>
  </si>
  <si>
    <t>413-427-2513</t>
  </si>
  <si>
    <t>mruby505@comcast.net</t>
  </si>
  <si>
    <t>EST4407081</t>
  </si>
  <si>
    <t>EST4407123</t>
  </si>
  <si>
    <t>EST4398368</t>
  </si>
  <si>
    <t>Darrell Waller</t>
  </si>
  <si>
    <t>(774) 420-9807</t>
  </si>
  <si>
    <t>Darrelwalle@gmail.com</t>
  </si>
  <si>
    <t>EST4414182</t>
  </si>
  <si>
    <t>Kristine Blinn</t>
  </si>
  <si>
    <t>413-374-4036</t>
  </si>
  <si>
    <t>kristine.blinn@gmail.com</t>
  </si>
  <si>
    <t>EST4392266</t>
  </si>
  <si>
    <t>Michelle Caliento</t>
  </si>
  <si>
    <t>413-250-8257</t>
  </si>
  <si>
    <t>michellecpca@yahoo.com</t>
  </si>
  <si>
    <t>Google 3/6/23</t>
  </si>
  <si>
    <t>EST4392860</t>
  </si>
  <si>
    <t>EST4392283</t>
  </si>
  <si>
    <t>Peter Duplessis</t>
  </si>
  <si>
    <t>413-219-3550</t>
  </si>
  <si>
    <t>pjddmd@aol.com</t>
  </si>
  <si>
    <t>Chris' dentist</t>
  </si>
  <si>
    <t>EST4392668</t>
  </si>
  <si>
    <t>Ryan Nauman</t>
  </si>
  <si>
    <t>413-374-3719</t>
  </si>
  <si>
    <t>ryandnauman@gmail.com</t>
  </si>
  <si>
    <t>EST4414218</t>
  </si>
  <si>
    <t>Al Saulnier</t>
  </si>
  <si>
    <t>413-525-6887</t>
  </si>
  <si>
    <t>chriss3831@gmail.com</t>
  </si>
  <si>
    <t>EST4390307</t>
  </si>
  <si>
    <t>Barbara Kurland</t>
  </si>
  <si>
    <t>413-427-8103 cell</t>
  </si>
  <si>
    <t>bzkurland30@aol.com</t>
  </si>
  <si>
    <t>EST4390386</t>
  </si>
  <si>
    <t>Matthew Rolfe</t>
  </si>
  <si>
    <t>413-626-6681</t>
  </si>
  <si>
    <t>sradigin@gmail.com</t>
  </si>
  <si>
    <t>Sister - Christina Rolfe</t>
  </si>
  <si>
    <t>EST4390284</t>
  </si>
  <si>
    <t>Scott Meara</t>
  </si>
  <si>
    <t>413-575-3677</t>
  </si>
  <si>
    <t>swmeara@gmail.com</t>
  </si>
  <si>
    <t>Knows Randy from gym</t>
  </si>
  <si>
    <t>EST4385654</t>
  </si>
  <si>
    <t>EST4382924</t>
  </si>
  <si>
    <t>Edward Pomeroy</t>
  </si>
  <si>
    <t>413-519-1838</t>
  </si>
  <si>
    <t>eepomeroy3@gmail.com</t>
  </si>
  <si>
    <t>EST4383662</t>
  </si>
  <si>
    <t>Teri Oliver</t>
  </si>
  <si>
    <t>413-754-3462</t>
  </si>
  <si>
    <t>860-251-5752</t>
  </si>
  <si>
    <t>toliver@goodwin.com</t>
  </si>
  <si>
    <t>EST4376527</t>
  </si>
  <si>
    <t>Richard  Puzzo</t>
  </si>
  <si>
    <t>413-265-5584</t>
  </si>
  <si>
    <t>rnpuzz05@aol.com</t>
  </si>
  <si>
    <t>Jeff Krasner</t>
  </si>
  <si>
    <t>EST4375160</t>
  </si>
  <si>
    <t>Donna Borchers</t>
  </si>
  <si>
    <t>413-221-9987</t>
  </si>
  <si>
    <t>donna.borchers@yahoo.com</t>
  </si>
  <si>
    <t>EST4367782</t>
  </si>
  <si>
    <t>Rich Jensen</t>
  </si>
  <si>
    <t>310-594-5657</t>
  </si>
  <si>
    <t>rjensen5656@yahoo.com</t>
  </si>
  <si>
    <t>Lives in Neighborhood</t>
  </si>
  <si>
    <t>EST4365535</t>
  </si>
  <si>
    <t>Fareed Ibrahim</t>
  </si>
  <si>
    <t>413-237-9278</t>
  </si>
  <si>
    <t>fareedi@uniformpm.com</t>
  </si>
  <si>
    <t>Retail cust</t>
  </si>
  <si>
    <t>EST4365543</t>
  </si>
  <si>
    <t>EST4357050</t>
  </si>
  <si>
    <t>Greg Siska</t>
  </si>
  <si>
    <t>413-363-1812</t>
  </si>
  <si>
    <t>suzyngreg@gmail.com</t>
  </si>
  <si>
    <t>Google 7/21/22, Google 5-star review 10/8/22</t>
  </si>
  <si>
    <t>EST4356001</t>
  </si>
  <si>
    <t>John Stearns</t>
  </si>
  <si>
    <t>413-525-1734</t>
  </si>
  <si>
    <t>413-210-3405</t>
  </si>
  <si>
    <t>stearnsie@gmail.com</t>
  </si>
  <si>
    <t>EST4356049</t>
  </si>
  <si>
    <t>Kevin Ford</t>
  </si>
  <si>
    <t>413-575-0692</t>
  </si>
  <si>
    <t>kford@lindcospringfield.com</t>
  </si>
  <si>
    <t>Reminder</t>
  </si>
  <si>
    <t>EST4356104</t>
  </si>
  <si>
    <t>EST4355988</t>
  </si>
  <si>
    <t>Stephen Napoli</t>
  </si>
  <si>
    <t>413-565-6640</t>
  </si>
  <si>
    <t>stephen.napoli@verizon.net</t>
  </si>
  <si>
    <t>Referral-Ottani</t>
  </si>
  <si>
    <t>EST4352327</t>
  </si>
  <si>
    <t>Dan Scagliarini / Scags Ent. LLC</t>
  </si>
  <si>
    <t>413-250-7974</t>
  </si>
  <si>
    <t>dannyscags@yahoo.com</t>
  </si>
  <si>
    <t>EST4350831</t>
  </si>
  <si>
    <t>Clara Scamardella</t>
  </si>
  <si>
    <t>413-478-1052</t>
  </si>
  <si>
    <t>lacontois@aol.com</t>
  </si>
  <si>
    <t>Daughter</t>
  </si>
  <si>
    <t>EST4350989</t>
  </si>
  <si>
    <t>Jay Warzecki</t>
  </si>
  <si>
    <t>718-501-8211</t>
  </si>
  <si>
    <t>jayw0126@gmail.com</t>
  </si>
  <si>
    <t>EST4347065</t>
  </si>
  <si>
    <t>James Finnegan Jr.</t>
  </si>
  <si>
    <t>413-348-0550</t>
  </si>
  <si>
    <t>jfinneganjr@msn.com</t>
  </si>
  <si>
    <t>Jeff Slade</t>
  </si>
  <si>
    <t>EST4347054</t>
  </si>
  <si>
    <t>Nan Sheppard</t>
  </si>
  <si>
    <t>413-348-2406</t>
  </si>
  <si>
    <t>sshep48622@aol.com</t>
  </si>
  <si>
    <t>EST4346548</t>
  </si>
  <si>
    <t>EST4344690</t>
  </si>
  <si>
    <t>Julie Morgan</t>
  </si>
  <si>
    <t>774-644-3013</t>
  </si>
  <si>
    <t>857-498-0099 Chris</t>
  </si>
  <si>
    <t>jmargetta@gmail.com</t>
  </si>
  <si>
    <t>Saw trucks on street</t>
  </si>
  <si>
    <t>EST4342408</t>
  </si>
  <si>
    <t>Jane Sheehan</t>
  </si>
  <si>
    <t>413-626-1380</t>
  </si>
  <si>
    <t>jsheehan728@yahoo.com</t>
  </si>
  <si>
    <t>Jim Clark</t>
  </si>
  <si>
    <t>EST4339924</t>
  </si>
  <si>
    <t>Jackie Harvey</t>
  </si>
  <si>
    <t>413-783-8852 hm</t>
  </si>
  <si>
    <t>413- 526-9792 wk</t>
  </si>
  <si>
    <t>jfharvey46@aol.com</t>
  </si>
  <si>
    <t>Friend of Chris Blair</t>
  </si>
  <si>
    <t>EST4340379</t>
  </si>
  <si>
    <t>Maurice Polite</t>
  </si>
  <si>
    <t>413-531-1334</t>
  </si>
  <si>
    <t>moedome@aol.com</t>
  </si>
  <si>
    <t>EST4339896</t>
  </si>
  <si>
    <t>YWCA of Western Mass</t>
  </si>
  <si>
    <t>413-834-1258</t>
  </si>
  <si>
    <t>bstack@ywworks.org</t>
  </si>
  <si>
    <t>EST4336642</t>
  </si>
  <si>
    <t>Lynn  Maziarz</t>
  </si>
  <si>
    <t>413-388-9283</t>
  </si>
  <si>
    <t>413-592-3853</t>
  </si>
  <si>
    <t>zam601@verizon.net</t>
  </si>
  <si>
    <t>EST4336387</t>
  </si>
  <si>
    <t>Maybury Material Handling</t>
  </si>
  <si>
    <t>413-531-7874</t>
  </si>
  <si>
    <t>jmaybury@maybury.com</t>
  </si>
  <si>
    <t>EST4336728</t>
  </si>
  <si>
    <t>Steve Pirro</t>
  </si>
  <si>
    <t>413-563-3832</t>
  </si>
  <si>
    <t>laurpirr@aol.com</t>
  </si>
  <si>
    <t>EST4336856</t>
  </si>
  <si>
    <t>Thomas Wilson Enterprises, Inc.</t>
  </si>
  <si>
    <t>413-246-1792</t>
  </si>
  <si>
    <t>413-525-6205</t>
  </si>
  <si>
    <t>thomaswilson413@gmail.com</t>
  </si>
  <si>
    <t>EST4336394</t>
  </si>
  <si>
    <t>EST4333646</t>
  </si>
  <si>
    <t>Ottani</t>
  </si>
  <si>
    <t>EST4332127</t>
  </si>
  <si>
    <t>Pam Jones</t>
  </si>
  <si>
    <t>413-427-2366</t>
  </si>
  <si>
    <t>Truck Advertisement</t>
  </si>
  <si>
    <t>EST4331038</t>
  </si>
  <si>
    <t>Phil Rumian</t>
  </si>
  <si>
    <t>413-204-4099</t>
  </si>
  <si>
    <t>phast.phil@verizon.net</t>
  </si>
  <si>
    <t>Friday's are good for Phil</t>
  </si>
  <si>
    <t>EST4330451</t>
  </si>
  <si>
    <t>Joel Solomon</t>
  </si>
  <si>
    <t>413-530-2007</t>
  </si>
  <si>
    <t>joelsol@comcast.net</t>
  </si>
  <si>
    <t>EST4330549</t>
  </si>
  <si>
    <t>Paul Huijing</t>
  </si>
  <si>
    <t>413-519-2611</t>
  </si>
  <si>
    <t>phinc7@gmail.com</t>
  </si>
  <si>
    <t>Jeff Hatfield</t>
  </si>
  <si>
    <t>EST4328063</t>
  </si>
  <si>
    <t>Amado Munson</t>
  </si>
  <si>
    <t>413-265-0236</t>
  </si>
  <si>
    <t>amado-munson@charter.net</t>
  </si>
  <si>
    <t>Truck Signage</t>
  </si>
  <si>
    <t>Sees trucks around town</t>
  </si>
  <si>
    <t>EST4328082</t>
  </si>
  <si>
    <t>Christine Rattell</t>
  </si>
  <si>
    <t>(413) 627-8907</t>
  </si>
  <si>
    <t>(413) 596-2057</t>
  </si>
  <si>
    <t>christine.rattell@gmail.com</t>
  </si>
  <si>
    <t>EST4328070</t>
  </si>
  <si>
    <t>Ginny  Czuprynski</t>
  </si>
  <si>
    <t>(413) 478-4031</t>
  </si>
  <si>
    <t>vmc324@comcast.net</t>
  </si>
  <si>
    <t>EST4324026</t>
  </si>
  <si>
    <t>Ariella Brody</t>
  </si>
  <si>
    <t>413-567-6132</t>
  </si>
  <si>
    <t>aobrody@comcast.net</t>
  </si>
  <si>
    <t>Elliot Levy</t>
  </si>
  <si>
    <t>EST4324025</t>
  </si>
  <si>
    <t>Gabrielle Chanel</t>
  </si>
  <si>
    <t>(415) 867-0113</t>
  </si>
  <si>
    <t>venreo@gmail.com</t>
  </si>
  <si>
    <t>Yelp</t>
  </si>
  <si>
    <t>EST4324028</t>
  </si>
  <si>
    <t>Larry Haile</t>
  </si>
  <si>
    <t>413-250-0042</t>
  </si>
  <si>
    <t>ecru818@msn.com</t>
  </si>
  <si>
    <t>C&amp;G</t>
  </si>
  <si>
    <t>EST4324029</t>
  </si>
  <si>
    <t>Toni Tirozzi</t>
  </si>
  <si>
    <t>413-404-7250</t>
  </si>
  <si>
    <t>tonitirozzi90@gmail.com</t>
  </si>
  <si>
    <t>anonymous</t>
  </si>
  <si>
    <t xml:space="preserve"> 413-221-9987</t>
  </si>
  <si>
    <t xml:space="preserve"> 413-348-4043</t>
  </si>
  <si>
    <t>413-896-6702</t>
  </si>
  <si>
    <t>413-821-4958</t>
  </si>
  <si>
    <t>860-796-4773</t>
  </si>
  <si>
    <t>413-252-6339</t>
  </si>
  <si>
    <t>413-374-6688</t>
  </si>
  <si>
    <t>413-330-2391</t>
  </si>
  <si>
    <t>413-575-9478</t>
  </si>
  <si>
    <t>774-269-8051</t>
  </si>
  <si>
    <t>413-777-6780</t>
  </si>
  <si>
    <t>203-739-5902</t>
  </si>
  <si>
    <t>413-388-0368</t>
  </si>
  <si>
    <t>860-241-2300</t>
  </si>
  <si>
    <t>413-777-8260</t>
  </si>
  <si>
    <t>413-297-1641</t>
  </si>
  <si>
    <t>413-250-5927</t>
  </si>
  <si>
    <t>413-374-7093</t>
  </si>
  <si>
    <t>413-356-7466</t>
  </si>
  <si>
    <t>Google Tree Ad 2/1/24-4/3/24</t>
  </si>
  <si>
    <t>Google Tree Ad 11/3/23-1/15/24</t>
  </si>
  <si>
    <t>617-967-1726</t>
  </si>
  <si>
    <t>413-519-2096</t>
  </si>
  <si>
    <t>413-374-0944</t>
  </si>
  <si>
    <t>413-846-3703</t>
  </si>
  <si>
    <t>928-210-8313</t>
  </si>
  <si>
    <t>413-439-5922</t>
  </si>
  <si>
    <t>413-474-8738</t>
  </si>
  <si>
    <t>413-896-5616</t>
  </si>
  <si>
    <t>GOOGLE MY BUSINESS PROFILE RETREAVER CALLS 3/1/24 - 4/3/24</t>
  </si>
  <si>
    <t>Client Sales 1/1-3/18/24</t>
  </si>
  <si>
    <t>Janet Freeman</t>
  </si>
  <si>
    <t xml:space="preserve">Google Local Services Ad </t>
  </si>
  <si>
    <t>SOURCE</t>
  </si>
  <si>
    <t>GOOGLE TREE AD</t>
  </si>
  <si>
    <t>GOOGLE BUSINESS PROFILE PAGE</t>
  </si>
  <si>
    <t>1st contact was GOOGLE BUSINESS PROFILE PAGE</t>
  </si>
  <si>
    <t>Sum</t>
  </si>
  <si>
    <t>Average</t>
  </si>
  <si>
    <t>Running Total</t>
  </si>
  <si>
    <t>Count</t>
  </si>
  <si>
    <t xml:space="preserve">413-783-8852 </t>
  </si>
  <si>
    <t xml:space="preserve">413-306-1543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</si>
</sst>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mm/dd/yyyy"/>
    <numFmt numFmtId="165" formatCode="\$#,##0.00"/>
    <numFmt numFmtId="166" formatCode="m/d/yy"/>
    <numFmt numFmtId="167" formatCode="[&lt;=9999999]###\-####;\(###\)\ ###\-####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color rgb="FF000000"/>
      <name val="&quot;Helvetica Neue&quot;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4" fillId="0" borderId="0" xfId="0" applyNumberFormat="1" applyFont="1"/>
    <xf numFmtId="167" fontId="6" fillId="0" borderId="1" xfId="0" applyNumberFormat="1" applyFont="1" applyBorder="1" applyAlignment="1">
      <alignment vertical="top"/>
    </xf>
    <xf numFmtId="167" fontId="0" fillId="0" borderId="0" xfId="0" applyNumberFormat="1"/>
    <xf numFmtId="0" fontId="4" fillId="2" borderId="0" xfId="0" applyFont="1" applyFill="1"/>
    <xf numFmtId="167" fontId="6" fillId="2" borderId="1" xfId="0" applyNumberFormat="1" applyFont="1" applyFill="1" applyBorder="1" applyAlignment="1">
      <alignment vertical="top"/>
    </xf>
    <xf numFmtId="0" fontId="2" fillId="0" borderId="0" xfId="0" applyFont="1"/>
    <xf numFmtId="0" fontId="8" fillId="0" borderId="0" xfId="0" applyFont="1" applyAlignment="1">
      <alignment horizontal="center"/>
    </xf>
    <xf numFmtId="0" fontId="0" fillId="3" borderId="0" xfId="0" applyFill="1"/>
    <xf numFmtId="166" fontId="4" fillId="3" borderId="0" xfId="0" applyNumberFormat="1" applyFont="1" applyFill="1"/>
    <xf numFmtId="165" fontId="5" fillId="3" borderId="0" xfId="0" applyNumberFormat="1" applyFont="1" applyFill="1"/>
    <xf numFmtId="8" fontId="0" fillId="0" borderId="0" xfId="0" applyNumberFormat="1"/>
    <xf numFmtId="14" fontId="0" fillId="0" borderId="0" xfId="0" applyNumberFormat="1"/>
    <xf numFmtId="0" fontId="2" fillId="2" borderId="0" xfId="0" applyFont="1" applyFill="1"/>
    <xf numFmtId="0" fontId="0" fillId="2" borderId="0" xfId="0" applyFill="1"/>
    <xf numFmtId="0" fontId="7" fillId="2" borderId="0" xfId="0" applyFont="1" applyFill="1"/>
    <xf numFmtId="165" fontId="5" fillId="2" borderId="0" xfId="0" applyNumberFormat="1" applyFont="1" applyFill="1"/>
    <xf numFmtId="165" fontId="8" fillId="2" borderId="0" xfId="0" applyNumberFormat="1" applyFont="1" applyFill="1"/>
    <xf numFmtId="167" fontId="9" fillId="2" borderId="0" xfId="0" applyNumberFormat="1" applyFont="1" applyFill="1"/>
    <xf numFmtId="0" fontId="0" fillId="4" borderId="0" xfId="0" applyFill="1"/>
    <xf numFmtId="0" fontId="2" fillId="4" borderId="0" xfId="0" applyFont="1" applyFill="1"/>
    <xf numFmtId="0" fontId="4" fillId="4" borderId="0" xfId="0" applyFont="1" applyFill="1"/>
    <xf numFmtId="164" fontId="5" fillId="4" borderId="0" xfId="0" applyNumberFormat="1" applyFont="1" applyFill="1"/>
    <xf numFmtId="165" fontId="5" fillId="4" borderId="0" xfId="0" applyNumberFormat="1" applyFont="1" applyFill="1"/>
    <xf numFmtId="0" fontId="2" fillId="5" borderId="0" xfId="0" applyFont="1" applyFill="1"/>
    <xf numFmtId="0" fontId="0" fillId="5" borderId="0" xfId="0" applyFill="1"/>
    <xf numFmtId="164" fontId="5" fillId="2" borderId="0" xfId="0" applyNumberFormat="1" applyFont="1" applyFill="1"/>
    <xf numFmtId="167" fontId="6" fillId="0" borderId="0" xfId="0" applyNumberFormat="1" applyFont="1" applyBorder="1" applyAlignment="1">
      <alignment vertical="top"/>
    </xf>
    <xf numFmtId="167" fontId="9" fillId="0" borderId="0" xfId="0" applyNumberFormat="1" applyFont="1" applyFill="1"/>
    <xf numFmtId="167" fontId="4" fillId="0" borderId="0" xfId="0" applyNumberFormat="1" applyFont="1"/>
    <xf numFmtId="167" fontId="4" fillId="4" borderId="0" xfId="0" applyNumberFormat="1" applyFont="1" applyFill="1"/>
    <xf numFmtId="167" fontId="4" fillId="2" borderId="0" xfId="0" applyNumberFormat="1" applyFont="1" applyFill="1"/>
    <xf numFmtId="167" fontId="7" fillId="2" borderId="0" xfId="0" applyNumberFormat="1" applyFont="1" applyFill="1"/>
    <xf numFmtId="167" fontId="1" fillId="0" borderId="0" xfId="0" applyNumberFormat="1" applyFont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C47" workbookViewId="0">
      <selection activeCell="Q52" sqref="Q52"/>
    </sheetView>
  </sheetViews>
  <sheetFormatPr defaultColWidth="14.42578125" defaultRowHeight="15" customHeight="1"/>
  <cols>
    <col min="1" max="1" width="8.7109375" customWidth="1"/>
    <col min="2" max="2" width="16" customWidth="1"/>
    <col min="3" max="3" width="14" customWidth="1"/>
    <col min="4" max="4" width="16" customWidth="1"/>
    <col min="5" max="5" width="20.140625" customWidth="1"/>
    <col min="6" max="6" width="18" customWidth="1"/>
    <col min="7" max="7" width="13.42578125" customWidth="1"/>
    <col min="8" max="8" width="27.85546875" customWidth="1"/>
    <col min="9" max="9" width="12" customWidth="1"/>
    <col min="10" max="10" width="23" customWidth="1"/>
    <col min="11" max="11" width="9.140625" customWidth="1"/>
    <col min="12" max="13" width="11" customWidth="1"/>
    <col min="14" max="14" width="21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1" t="s">
        <v>383</v>
      </c>
    </row>
    <row r="2" spans="1:15">
      <c r="A2" s="2" t="s">
        <v>14</v>
      </c>
      <c r="B2" s="2" t="s">
        <v>57</v>
      </c>
      <c r="C2" s="3">
        <v>45356.5</v>
      </c>
      <c r="D2" s="3">
        <v>45356.5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19</v>
      </c>
      <c r="J2" s="3"/>
      <c r="K2" s="2" t="s">
        <v>20</v>
      </c>
      <c r="L2" s="2" t="s">
        <v>42</v>
      </c>
      <c r="N2" s="4">
        <v>2295</v>
      </c>
    </row>
    <row r="3" spans="1:15">
      <c r="A3" s="2" t="s">
        <v>14</v>
      </c>
      <c r="B3" s="2" t="s">
        <v>62</v>
      </c>
      <c r="C3" s="3">
        <v>45356.5</v>
      </c>
      <c r="D3" s="3">
        <v>45356.5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19</v>
      </c>
      <c r="J3" s="3"/>
      <c r="K3" s="2" t="s">
        <v>20</v>
      </c>
      <c r="L3" s="2" t="s">
        <v>42</v>
      </c>
      <c r="N3" s="4">
        <v>1450</v>
      </c>
    </row>
    <row r="4" spans="1:15">
      <c r="A4" s="2" t="s">
        <v>14</v>
      </c>
      <c r="B4" s="2" t="s">
        <v>114</v>
      </c>
      <c r="C4" s="3">
        <v>45350.5</v>
      </c>
      <c r="D4" s="3">
        <v>45350.5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19</v>
      </c>
      <c r="J4" s="3"/>
      <c r="K4" s="2" t="s">
        <v>20</v>
      </c>
      <c r="L4" s="2" t="s">
        <v>42</v>
      </c>
      <c r="N4" s="4">
        <v>1750</v>
      </c>
    </row>
    <row r="5" spans="1:15">
      <c r="A5" s="2" t="s">
        <v>14</v>
      </c>
      <c r="B5" s="2" t="s">
        <v>115</v>
      </c>
      <c r="C5" s="3">
        <v>45349.5</v>
      </c>
      <c r="D5" s="3">
        <v>45349.5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19</v>
      </c>
      <c r="J5" s="3"/>
      <c r="K5" s="2" t="s">
        <v>20</v>
      </c>
      <c r="L5" s="2" t="s">
        <v>42</v>
      </c>
      <c r="N5" s="4">
        <v>750</v>
      </c>
    </row>
    <row r="6" spans="1:15">
      <c r="A6" s="2" t="s">
        <v>14</v>
      </c>
      <c r="B6" s="2" t="s">
        <v>134</v>
      </c>
      <c r="C6" s="3">
        <v>45348.5</v>
      </c>
      <c r="D6" s="3">
        <v>45348.5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19</v>
      </c>
      <c r="J6" s="3"/>
      <c r="K6" s="2" t="s">
        <v>20</v>
      </c>
      <c r="L6" s="2" t="s">
        <v>42</v>
      </c>
      <c r="N6" s="4">
        <v>3675</v>
      </c>
    </row>
    <row r="7" spans="1:15">
      <c r="A7" s="2" t="s">
        <v>14</v>
      </c>
      <c r="B7" s="2" t="s">
        <v>135</v>
      </c>
      <c r="C7" s="3">
        <v>45348.5</v>
      </c>
      <c r="D7" s="3">
        <v>45348.5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19</v>
      </c>
      <c r="J7" s="3"/>
      <c r="K7" s="2" t="s">
        <v>20</v>
      </c>
      <c r="L7" s="2" t="s">
        <v>42</v>
      </c>
      <c r="N7" s="4">
        <v>2350</v>
      </c>
    </row>
    <row r="8" spans="1:15">
      <c r="A8" s="2" t="s">
        <v>14</v>
      </c>
      <c r="B8" s="2" t="s">
        <v>250</v>
      </c>
      <c r="C8" s="3">
        <v>45310.5</v>
      </c>
      <c r="D8" s="3">
        <v>45310.5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19</v>
      </c>
      <c r="J8" s="3"/>
      <c r="K8" s="2" t="s">
        <v>20</v>
      </c>
      <c r="L8" s="2" t="s">
        <v>42</v>
      </c>
      <c r="N8" s="4">
        <v>5395</v>
      </c>
    </row>
    <row r="9" spans="1:15">
      <c r="A9" s="2" t="s">
        <v>14</v>
      </c>
      <c r="B9" s="2" t="s">
        <v>326</v>
      </c>
      <c r="C9" s="3">
        <v>45295.5</v>
      </c>
      <c r="D9" s="3">
        <v>45298.5</v>
      </c>
      <c r="E9" s="2" t="s">
        <v>327</v>
      </c>
      <c r="F9" s="2" t="s">
        <v>328</v>
      </c>
      <c r="H9" s="2" t="s">
        <v>329</v>
      </c>
      <c r="I9" s="2" t="s">
        <v>19</v>
      </c>
      <c r="J9" s="3">
        <v>45302.664768518502</v>
      </c>
      <c r="K9" s="2" t="s">
        <v>20</v>
      </c>
      <c r="L9" s="2" t="s">
        <v>42</v>
      </c>
      <c r="N9" s="4">
        <v>1930</v>
      </c>
    </row>
    <row r="10" spans="1:15">
      <c r="A10" s="2" t="s">
        <v>14</v>
      </c>
      <c r="B10" s="2" t="s">
        <v>321</v>
      </c>
      <c r="C10" s="3">
        <v>45295.5</v>
      </c>
      <c r="D10" s="3">
        <v>45296.5</v>
      </c>
      <c r="E10" s="2" t="s">
        <v>322</v>
      </c>
      <c r="F10" s="2" t="s">
        <v>323</v>
      </c>
      <c r="G10" s="2" t="s">
        <v>324</v>
      </c>
      <c r="H10" s="2" t="s">
        <v>325</v>
      </c>
      <c r="I10" s="2" t="s">
        <v>19</v>
      </c>
      <c r="J10" s="3">
        <v>45296.669849537</v>
      </c>
      <c r="K10" s="2" t="s">
        <v>20</v>
      </c>
      <c r="L10" s="2" t="s">
        <v>42</v>
      </c>
      <c r="N10" s="4">
        <v>995</v>
      </c>
    </row>
    <row r="11" spans="1:15">
      <c r="A11" s="2" t="s">
        <v>14</v>
      </c>
      <c r="B11" s="2" t="s">
        <v>335</v>
      </c>
      <c r="C11" s="3">
        <v>45290.5</v>
      </c>
      <c r="D11" s="3">
        <v>45293.5</v>
      </c>
      <c r="E11" s="2" t="s">
        <v>336</v>
      </c>
      <c r="F11" s="2" t="s">
        <v>337</v>
      </c>
      <c r="H11" s="2" t="s">
        <v>338</v>
      </c>
      <c r="I11" s="2" t="s">
        <v>19</v>
      </c>
      <c r="J11" s="3">
        <v>45293.827511574098</v>
      </c>
      <c r="K11" s="2" t="s">
        <v>20</v>
      </c>
      <c r="L11" s="2" t="s">
        <v>339</v>
      </c>
      <c r="N11" s="4">
        <v>4595</v>
      </c>
    </row>
    <row r="12" spans="1:15">
      <c r="A12" s="2" t="s">
        <v>14</v>
      </c>
      <c r="B12" s="2" t="s">
        <v>196</v>
      </c>
      <c r="C12" s="3">
        <v>45327.5</v>
      </c>
      <c r="D12" s="3">
        <v>45331.5</v>
      </c>
      <c r="E12" s="2" t="s">
        <v>197</v>
      </c>
      <c r="F12" s="2" t="s">
        <v>198</v>
      </c>
      <c r="H12" s="2" t="s">
        <v>199</v>
      </c>
      <c r="I12" s="2" t="s">
        <v>19</v>
      </c>
      <c r="J12" s="3">
        <v>45328.657881944397</v>
      </c>
      <c r="K12" s="2" t="s">
        <v>20</v>
      </c>
      <c r="L12" s="2" t="s">
        <v>200</v>
      </c>
      <c r="N12" s="4">
        <v>1675</v>
      </c>
    </row>
    <row r="13" spans="1:15">
      <c r="A13" s="2" t="s">
        <v>14</v>
      </c>
      <c r="B13" s="2" t="s">
        <v>301</v>
      </c>
      <c r="C13" s="3">
        <v>45299.5</v>
      </c>
      <c r="D13" s="3"/>
      <c r="E13" s="2" t="s">
        <v>302</v>
      </c>
      <c r="F13" s="2" t="s">
        <v>303</v>
      </c>
      <c r="H13" s="2" t="s">
        <v>304</v>
      </c>
      <c r="I13" s="2" t="s">
        <v>19</v>
      </c>
      <c r="J13" s="3"/>
      <c r="K13" s="2" t="s">
        <v>20</v>
      </c>
      <c r="L13" s="2" t="s">
        <v>129</v>
      </c>
      <c r="M13" s="2" t="s">
        <v>305</v>
      </c>
      <c r="N13" s="4">
        <v>175</v>
      </c>
    </row>
    <row r="14" spans="1:15">
      <c r="A14" s="2" t="s">
        <v>14</v>
      </c>
      <c r="B14" s="2" t="s">
        <v>150</v>
      </c>
      <c r="C14" s="3">
        <v>45341.5</v>
      </c>
      <c r="D14" s="3">
        <v>45345.5</v>
      </c>
      <c r="E14" s="2" t="s">
        <v>151</v>
      </c>
      <c r="F14" s="2" t="s">
        <v>152</v>
      </c>
      <c r="H14" s="2" t="s">
        <v>153</v>
      </c>
      <c r="I14" s="2" t="s">
        <v>19</v>
      </c>
      <c r="J14" s="3">
        <v>45345.572453703702</v>
      </c>
      <c r="K14" s="2" t="s">
        <v>20</v>
      </c>
      <c r="L14" s="2" t="s">
        <v>42</v>
      </c>
      <c r="M14" s="2" t="s">
        <v>154</v>
      </c>
      <c r="N14" s="4">
        <v>3090</v>
      </c>
    </row>
    <row r="15" spans="1:15" s="23" customFormat="1">
      <c r="A15" s="25" t="s">
        <v>14</v>
      </c>
      <c r="B15" s="25" t="s">
        <v>192</v>
      </c>
      <c r="C15" s="26">
        <v>45330.5</v>
      </c>
      <c r="D15" s="26">
        <v>45330.5</v>
      </c>
      <c r="E15" s="25" t="s">
        <v>193</v>
      </c>
      <c r="F15" s="25" t="s">
        <v>194</v>
      </c>
      <c r="H15" s="25" t="s">
        <v>195</v>
      </c>
      <c r="I15" s="25" t="s">
        <v>19</v>
      </c>
      <c r="J15" s="26">
        <v>45330.825891203698</v>
      </c>
      <c r="K15" s="25" t="s">
        <v>20</v>
      </c>
      <c r="L15" s="25" t="s">
        <v>37</v>
      </c>
      <c r="N15" s="27">
        <v>3300</v>
      </c>
      <c r="O15" s="24" t="s">
        <v>384</v>
      </c>
    </row>
    <row r="16" spans="1:15">
      <c r="A16" s="2" t="s">
        <v>14</v>
      </c>
      <c r="B16" s="2" t="s">
        <v>201</v>
      </c>
      <c r="C16" s="3">
        <v>45324.5</v>
      </c>
      <c r="D16" s="3">
        <v>45326.5</v>
      </c>
      <c r="E16" s="2" t="s">
        <v>202</v>
      </c>
      <c r="F16" s="2" t="s">
        <v>203</v>
      </c>
      <c r="H16" s="2" t="s">
        <v>204</v>
      </c>
      <c r="I16" s="2" t="s">
        <v>19</v>
      </c>
      <c r="J16" s="3">
        <v>45326.622384259303</v>
      </c>
      <c r="K16" s="2" t="s">
        <v>20</v>
      </c>
      <c r="M16" s="2" t="s">
        <v>205</v>
      </c>
      <c r="N16" s="4">
        <v>450</v>
      </c>
    </row>
    <row r="17" spans="1:15">
      <c r="A17" s="2" t="s">
        <v>14</v>
      </c>
      <c r="B17" s="2" t="s">
        <v>44</v>
      </c>
      <c r="C17" s="3">
        <v>45362.5</v>
      </c>
      <c r="D17" s="3">
        <v>45363.5</v>
      </c>
      <c r="E17" s="2" t="s">
        <v>45</v>
      </c>
      <c r="F17" s="2" t="s">
        <v>46</v>
      </c>
      <c r="H17" s="2" t="s">
        <v>47</v>
      </c>
      <c r="I17" s="2" t="s">
        <v>19</v>
      </c>
      <c r="J17" s="3">
        <v>45363.9375925926</v>
      </c>
      <c r="K17" s="2" t="s">
        <v>20</v>
      </c>
      <c r="L17" s="2" t="s">
        <v>37</v>
      </c>
      <c r="N17" s="4">
        <v>1595</v>
      </c>
    </row>
    <row r="18" spans="1:15">
      <c r="A18" s="2" t="s">
        <v>14</v>
      </c>
      <c r="B18" s="2" t="s">
        <v>289</v>
      </c>
      <c r="C18" s="3">
        <v>45302.5</v>
      </c>
      <c r="D18" s="3">
        <v>45331.5</v>
      </c>
      <c r="E18" s="2" t="s">
        <v>290</v>
      </c>
      <c r="F18" s="2" t="s">
        <v>291</v>
      </c>
      <c r="G18" s="2" t="s">
        <v>292</v>
      </c>
      <c r="H18" s="2" t="s">
        <v>293</v>
      </c>
      <c r="I18" s="2" t="s">
        <v>19</v>
      </c>
      <c r="J18" s="3">
        <v>45306.790393518502</v>
      </c>
      <c r="K18" s="2" t="s">
        <v>20</v>
      </c>
      <c r="L18" s="2" t="s">
        <v>42</v>
      </c>
      <c r="N18" s="4">
        <v>6250</v>
      </c>
    </row>
    <row r="19" spans="1:15">
      <c r="A19" s="2" t="s">
        <v>14</v>
      </c>
      <c r="B19" s="2" t="s">
        <v>294</v>
      </c>
      <c r="C19" s="3">
        <v>45302.5</v>
      </c>
      <c r="D19" s="3"/>
      <c r="E19" s="2" t="s">
        <v>290</v>
      </c>
      <c r="F19" s="2" t="s">
        <v>291</v>
      </c>
      <c r="G19" s="2" t="s">
        <v>292</v>
      </c>
      <c r="H19" s="2" t="s">
        <v>293</v>
      </c>
      <c r="I19" s="2" t="s">
        <v>19</v>
      </c>
      <c r="J19" s="3"/>
      <c r="K19" s="2" t="s">
        <v>20</v>
      </c>
      <c r="L19" s="2" t="s">
        <v>42</v>
      </c>
      <c r="N19" s="4">
        <v>350</v>
      </c>
    </row>
    <row r="20" spans="1:15">
      <c r="A20" s="2" t="s">
        <v>14</v>
      </c>
      <c r="B20" s="2" t="s">
        <v>340</v>
      </c>
      <c r="C20" s="3">
        <v>45290.5</v>
      </c>
      <c r="D20" s="3">
        <v>45292.5</v>
      </c>
      <c r="E20" s="2" t="s">
        <v>341</v>
      </c>
      <c r="F20" s="2" t="s">
        <v>342</v>
      </c>
      <c r="H20" s="2" t="s">
        <v>343</v>
      </c>
      <c r="I20" s="2" t="s">
        <v>19</v>
      </c>
      <c r="J20" s="3">
        <v>45292.879548611098</v>
      </c>
      <c r="K20" s="2" t="s">
        <v>20</v>
      </c>
      <c r="L20" s="2" t="s">
        <v>11</v>
      </c>
      <c r="M20" s="2" t="s">
        <v>344</v>
      </c>
      <c r="N20" s="4">
        <v>750</v>
      </c>
    </row>
    <row r="21" spans="1:15" ht="15.75" customHeight="1">
      <c r="A21" s="2" t="s">
        <v>14</v>
      </c>
      <c r="B21" s="2" t="s">
        <v>228</v>
      </c>
      <c r="C21" s="3">
        <v>45315.5</v>
      </c>
      <c r="D21" s="3"/>
      <c r="E21" s="2" t="s">
        <v>229</v>
      </c>
      <c r="F21" s="2" t="s">
        <v>230</v>
      </c>
      <c r="H21" s="2" t="s">
        <v>231</v>
      </c>
      <c r="I21" s="2" t="s">
        <v>19</v>
      </c>
      <c r="J21" s="3"/>
      <c r="K21" s="2" t="s">
        <v>20</v>
      </c>
      <c r="L21" s="2" t="s">
        <v>200</v>
      </c>
      <c r="N21" s="4">
        <v>250</v>
      </c>
    </row>
    <row r="22" spans="1:15" ht="15.75" customHeight="1">
      <c r="A22" s="2" t="s">
        <v>14</v>
      </c>
      <c r="B22" s="2" t="s">
        <v>144</v>
      </c>
      <c r="C22" s="3">
        <v>45341.5</v>
      </c>
      <c r="D22" s="3">
        <v>45341.5</v>
      </c>
      <c r="E22" s="2" t="s">
        <v>145</v>
      </c>
      <c r="F22" s="2" t="s">
        <v>146</v>
      </c>
      <c r="H22" s="2" t="s">
        <v>147</v>
      </c>
      <c r="I22" s="2" t="s">
        <v>19</v>
      </c>
      <c r="J22" s="3">
        <v>45341.622453703698</v>
      </c>
      <c r="K22" s="2" t="s">
        <v>20</v>
      </c>
      <c r="L22" s="2" t="s">
        <v>37</v>
      </c>
      <c r="M22" s="2" t="s">
        <v>148</v>
      </c>
      <c r="N22" s="4">
        <v>3670</v>
      </c>
    </row>
    <row r="23" spans="1:15" ht="15.75" customHeight="1">
      <c r="A23" s="2" t="s">
        <v>14</v>
      </c>
      <c r="B23" s="2" t="s">
        <v>48</v>
      </c>
      <c r="C23" s="3">
        <v>45359.5</v>
      </c>
      <c r="D23" s="3">
        <v>45363.5</v>
      </c>
      <c r="E23" s="2" t="s">
        <v>49</v>
      </c>
      <c r="F23" s="2" t="s">
        <v>50</v>
      </c>
      <c r="H23" s="2" t="s">
        <v>51</v>
      </c>
      <c r="I23" s="2" t="s">
        <v>19</v>
      </c>
      <c r="J23" s="3"/>
      <c r="K23" s="2" t="s">
        <v>20</v>
      </c>
      <c r="L23" s="2" t="s">
        <v>11</v>
      </c>
      <c r="M23" s="2" t="s">
        <v>52</v>
      </c>
      <c r="N23" s="4">
        <v>950</v>
      </c>
    </row>
    <row r="24" spans="1:15" ht="15.75" customHeight="1">
      <c r="A24" s="2" t="s">
        <v>14</v>
      </c>
      <c r="B24" s="2" t="s">
        <v>315</v>
      </c>
      <c r="C24" s="3">
        <v>45295.5</v>
      </c>
      <c r="D24" s="3">
        <v>45295.5</v>
      </c>
      <c r="E24" s="2" t="s">
        <v>316</v>
      </c>
      <c r="F24" s="2" t="s">
        <v>317</v>
      </c>
      <c r="H24" s="2" t="s">
        <v>318</v>
      </c>
      <c r="I24" s="2" t="s">
        <v>19</v>
      </c>
      <c r="J24" s="3">
        <v>45296.036793981497</v>
      </c>
      <c r="K24" s="2" t="s">
        <v>20</v>
      </c>
      <c r="L24" s="2" t="s">
        <v>319</v>
      </c>
      <c r="M24" s="2" t="s">
        <v>320</v>
      </c>
      <c r="N24" s="4">
        <v>675</v>
      </c>
    </row>
    <row r="25" spans="1:15" ht="15.75" customHeight="1">
      <c r="A25" s="2" t="s">
        <v>14</v>
      </c>
      <c r="B25" s="2" t="s">
        <v>187</v>
      </c>
      <c r="C25" s="3">
        <v>45331.5</v>
      </c>
      <c r="D25" s="3">
        <v>45334.5</v>
      </c>
      <c r="E25" s="2" t="s">
        <v>188</v>
      </c>
      <c r="F25" s="2" t="s">
        <v>189</v>
      </c>
      <c r="H25" s="2" t="s">
        <v>190</v>
      </c>
      <c r="I25" s="2" t="s">
        <v>19</v>
      </c>
      <c r="J25" s="3">
        <v>45331.605532407397</v>
      </c>
      <c r="K25" s="2" t="s">
        <v>20</v>
      </c>
      <c r="L25" s="2" t="s">
        <v>11</v>
      </c>
      <c r="M25" s="2" t="s">
        <v>191</v>
      </c>
      <c r="N25" s="4">
        <v>2795</v>
      </c>
    </row>
    <row r="26" spans="1:15" ht="15.75" customHeight="1">
      <c r="A26" s="2" t="s">
        <v>14</v>
      </c>
      <c r="B26" s="2" t="s">
        <v>93</v>
      </c>
      <c r="C26" s="3">
        <v>45351.5</v>
      </c>
      <c r="D26" s="3">
        <v>45355.5</v>
      </c>
      <c r="E26" s="2" t="s">
        <v>94</v>
      </c>
      <c r="F26" s="2" t="s">
        <v>95</v>
      </c>
      <c r="H26" s="2" t="s">
        <v>96</v>
      </c>
      <c r="I26" s="2" t="s">
        <v>19</v>
      </c>
      <c r="J26" s="3">
        <v>45355.8468055556</v>
      </c>
      <c r="K26" s="2" t="s">
        <v>20</v>
      </c>
      <c r="L26" s="2" t="s">
        <v>42</v>
      </c>
      <c r="M26" s="2" t="s">
        <v>97</v>
      </c>
      <c r="N26" s="4">
        <v>3123</v>
      </c>
    </row>
    <row r="27" spans="1:15" ht="15.75" customHeight="1">
      <c r="A27" s="2" t="s">
        <v>14</v>
      </c>
      <c r="B27" s="2" t="s">
        <v>22</v>
      </c>
      <c r="C27" s="3">
        <v>45364.5</v>
      </c>
      <c r="D27" s="3">
        <v>45364.5</v>
      </c>
      <c r="E27" s="2" t="s">
        <v>23</v>
      </c>
      <c r="F27" s="2" t="s">
        <v>24</v>
      </c>
      <c r="G27" s="2" t="s">
        <v>25</v>
      </c>
      <c r="H27" s="2" t="s">
        <v>26</v>
      </c>
      <c r="I27" s="2" t="s">
        <v>19</v>
      </c>
      <c r="J27" s="3"/>
      <c r="K27" s="2" t="s">
        <v>20</v>
      </c>
      <c r="L27" s="2" t="s">
        <v>11</v>
      </c>
      <c r="N27" s="4">
        <v>200</v>
      </c>
    </row>
    <row r="28" spans="1:15" ht="15.75" customHeight="1">
      <c r="A28" s="2" t="s">
        <v>14</v>
      </c>
      <c r="B28" s="2" t="s">
        <v>116</v>
      </c>
      <c r="C28" s="3">
        <v>45348.5</v>
      </c>
      <c r="D28" s="3">
        <v>45355.5</v>
      </c>
      <c r="E28" s="2" t="s">
        <v>117</v>
      </c>
      <c r="F28" s="2" t="s">
        <v>118</v>
      </c>
      <c r="H28" s="2" t="s">
        <v>119</v>
      </c>
      <c r="I28" s="2" t="s">
        <v>19</v>
      </c>
      <c r="J28" s="3"/>
      <c r="K28" s="2" t="s">
        <v>20</v>
      </c>
      <c r="L28" s="2" t="s">
        <v>11</v>
      </c>
      <c r="M28" s="2" t="s">
        <v>120</v>
      </c>
      <c r="N28" s="4">
        <v>9500</v>
      </c>
    </row>
    <row r="29" spans="1:15" ht="15.75" customHeight="1">
      <c r="A29" s="2" t="s">
        <v>14</v>
      </c>
      <c r="B29" s="2" t="s">
        <v>241</v>
      </c>
      <c r="C29" s="3">
        <v>45310.5</v>
      </c>
      <c r="D29" s="3">
        <v>45362.5</v>
      </c>
      <c r="E29" s="2" t="s">
        <v>242</v>
      </c>
      <c r="F29" s="2" t="s">
        <v>243</v>
      </c>
      <c r="H29" s="2" t="s">
        <v>244</v>
      </c>
      <c r="I29" s="2" t="s">
        <v>19</v>
      </c>
      <c r="J29" s="3">
        <v>45314.659583333298</v>
      </c>
      <c r="K29" s="2" t="s">
        <v>20</v>
      </c>
      <c r="L29" s="2" t="s">
        <v>11</v>
      </c>
      <c r="M29" s="2" t="s">
        <v>245</v>
      </c>
      <c r="N29" s="4">
        <v>3075</v>
      </c>
    </row>
    <row r="30" spans="1:15" ht="15.75" customHeight="1">
      <c r="A30" s="2" t="s">
        <v>14</v>
      </c>
      <c r="B30" s="2" t="s">
        <v>246</v>
      </c>
      <c r="C30" s="3">
        <v>45310.5</v>
      </c>
      <c r="D30" s="3">
        <v>45314.5</v>
      </c>
      <c r="E30" s="2" t="s">
        <v>247</v>
      </c>
      <c r="F30" s="2" t="s">
        <v>248</v>
      </c>
      <c r="H30" s="2" t="s">
        <v>249</v>
      </c>
      <c r="I30" s="2" t="s">
        <v>19</v>
      </c>
      <c r="J30" s="3">
        <v>45310.788622685199</v>
      </c>
      <c r="K30" s="2" t="s">
        <v>20</v>
      </c>
      <c r="L30" s="2" t="s">
        <v>37</v>
      </c>
      <c r="N30" s="4">
        <v>675</v>
      </c>
    </row>
    <row r="31" spans="1:15" s="18" customFormat="1" ht="15.75" customHeight="1">
      <c r="A31" s="8" t="s">
        <v>14</v>
      </c>
      <c r="B31" s="8" t="s">
        <v>207</v>
      </c>
      <c r="C31" s="30">
        <v>45320.5</v>
      </c>
      <c r="D31" s="30">
        <v>45327.5</v>
      </c>
      <c r="E31" s="8" t="s">
        <v>208</v>
      </c>
      <c r="F31" s="8" t="s">
        <v>209</v>
      </c>
      <c r="H31" s="8" t="s">
        <v>210</v>
      </c>
      <c r="I31" s="8" t="s">
        <v>19</v>
      </c>
      <c r="J31" s="30">
        <v>45327.783020833303</v>
      </c>
      <c r="K31" s="8" t="s">
        <v>20</v>
      </c>
      <c r="L31" s="8" t="s">
        <v>37</v>
      </c>
      <c r="M31" s="8" t="s">
        <v>211</v>
      </c>
      <c r="N31" s="20">
        <v>625</v>
      </c>
      <c r="O31" s="17" t="s">
        <v>385</v>
      </c>
    </row>
    <row r="32" spans="1:15" ht="15.75" customHeight="1">
      <c r="A32" s="2" t="s">
        <v>14</v>
      </c>
      <c r="B32" s="2" t="s">
        <v>155</v>
      </c>
      <c r="C32" s="3">
        <v>45341.5</v>
      </c>
      <c r="D32" s="3"/>
      <c r="E32" s="2" t="s">
        <v>156</v>
      </c>
      <c r="F32" s="2" t="s">
        <v>157</v>
      </c>
      <c r="H32" s="2" t="s">
        <v>158</v>
      </c>
      <c r="I32" s="2" t="s">
        <v>19</v>
      </c>
      <c r="J32" s="3"/>
      <c r="K32" s="2" t="s">
        <v>20</v>
      </c>
      <c r="L32" s="2" t="s">
        <v>42</v>
      </c>
      <c r="M32" s="2" t="s">
        <v>37</v>
      </c>
      <c r="N32" s="4">
        <v>1488.9</v>
      </c>
    </row>
    <row r="33" spans="1:14" ht="15.75" customHeight="1">
      <c r="A33" s="2" t="s">
        <v>14</v>
      </c>
      <c r="B33" s="2" t="s">
        <v>140</v>
      </c>
      <c r="C33" s="3">
        <v>45342.5</v>
      </c>
      <c r="D33" s="3">
        <v>45355.5</v>
      </c>
      <c r="E33" s="2" t="s">
        <v>141</v>
      </c>
      <c r="F33" s="2" t="s">
        <v>142</v>
      </c>
      <c r="H33" s="2" t="s">
        <v>143</v>
      </c>
      <c r="I33" s="2" t="s">
        <v>19</v>
      </c>
      <c r="J33" s="3">
        <v>45355.637731481504</v>
      </c>
      <c r="K33" s="2" t="s">
        <v>20</v>
      </c>
      <c r="L33" s="2" t="s">
        <v>37</v>
      </c>
      <c r="N33" s="4">
        <v>1250</v>
      </c>
    </row>
    <row r="34" spans="1:14" ht="15.75" customHeight="1">
      <c r="A34" s="2" t="s">
        <v>14</v>
      </c>
      <c r="B34" s="2" t="s">
        <v>276</v>
      </c>
      <c r="C34" s="3">
        <v>45302.5</v>
      </c>
      <c r="D34" s="3">
        <v>45303.5</v>
      </c>
      <c r="E34" s="2" t="s">
        <v>277</v>
      </c>
      <c r="F34" s="2" t="s">
        <v>278</v>
      </c>
      <c r="G34" s="2" t="s">
        <v>279</v>
      </c>
      <c r="H34" s="2" t="s">
        <v>280</v>
      </c>
      <c r="I34" s="2" t="s">
        <v>19</v>
      </c>
      <c r="J34" s="3">
        <v>45310.7575</v>
      </c>
      <c r="K34" s="2" t="s">
        <v>20</v>
      </c>
      <c r="L34" s="2" t="s">
        <v>42</v>
      </c>
      <c r="N34" s="4">
        <v>2935</v>
      </c>
    </row>
    <row r="35" spans="1:14" ht="15.75" customHeight="1">
      <c r="A35" s="2" t="s">
        <v>14</v>
      </c>
      <c r="B35" s="2" t="s">
        <v>345</v>
      </c>
      <c r="C35" s="3">
        <v>45290.5</v>
      </c>
      <c r="D35" s="3">
        <v>45312.5</v>
      </c>
      <c r="E35" s="2" t="s">
        <v>346</v>
      </c>
      <c r="F35" s="2" t="s">
        <v>347</v>
      </c>
      <c r="H35" s="2" t="s">
        <v>348</v>
      </c>
      <c r="I35" s="2" t="s">
        <v>19</v>
      </c>
      <c r="J35" s="3">
        <v>45312.871284722198</v>
      </c>
      <c r="K35" s="2" t="s">
        <v>20</v>
      </c>
      <c r="L35" s="2" t="s">
        <v>129</v>
      </c>
      <c r="N35" s="4">
        <v>600</v>
      </c>
    </row>
    <row r="36" spans="1:14" ht="15.75" customHeight="1">
      <c r="A36" s="2" t="s">
        <v>14</v>
      </c>
      <c r="B36" s="2" t="s">
        <v>27</v>
      </c>
      <c r="C36" s="3">
        <v>45363.5</v>
      </c>
      <c r="D36" s="3">
        <v>45363.5</v>
      </c>
      <c r="E36" s="2" t="s">
        <v>28</v>
      </c>
      <c r="F36" s="2" t="s">
        <v>29</v>
      </c>
      <c r="H36" s="2" t="s">
        <v>30</v>
      </c>
      <c r="I36" s="2" t="s">
        <v>19</v>
      </c>
      <c r="J36" s="3">
        <v>45363.734745370399</v>
      </c>
      <c r="K36" s="2" t="s">
        <v>20</v>
      </c>
      <c r="L36" s="2" t="s">
        <v>11</v>
      </c>
      <c r="M36" s="2" t="s">
        <v>31</v>
      </c>
      <c r="N36" s="4">
        <v>4075</v>
      </c>
    </row>
    <row r="37" spans="1:14" ht="15.75" customHeight="1">
      <c r="A37" s="2" t="s">
        <v>14</v>
      </c>
      <c r="B37" s="2" t="s">
        <v>297</v>
      </c>
      <c r="C37" s="3">
        <v>45299.5</v>
      </c>
      <c r="D37" s="3"/>
      <c r="E37" s="2" t="s">
        <v>298</v>
      </c>
      <c r="F37" s="2" t="s">
        <v>299</v>
      </c>
      <c r="I37" s="2" t="s">
        <v>19</v>
      </c>
      <c r="J37" s="3"/>
      <c r="K37" s="2" t="s">
        <v>20</v>
      </c>
      <c r="L37" s="2" t="s">
        <v>300</v>
      </c>
      <c r="N37" s="4">
        <v>175</v>
      </c>
    </row>
    <row r="38" spans="1:14" ht="15.75" customHeight="1">
      <c r="A38" s="2" t="s">
        <v>14</v>
      </c>
      <c r="B38" s="2" t="s">
        <v>130</v>
      </c>
      <c r="C38" s="3">
        <v>45348.5</v>
      </c>
      <c r="D38" s="3">
        <v>45357.5</v>
      </c>
      <c r="E38" s="2" t="s">
        <v>131</v>
      </c>
      <c r="F38" s="2" t="s">
        <v>132</v>
      </c>
      <c r="H38" s="2" t="s">
        <v>133</v>
      </c>
      <c r="I38" s="2" t="s">
        <v>19</v>
      </c>
      <c r="J38" s="3">
        <v>45357.771712962996</v>
      </c>
      <c r="K38" s="2" t="s">
        <v>20</v>
      </c>
      <c r="N38" s="4">
        <v>3195</v>
      </c>
    </row>
    <row r="39" spans="1:14" ht="15.75" customHeight="1">
      <c r="A39" s="2" t="s">
        <v>14</v>
      </c>
      <c r="B39" s="2" t="s">
        <v>69</v>
      </c>
      <c r="C39" s="3">
        <v>45355.5</v>
      </c>
      <c r="D39" s="3">
        <v>45355.5</v>
      </c>
      <c r="E39" s="2" t="s">
        <v>70</v>
      </c>
      <c r="F39" s="2" t="s">
        <v>71</v>
      </c>
      <c r="H39" s="2" t="s">
        <v>72</v>
      </c>
      <c r="I39" s="2" t="s">
        <v>19</v>
      </c>
      <c r="J39" s="3"/>
      <c r="K39" s="2" t="s">
        <v>20</v>
      </c>
      <c r="L39" s="2" t="s">
        <v>42</v>
      </c>
      <c r="M39" s="2" t="s">
        <v>73</v>
      </c>
      <c r="N39" s="4">
        <v>1275</v>
      </c>
    </row>
    <row r="40" spans="1:14" ht="15.75" customHeight="1">
      <c r="A40" s="2" t="s">
        <v>14</v>
      </c>
      <c r="B40" s="2" t="s">
        <v>74</v>
      </c>
      <c r="C40" s="3">
        <v>45352.5</v>
      </c>
      <c r="D40" s="3"/>
      <c r="E40" s="2" t="s">
        <v>70</v>
      </c>
      <c r="F40" s="2" t="s">
        <v>71</v>
      </c>
      <c r="H40" s="2" t="s">
        <v>72</v>
      </c>
      <c r="I40" s="2" t="s">
        <v>19</v>
      </c>
      <c r="J40" s="3"/>
      <c r="K40" s="2" t="s">
        <v>20</v>
      </c>
      <c r="L40" s="2" t="s">
        <v>42</v>
      </c>
      <c r="M40" s="2" t="s">
        <v>73</v>
      </c>
      <c r="N40" s="4">
        <v>875</v>
      </c>
    </row>
    <row r="41" spans="1:14" ht="15.75" customHeight="1">
      <c r="A41" s="2" t="s">
        <v>14</v>
      </c>
      <c r="B41" s="2" t="s">
        <v>163</v>
      </c>
      <c r="C41" s="3">
        <v>45338.5</v>
      </c>
      <c r="D41" s="3">
        <v>45345.5</v>
      </c>
      <c r="E41" s="2" t="s">
        <v>164</v>
      </c>
      <c r="F41" s="2" t="s">
        <v>165</v>
      </c>
      <c r="H41" s="2" t="s">
        <v>166</v>
      </c>
      <c r="I41" s="2" t="s">
        <v>19</v>
      </c>
      <c r="J41" s="3">
        <v>45345.981932870403</v>
      </c>
      <c r="K41" s="2" t="s">
        <v>20</v>
      </c>
      <c r="L41" s="2" t="s">
        <v>42</v>
      </c>
      <c r="N41" s="4">
        <v>1075</v>
      </c>
    </row>
    <row r="42" spans="1:14" ht="15.75" customHeight="1">
      <c r="A42" s="2" t="s">
        <v>14</v>
      </c>
      <c r="B42" s="2" t="s">
        <v>104</v>
      </c>
      <c r="C42" s="3">
        <v>45351.5</v>
      </c>
      <c r="D42" s="3">
        <v>45359.5</v>
      </c>
      <c r="E42" s="2" t="s">
        <v>105</v>
      </c>
      <c r="F42" s="2" t="s">
        <v>106</v>
      </c>
      <c r="H42" s="2" t="s">
        <v>107</v>
      </c>
      <c r="I42" s="2" t="s">
        <v>19</v>
      </c>
      <c r="J42" s="3">
        <v>45359.689988425896</v>
      </c>
      <c r="K42" s="2" t="s">
        <v>20</v>
      </c>
      <c r="L42" s="2" t="s">
        <v>42</v>
      </c>
      <c r="M42" s="2" t="s">
        <v>108</v>
      </c>
      <c r="N42" s="4">
        <v>495</v>
      </c>
    </row>
    <row r="43" spans="1:14" ht="15.75" customHeight="1">
      <c r="A43" s="2" t="s">
        <v>14</v>
      </c>
      <c r="B43" s="2" t="s">
        <v>232</v>
      </c>
      <c r="C43" s="3">
        <v>45314.5</v>
      </c>
      <c r="D43" s="3">
        <v>45321.5</v>
      </c>
      <c r="E43" s="2" t="s">
        <v>233</v>
      </c>
      <c r="F43" s="2" t="s">
        <v>234</v>
      </c>
      <c r="H43" s="2" t="s">
        <v>235</v>
      </c>
      <c r="I43" s="2" t="s">
        <v>19</v>
      </c>
      <c r="J43" s="3">
        <v>45321.804317129601</v>
      </c>
      <c r="K43" s="2" t="s">
        <v>20</v>
      </c>
      <c r="L43" s="2" t="s">
        <v>11</v>
      </c>
      <c r="M43" s="2" t="s">
        <v>236</v>
      </c>
      <c r="N43" s="4">
        <v>1750</v>
      </c>
    </row>
    <row r="44" spans="1:14" ht="15.75" customHeight="1">
      <c r="A44" s="2" t="s">
        <v>14</v>
      </c>
      <c r="B44" s="2" t="s">
        <v>178</v>
      </c>
      <c r="C44" s="3">
        <v>45335.5</v>
      </c>
      <c r="D44" s="3">
        <v>45337.5</v>
      </c>
      <c r="E44" s="2" t="s">
        <v>179</v>
      </c>
      <c r="F44" s="2" t="s">
        <v>180</v>
      </c>
      <c r="H44" s="2" t="s">
        <v>181</v>
      </c>
      <c r="I44" s="2" t="s">
        <v>19</v>
      </c>
      <c r="J44" s="3">
        <v>45337.980486111097</v>
      </c>
      <c r="K44" s="2" t="s">
        <v>20</v>
      </c>
      <c r="L44" s="2" t="s">
        <v>37</v>
      </c>
      <c r="N44" s="4">
        <v>1215</v>
      </c>
    </row>
    <row r="45" spans="1:14" ht="15.75" customHeight="1">
      <c r="A45" s="2" t="s">
        <v>14</v>
      </c>
      <c r="B45" s="2" t="s">
        <v>310</v>
      </c>
      <c r="C45" s="3">
        <v>45298.5</v>
      </c>
      <c r="D45" s="3"/>
      <c r="E45" s="2" t="s">
        <v>311</v>
      </c>
      <c r="F45" s="2" t="s">
        <v>312</v>
      </c>
      <c r="H45" s="2" t="s">
        <v>313</v>
      </c>
      <c r="I45" s="2" t="s">
        <v>19</v>
      </c>
      <c r="J45" s="3"/>
      <c r="K45" s="2" t="s">
        <v>20</v>
      </c>
      <c r="L45" s="2" t="s">
        <v>42</v>
      </c>
      <c r="M45" s="2" t="s">
        <v>314</v>
      </c>
      <c r="N45" s="4">
        <v>2625</v>
      </c>
    </row>
    <row r="46" spans="1:14" ht="15.75" customHeight="1">
      <c r="A46" s="2" t="s">
        <v>14</v>
      </c>
      <c r="B46" s="2" t="s">
        <v>121</v>
      </c>
      <c r="C46" s="3">
        <v>45348.5</v>
      </c>
      <c r="D46" s="3">
        <v>45348.5</v>
      </c>
      <c r="E46" s="2" t="s">
        <v>122</v>
      </c>
      <c r="F46" s="2" t="s">
        <v>123</v>
      </c>
      <c r="H46" s="2" t="s">
        <v>124</v>
      </c>
      <c r="I46" s="2" t="s">
        <v>19</v>
      </c>
      <c r="J46" s="3"/>
      <c r="K46" s="2" t="s">
        <v>20</v>
      </c>
      <c r="L46" s="2" t="s">
        <v>42</v>
      </c>
      <c r="N46" s="4">
        <v>425</v>
      </c>
    </row>
    <row r="47" spans="1:14" ht="15.75" customHeight="1">
      <c r="A47" s="2" t="s">
        <v>14</v>
      </c>
      <c r="B47" s="2" t="s">
        <v>206</v>
      </c>
      <c r="C47" s="3">
        <v>45324.5</v>
      </c>
      <c r="D47" s="3">
        <v>45324.5</v>
      </c>
      <c r="E47" s="2" t="s">
        <v>122</v>
      </c>
      <c r="F47" s="2" t="s">
        <v>123</v>
      </c>
      <c r="H47" s="2" t="s">
        <v>124</v>
      </c>
      <c r="I47" s="2" t="s">
        <v>19</v>
      </c>
      <c r="J47" s="3">
        <v>45324.770347222198</v>
      </c>
      <c r="K47" s="2" t="s">
        <v>20</v>
      </c>
      <c r="L47" s="2" t="s">
        <v>42</v>
      </c>
      <c r="N47" s="4">
        <v>1055</v>
      </c>
    </row>
    <row r="48" spans="1:14" ht="15.75" customHeight="1">
      <c r="A48" s="2" t="s">
        <v>14</v>
      </c>
      <c r="B48" s="2" t="s">
        <v>80</v>
      </c>
      <c r="C48" s="3">
        <v>45351.5</v>
      </c>
      <c r="D48" s="3"/>
      <c r="E48" s="2" t="s">
        <v>81</v>
      </c>
      <c r="F48" s="2" t="s">
        <v>82</v>
      </c>
      <c r="H48" s="2" t="s">
        <v>83</v>
      </c>
      <c r="I48" s="2" t="s">
        <v>19</v>
      </c>
      <c r="J48" s="3"/>
      <c r="K48" s="2" t="s">
        <v>20</v>
      </c>
      <c r="L48" s="2" t="s">
        <v>11</v>
      </c>
      <c r="M48" s="2" t="s">
        <v>84</v>
      </c>
      <c r="N48" s="4">
        <v>3750</v>
      </c>
    </row>
    <row r="49" spans="1:15" ht="15.75" customHeight="1">
      <c r="A49" s="2" t="s">
        <v>14</v>
      </c>
      <c r="B49" s="2" t="s">
        <v>212</v>
      </c>
      <c r="C49" s="3">
        <v>45317.5</v>
      </c>
      <c r="D49" s="3">
        <v>45331.5</v>
      </c>
      <c r="E49" s="2" t="s">
        <v>213</v>
      </c>
      <c r="F49" s="2" t="s">
        <v>214</v>
      </c>
      <c r="G49" s="2" t="s">
        <v>215</v>
      </c>
      <c r="H49" s="2" t="s">
        <v>216</v>
      </c>
      <c r="I49" s="2" t="s">
        <v>19</v>
      </c>
      <c r="J49" s="3">
        <v>45317.794270833299</v>
      </c>
      <c r="K49" s="2" t="s">
        <v>20</v>
      </c>
      <c r="L49" s="2" t="s">
        <v>42</v>
      </c>
      <c r="N49" s="4">
        <v>945</v>
      </c>
    </row>
    <row r="50" spans="1:15" ht="15.75" customHeight="1">
      <c r="A50" s="2" t="s">
        <v>14</v>
      </c>
      <c r="B50" s="2" t="s">
        <v>159</v>
      </c>
      <c r="C50" s="3">
        <v>45338.5</v>
      </c>
      <c r="D50" s="3">
        <v>45356.5</v>
      </c>
      <c r="E50" s="2" t="s">
        <v>160</v>
      </c>
      <c r="F50" s="2" t="s">
        <v>161</v>
      </c>
      <c r="H50" s="2" t="s">
        <v>162</v>
      </c>
      <c r="I50" s="2" t="s">
        <v>19</v>
      </c>
      <c r="J50" s="3">
        <v>45351.671504629601</v>
      </c>
      <c r="K50" s="2" t="s">
        <v>20</v>
      </c>
      <c r="L50" s="2" t="s">
        <v>42</v>
      </c>
      <c r="N50" s="4">
        <v>900</v>
      </c>
    </row>
    <row r="51" spans="1:15" ht="15.75" customHeight="1">
      <c r="A51" s="2" t="s">
        <v>14</v>
      </c>
      <c r="B51" s="2" t="s">
        <v>306</v>
      </c>
      <c r="C51" s="3">
        <v>45298.5</v>
      </c>
      <c r="D51" s="3"/>
      <c r="E51" s="2" t="s">
        <v>307</v>
      </c>
      <c r="F51" s="2" t="s">
        <v>308</v>
      </c>
      <c r="H51" s="2" t="s">
        <v>309</v>
      </c>
      <c r="I51" s="2" t="s">
        <v>19</v>
      </c>
      <c r="J51" s="3"/>
      <c r="K51" s="2" t="s">
        <v>20</v>
      </c>
      <c r="L51" s="2" t="s">
        <v>42</v>
      </c>
      <c r="N51" s="4">
        <v>1850</v>
      </c>
    </row>
    <row r="52" spans="1:15" ht="15.75" customHeight="1">
      <c r="A52" s="2" t="s">
        <v>14</v>
      </c>
      <c r="B52" s="2" t="s">
        <v>268</v>
      </c>
      <c r="C52" s="3">
        <v>45306.5</v>
      </c>
      <c r="D52" s="3">
        <v>45314.5</v>
      </c>
      <c r="E52" s="2" t="s">
        <v>269</v>
      </c>
      <c r="F52" s="2" t="s">
        <v>270</v>
      </c>
      <c r="H52" s="2" t="s">
        <v>271</v>
      </c>
      <c r="I52" s="2" t="s">
        <v>19</v>
      </c>
      <c r="J52" s="3"/>
      <c r="K52" s="2" t="s">
        <v>20</v>
      </c>
      <c r="L52" s="2" t="s">
        <v>11</v>
      </c>
      <c r="M52" s="2" t="s">
        <v>84</v>
      </c>
      <c r="N52" s="4">
        <v>5570</v>
      </c>
    </row>
    <row r="53" spans="1:15" ht="15.75" customHeight="1">
      <c r="A53" s="2" t="s">
        <v>14</v>
      </c>
      <c r="B53" s="2" t="s">
        <v>281</v>
      </c>
      <c r="C53" s="3">
        <v>45302.5</v>
      </c>
      <c r="D53" s="3">
        <v>45302.5</v>
      </c>
      <c r="E53" s="2" t="s">
        <v>282</v>
      </c>
      <c r="F53" s="2" t="s">
        <v>283</v>
      </c>
      <c r="H53" s="2" t="s">
        <v>284</v>
      </c>
      <c r="I53" s="2" t="s">
        <v>19</v>
      </c>
      <c r="J53" s="3"/>
      <c r="K53" s="2" t="s">
        <v>20</v>
      </c>
      <c r="L53" s="2" t="s">
        <v>42</v>
      </c>
      <c r="N53" s="4">
        <v>495</v>
      </c>
    </row>
    <row r="54" spans="1:15" ht="15.75" customHeight="1">
      <c r="A54" s="2" t="s">
        <v>14</v>
      </c>
      <c r="B54" s="2" t="s">
        <v>33</v>
      </c>
      <c r="C54" s="3">
        <v>45362.5</v>
      </c>
      <c r="D54" s="3">
        <v>45363.5</v>
      </c>
      <c r="E54" s="2" t="s">
        <v>34</v>
      </c>
      <c r="F54" s="2" t="s">
        <v>35</v>
      </c>
      <c r="H54" s="2" t="s">
        <v>36</v>
      </c>
      <c r="I54" s="2" t="s">
        <v>19</v>
      </c>
      <c r="J54" s="3">
        <v>45363.519641203697</v>
      </c>
      <c r="K54" s="2" t="s">
        <v>20</v>
      </c>
      <c r="L54" s="2" t="s">
        <v>37</v>
      </c>
      <c r="N54" s="4">
        <v>1770</v>
      </c>
    </row>
    <row r="55" spans="1:15" ht="15.75" customHeight="1">
      <c r="A55" s="2" t="s">
        <v>14</v>
      </c>
      <c r="B55" s="2" t="s">
        <v>75</v>
      </c>
      <c r="C55" s="3">
        <v>45351.5</v>
      </c>
      <c r="D55" s="3">
        <v>45352.5</v>
      </c>
      <c r="E55" s="2" t="s">
        <v>76</v>
      </c>
      <c r="F55" s="2" t="s">
        <v>77</v>
      </c>
      <c r="H55" s="2" t="s">
        <v>78</v>
      </c>
      <c r="I55" s="2" t="s">
        <v>19</v>
      </c>
      <c r="J55" s="3">
        <v>45352.550208333298</v>
      </c>
      <c r="K55" s="2" t="s">
        <v>20</v>
      </c>
      <c r="L55" s="2" t="s">
        <v>42</v>
      </c>
      <c r="M55" s="2" t="s">
        <v>79</v>
      </c>
      <c r="N55" s="4">
        <v>1325</v>
      </c>
    </row>
    <row r="56" spans="1:15" ht="15.75" customHeight="1">
      <c r="A56" s="2" t="s">
        <v>14</v>
      </c>
      <c r="B56" s="2" t="s">
        <v>285</v>
      </c>
      <c r="C56" s="3">
        <v>45302.5</v>
      </c>
      <c r="D56" s="3">
        <v>45305.5</v>
      </c>
      <c r="E56" s="2" t="s">
        <v>286</v>
      </c>
      <c r="F56" s="2" t="s">
        <v>287</v>
      </c>
      <c r="H56" s="2" t="s">
        <v>288</v>
      </c>
      <c r="I56" s="2" t="s">
        <v>19</v>
      </c>
      <c r="J56" s="3">
        <v>45302.756215277797</v>
      </c>
      <c r="K56" s="2" t="s">
        <v>20</v>
      </c>
      <c r="L56" s="2" t="s">
        <v>37</v>
      </c>
      <c r="N56" s="4">
        <v>1695</v>
      </c>
    </row>
    <row r="57" spans="1:15" ht="15.75" customHeight="1">
      <c r="A57" s="2" t="s">
        <v>14</v>
      </c>
      <c r="B57" s="2" t="s">
        <v>223</v>
      </c>
      <c r="C57" s="3">
        <v>45317.5</v>
      </c>
      <c r="D57" s="3">
        <v>45318.5</v>
      </c>
      <c r="E57" s="2" t="s">
        <v>224</v>
      </c>
      <c r="F57" s="2" t="s">
        <v>225</v>
      </c>
      <c r="H57" s="2" t="s">
        <v>226</v>
      </c>
      <c r="I57" s="2" t="s">
        <v>19</v>
      </c>
      <c r="J57" s="3">
        <v>45318.572175925903</v>
      </c>
      <c r="K57" s="2" t="s">
        <v>20</v>
      </c>
      <c r="L57" s="2" t="s">
        <v>42</v>
      </c>
      <c r="M57" s="2" t="s">
        <v>227</v>
      </c>
      <c r="N57" s="4">
        <v>1975</v>
      </c>
    </row>
    <row r="58" spans="1:15" ht="15.75" customHeight="1">
      <c r="A58" s="2" t="s">
        <v>14</v>
      </c>
      <c r="B58" s="2" t="s">
        <v>295</v>
      </c>
      <c r="C58" s="3">
        <v>45300.5</v>
      </c>
      <c r="D58" s="3">
        <v>45309.5</v>
      </c>
      <c r="E58" s="2" t="s">
        <v>224</v>
      </c>
      <c r="F58" s="2" t="s">
        <v>225</v>
      </c>
      <c r="H58" s="2" t="s">
        <v>226</v>
      </c>
      <c r="I58" s="2" t="s">
        <v>19</v>
      </c>
      <c r="J58" s="3">
        <v>45309.717106481497</v>
      </c>
      <c r="K58" s="2" t="s">
        <v>20</v>
      </c>
      <c r="L58" s="2" t="s">
        <v>11</v>
      </c>
      <c r="M58" s="2" t="s">
        <v>296</v>
      </c>
      <c r="N58" s="4">
        <v>545</v>
      </c>
    </row>
    <row r="59" spans="1:15" ht="15.75" customHeight="1">
      <c r="A59" s="2" t="s">
        <v>14</v>
      </c>
      <c r="B59" s="2" t="s">
        <v>85</v>
      </c>
      <c r="C59" s="3">
        <v>45351.5</v>
      </c>
      <c r="D59" s="3">
        <v>45351.5</v>
      </c>
      <c r="E59" s="2" t="s">
        <v>86</v>
      </c>
      <c r="F59" s="2" t="s">
        <v>87</v>
      </c>
      <c r="G59" s="2" t="s">
        <v>88</v>
      </c>
      <c r="H59" s="2" t="s">
        <v>89</v>
      </c>
      <c r="I59" s="2" t="s">
        <v>19</v>
      </c>
      <c r="J59" s="3"/>
      <c r="K59" s="2" t="s">
        <v>20</v>
      </c>
      <c r="L59" s="2" t="s">
        <v>42</v>
      </c>
      <c r="N59" s="4">
        <v>395</v>
      </c>
    </row>
    <row r="60" spans="1:15" ht="15.75" customHeight="1">
      <c r="A60" s="2" t="s">
        <v>14</v>
      </c>
      <c r="B60" s="2" t="s">
        <v>98</v>
      </c>
      <c r="C60" s="3">
        <v>45351.5</v>
      </c>
      <c r="D60" s="3">
        <v>45355.5</v>
      </c>
      <c r="E60" s="2" t="s">
        <v>99</v>
      </c>
      <c r="F60" s="2" t="s">
        <v>100</v>
      </c>
      <c r="G60" s="2" t="s">
        <v>101</v>
      </c>
      <c r="H60" s="2" t="s">
        <v>102</v>
      </c>
      <c r="I60" s="2" t="s">
        <v>19</v>
      </c>
      <c r="J60" s="3">
        <v>45351.864317129599</v>
      </c>
      <c r="K60" s="2" t="s">
        <v>20</v>
      </c>
      <c r="L60" s="2" t="s">
        <v>103</v>
      </c>
      <c r="N60" s="4">
        <v>1300</v>
      </c>
    </row>
    <row r="61" spans="1:15" ht="15.75" customHeight="1">
      <c r="A61" s="2" t="s">
        <v>14</v>
      </c>
      <c r="B61" s="2" t="s">
        <v>330</v>
      </c>
      <c r="C61" s="3">
        <v>45290.5</v>
      </c>
      <c r="D61" s="3">
        <v>45296.5</v>
      </c>
      <c r="E61" s="2" t="s">
        <v>331</v>
      </c>
      <c r="F61" s="2" t="s">
        <v>332</v>
      </c>
      <c r="H61" s="2" t="s">
        <v>333</v>
      </c>
      <c r="I61" s="2" t="s">
        <v>19</v>
      </c>
      <c r="J61" s="3">
        <v>45296.640254629601</v>
      </c>
      <c r="K61" s="2" t="s">
        <v>20</v>
      </c>
      <c r="L61" s="2" t="s">
        <v>42</v>
      </c>
      <c r="M61" s="2" t="s">
        <v>334</v>
      </c>
      <c r="N61" s="4">
        <v>5175</v>
      </c>
    </row>
    <row r="62" spans="1:15" ht="15.75" customHeight="1">
      <c r="A62" s="2" t="s">
        <v>14</v>
      </c>
      <c r="B62" s="2" t="s">
        <v>217</v>
      </c>
      <c r="C62" s="3">
        <v>45317.5</v>
      </c>
      <c r="D62" s="3">
        <v>45317.5</v>
      </c>
      <c r="E62" s="2" t="s">
        <v>218</v>
      </c>
      <c r="F62" s="2" t="s">
        <v>219</v>
      </c>
      <c r="H62" s="2" t="s">
        <v>220</v>
      </c>
      <c r="I62" s="2" t="s">
        <v>19</v>
      </c>
      <c r="J62" s="3"/>
      <c r="K62" s="2" t="s">
        <v>20</v>
      </c>
      <c r="L62" s="2" t="s">
        <v>42</v>
      </c>
      <c r="M62" s="2" t="s">
        <v>221</v>
      </c>
      <c r="N62" s="4">
        <v>900</v>
      </c>
    </row>
    <row r="63" spans="1:15" ht="15.75" customHeight="1">
      <c r="A63" s="2" t="s">
        <v>14</v>
      </c>
      <c r="B63" s="2" t="s">
        <v>172</v>
      </c>
      <c r="C63" s="3">
        <v>45338.5</v>
      </c>
      <c r="D63" s="3">
        <v>45351.5</v>
      </c>
      <c r="E63" s="2" t="s">
        <v>173</v>
      </c>
      <c r="F63" s="2" t="s">
        <v>174</v>
      </c>
      <c r="H63" s="2" t="s">
        <v>175</v>
      </c>
      <c r="I63" s="2" t="s">
        <v>19</v>
      </c>
      <c r="J63" s="3">
        <v>45338.710995370398</v>
      </c>
      <c r="K63" s="2" t="s">
        <v>20</v>
      </c>
      <c r="L63" s="2" t="s">
        <v>11</v>
      </c>
      <c r="M63" s="2" t="s">
        <v>176</v>
      </c>
      <c r="N63" s="4">
        <v>3035</v>
      </c>
    </row>
    <row r="64" spans="1:15" s="18" customFormat="1" ht="15.75" customHeight="1">
      <c r="A64" s="8" t="s">
        <v>14</v>
      </c>
      <c r="B64" s="8" t="s">
        <v>109</v>
      </c>
      <c r="C64" s="30">
        <v>45350.5</v>
      </c>
      <c r="D64" s="30">
        <v>45350.5</v>
      </c>
      <c r="E64" s="8" t="s">
        <v>110</v>
      </c>
      <c r="F64" s="19" t="s">
        <v>111</v>
      </c>
      <c r="H64" s="8" t="s">
        <v>112</v>
      </c>
      <c r="I64" s="8" t="s">
        <v>19</v>
      </c>
      <c r="J64" s="30">
        <v>45350.886423611097</v>
      </c>
      <c r="K64" s="8" t="s">
        <v>20</v>
      </c>
      <c r="L64" s="8" t="s">
        <v>113</v>
      </c>
      <c r="N64" s="20">
        <v>2450</v>
      </c>
      <c r="O64" s="17" t="s">
        <v>386</v>
      </c>
    </row>
    <row r="65" spans="1:14" ht="15.75" customHeight="1">
      <c r="A65" s="2" t="s">
        <v>14</v>
      </c>
      <c r="B65" s="2" t="s">
        <v>257</v>
      </c>
      <c r="C65" s="3">
        <v>45307.5</v>
      </c>
      <c r="D65" s="3">
        <v>45307.5</v>
      </c>
      <c r="E65" s="2" t="s">
        <v>258</v>
      </c>
      <c r="F65" s="2" t="s">
        <v>259</v>
      </c>
      <c r="H65" s="2" t="s">
        <v>260</v>
      </c>
      <c r="I65" s="2" t="s">
        <v>19</v>
      </c>
      <c r="J65" s="3">
        <v>45308.108888888899</v>
      </c>
      <c r="K65" s="2" t="s">
        <v>20</v>
      </c>
      <c r="L65" s="2" t="s">
        <v>11</v>
      </c>
      <c r="M65" s="2" t="s">
        <v>261</v>
      </c>
      <c r="N65" s="4">
        <v>350</v>
      </c>
    </row>
    <row r="66" spans="1:14" ht="15.75" customHeight="1">
      <c r="A66" s="2" t="s">
        <v>14</v>
      </c>
      <c r="B66" s="2" t="s">
        <v>167</v>
      </c>
      <c r="C66" s="3">
        <v>45338.5</v>
      </c>
      <c r="D66" s="3">
        <v>45338.5</v>
      </c>
      <c r="E66" s="2" t="s">
        <v>168</v>
      </c>
      <c r="F66" s="2" t="s">
        <v>169</v>
      </c>
      <c r="H66" s="2" t="s">
        <v>170</v>
      </c>
      <c r="I66" s="2" t="s">
        <v>19</v>
      </c>
      <c r="J66" s="3">
        <v>45338.806840277801</v>
      </c>
      <c r="K66" s="2" t="s">
        <v>20</v>
      </c>
      <c r="L66" s="2" t="s">
        <v>11</v>
      </c>
      <c r="M66" s="2" t="s">
        <v>171</v>
      </c>
      <c r="N66" s="4">
        <v>2295</v>
      </c>
    </row>
    <row r="67" spans="1:14" ht="15.75" customHeight="1">
      <c r="A67" s="2" t="s">
        <v>14</v>
      </c>
      <c r="B67" s="2" t="s">
        <v>38</v>
      </c>
      <c r="C67" s="3">
        <v>45362.5</v>
      </c>
      <c r="D67" s="3">
        <v>45364.5</v>
      </c>
      <c r="E67" s="2" t="s">
        <v>39</v>
      </c>
      <c r="F67" s="2" t="s">
        <v>40</v>
      </c>
      <c r="H67" s="2" t="s">
        <v>41</v>
      </c>
      <c r="I67" s="2" t="s">
        <v>19</v>
      </c>
      <c r="J67" s="3">
        <v>45364.635150463</v>
      </c>
      <c r="K67" s="2" t="s">
        <v>20</v>
      </c>
      <c r="L67" s="2" t="s">
        <v>42</v>
      </c>
      <c r="M67" s="2" t="s">
        <v>43</v>
      </c>
      <c r="N67" s="4">
        <v>1586.625</v>
      </c>
    </row>
    <row r="68" spans="1:14" ht="15.75" customHeight="1">
      <c r="A68" s="2" t="s">
        <v>14</v>
      </c>
      <c r="B68" s="2" t="s">
        <v>149</v>
      </c>
      <c r="C68" s="3">
        <v>45341.5</v>
      </c>
      <c r="D68" s="3">
        <v>45343.5</v>
      </c>
      <c r="E68" s="2" t="s">
        <v>39</v>
      </c>
      <c r="F68" s="2" t="s">
        <v>40</v>
      </c>
      <c r="H68" s="2" t="s">
        <v>41</v>
      </c>
      <c r="I68" s="2" t="s">
        <v>19</v>
      </c>
      <c r="J68" s="3">
        <v>45341.801851851902</v>
      </c>
      <c r="K68" s="2" t="s">
        <v>20</v>
      </c>
      <c r="L68" s="2" t="s">
        <v>42</v>
      </c>
      <c r="M68" s="2" t="s">
        <v>43</v>
      </c>
      <c r="N68" s="4">
        <v>9354.875</v>
      </c>
    </row>
    <row r="69" spans="1:14" ht="15.75" customHeight="1">
      <c r="A69" s="2" t="s">
        <v>14</v>
      </c>
      <c r="B69" s="2" t="s">
        <v>182</v>
      </c>
      <c r="C69" s="3">
        <v>45335.5</v>
      </c>
      <c r="D69" s="3">
        <v>45335.5</v>
      </c>
      <c r="E69" s="2" t="s">
        <v>183</v>
      </c>
      <c r="F69" s="2" t="s">
        <v>184</v>
      </c>
      <c r="G69" s="2" t="s">
        <v>185</v>
      </c>
      <c r="H69" s="2" t="s">
        <v>186</v>
      </c>
      <c r="I69" s="2" t="s">
        <v>19</v>
      </c>
      <c r="J69" s="3">
        <v>45335.822361111103</v>
      </c>
      <c r="K69" s="2" t="s">
        <v>20</v>
      </c>
      <c r="L69" s="2" t="s">
        <v>67</v>
      </c>
      <c r="M69" s="2" t="s">
        <v>68</v>
      </c>
      <c r="N69" s="4">
        <v>1058</v>
      </c>
    </row>
    <row r="70" spans="1:14" ht="15.75" customHeight="1">
      <c r="A70" s="2" t="s">
        <v>14</v>
      </c>
      <c r="B70" s="2" t="s">
        <v>262</v>
      </c>
      <c r="C70" s="3">
        <v>45306.5</v>
      </c>
      <c r="D70" s="3"/>
      <c r="E70" s="2" t="s">
        <v>263</v>
      </c>
      <c r="F70" s="2" t="s">
        <v>264</v>
      </c>
      <c r="G70" s="2" t="s">
        <v>265</v>
      </c>
      <c r="H70" s="2" t="s">
        <v>266</v>
      </c>
      <c r="I70" s="2" t="s">
        <v>19</v>
      </c>
      <c r="J70" s="3"/>
      <c r="K70" s="2" t="s">
        <v>20</v>
      </c>
      <c r="L70" s="2" t="s">
        <v>11</v>
      </c>
      <c r="M70" s="2" t="s">
        <v>267</v>
      </c>
      <c r="N70" s="4">
        <v>175</v>
      </c>
    </row>
    <row r="71" spans="1:14" ht="15.75" customHeight="1">
      <c r="A71" s="2" t="s">
        <v>14</v>
      </c>
      <c r="B71" s="2" t="s">
        <v>53</v>
      </c>
      <c r="C71" s="3">
        <v>45358.5</v>
      </c>
      <c r="D71" s="3"/>
      <c r="E71" s="2" t="s">
        <v>54</v>
      </c>
      <c r="F71" s="2" t="s">
        <v>55</v>
      </c>
      <c r="H71" s="2" t="s">
        <v>56</v>
      </c>
      <c r="I71" s="2" t="s">
        <v>19</v>
      </c>
      <c r="J71" s="3"/>
      <c r="K71" s="2" t="s">
        <v>20</v>
      </c>
      <c r="L71" s="2" t="s">
        <v>42</v>
      </c>
      <c r="N71" s="4">
        <v>1750</v>
      </c>
    </row>
    <row r="72" spans="1:14" ht="15.75" customHeight="1">
      <c r="A72" s="2" t="s">
        <v>14</v>
      </c>
      <c r="B72" s="2" t="s">
        <v>177</v>
      </c>
      <c r="C72" s="3">
        <v>45336.5</v>
      </c>
      <c r="D72" s="3">
        <v>45336.5</v>
      </c>
      <c r="E72" s="2" t="s">
        <v>54</v>
      </c>
      <c r="F72" s="2" t="s">
        <v>55</v>
      </c>
      <c r="H72" s="2" t="s">
        <v>56</v>
      </c>
      <c r="I72" s="2" t="s">
        <v>19</v>
      </c>
      <c r="J72" s="3"/>
      <c r="K72" s="2" t="s">
        <v>20</v>
      </c>
      <c r="L72" s="2" t="s">
        <v>42</v>
      </c>
      <c r="N72" s="4">
        <v>650</v>
      </c>
    </row>
    <row r="73" spans="1:14" ht="15.75" customHeight="1">
      <c r="A73" s="2" t="s">
        <v>14</v>
      </c>
      <c r="B73" s="2" t="s">
        <v>222</v>
      </c>
      <c r="C73" s="3">
        <v>45317.5</v>
      </c>
      <c r="D73" s="3"/>
      <c r="E73" s="2" t="s">
        <v>54</v>
      </c>
      <c r="F73" s="2" t="s">
        <v>55</v>
      </c>
      <c r="H73" s="2" t="s">
        <v>56</v>
      </c>
      <c r="I73" s="2" t="s">
        <v>19</v>
      </c>
      <c r="J73" s="3"/>
      <c r="K73" s="2" t="s">
        <v>20</v>
      </c>
      <c r="L73" s="2" t="s">
        <v>42</v>
      </c>
      <c r="N73" s="4">
        <v>2850</v>
      </c>
    </row>
    <row r="74" spans="1:14" ht="15.75" customHeight="1">
      <c r="A74" s="2" t="s">
        <v>14</v>
      </c>
      <c r="B74" s="2" t="s">
        <v>272</v>
      </c>
      <c r="C74" s="3">
        <v>45306.5</v>
      </c>
      <c r="D74" s="3">
        <v>45315.5</v>
      </c>
      <c r="E74" s="2" t="s">
        <v>273</v>
      </c>
      <c r="F74" s="2" t="s">
        <v>274</v>
      </c>
      <c r="H74" s="2" t="s">
        <v>275</v>
      </c>
      <c r="I74" s="2" t="s">
        <v>19</v>
      </c>
      <c r="J74" s="3">
        <v>45315.840347222198</v>
      </c>
      <c r="K74" s="2" t="s">
        <v>20</v>
      </c>
      <c r="L74" s="2" t="s">
        <v>200</v>
      </c>
      <c r="N74" s="4">
        <v>3250</v>
      </c>
    </row>
    <row r="75" spans="1:14" ht="15.75" customHeight="1">
      <c r="A75" s="2" t="s">
        <v>14</v>
      </c>
      <c r="B75" s="2" t="s">
        <v>15</v>
      </c>
      <c r="C75" s="3">
        <v>45370.5</v>
      </c>
      <c r="D75" s="3">
        <v>45370.5</v>
      </c>
      <c r="E75" s="2" t="s">
        <v>16</v>
      </c>
      <c r="F75" s="2" t="s">
        <v>17</v>
      </c>
      <c r="H75" s="2" t="s">
        <v>18</v>
      </c>
      <c r="I75" s="2" t="s">
        <v>19</v>
      </c>
      <c r="J75" s="3">
        <v>45370.738611111097</v>
      </c>
      <c r="K75" s="2" t="s">
        <v>20</v>
      </c>
      <c r="L75" s="2" t="s">
        <v>21</v>
      </c>
      <c r="N75" s="4">
        <v>975</v>
      </c>
    </row>
    <row r="76" spans="1:14" ht="15.75" customHeight="1">
      <c r="A76" s="2" t="s">
        <v>14</v>
      </c>
      <c r="B76" s="2" t="s">
        <v>32</v>
      </c>
      <c r="C76" s="3">
        <v>45362.5</v>
      </c>
      <c r="D76" s="3"/>
      <c r="E76" s="2" t="s">
        <v>16</v>
      </c>
      <c r="F76" s="2" t="s">
        <v>17</v>
      </c>
      <c r="H76" s="2" t="s">
        <v>18</v>
      </c>
      <c r="I76" s="2" t="s">
        <v>19</v>
      </c>
      <c r="J76" s="3"/>
      <c r="K76" s="2" t="s">
        <v>20</v>
      </c>
      <c r="L76" s="2" t="s">
        <v>21</v>
      </c>
      <c r="N76" s="4">
        <v>550</v>
      </c>
    </row>
    <row r="77" spans="1:14" ht="15.75" customHeight="1">
      <c r="A77" s="2" t="s">
        <v>14</v>
      </c>
      <c r="B77" s="2" t="s">
        <v>237</v>
      </c>
      <c r="C77" s="3">
        <v>45314.5</v>
      </c>
      <c r="D77" s="3"/>
      <c r="E77" s="2" t="s">
        <v>238</v>
      </c>
      <c r="F77" s="2" t="s">
        <v>239</v>
      </c>
      <c r="H77" s="2" t="s">
        <v>240</v>
      </c>
      <c r="I77" s="2" t="s">
        <v>19</v>
      </c>
      <c r="J77" s="3">
        <v>45314.857349537</v>
      </c>
      <c r="K77" s="2" t="s">
        <v>20</v>
      </c>
      <c r="L77" s="2" t="s">
        <v>129</v>
      </c>
      <c r="N77" s="4">
        <v>650</v>
      </c>
    </row>
    <row r="78" spans="1:14" ht="15.75" customHeight="1">
      <c r="A78" s="2" t="s">
        <v>14</v>
      </c>
      <c r="B78" s="2" t="s">
        <v>125</v>
      </c>
      <c r="C78" s="3">
        <v>45348.5</v>
      </c>
      <c r="D78" s="3">
        <v>45348.5</v>
      </c>
      <c r="E78" s="2" t="s">
        <v>126</v>
      </c>
      <c r="F78" s="2" t="s">
        <v>127</v>
      </c>
      <c r="H78" s="2" t="s">
        <v>128</v>
      </c>
      <c r="I78" s="2" t="s">
        <v>19</v>
      </c>
      <c r="J78" s="3">
        <v>45348.881261574097</v>
      </c>
      <c r="K78" s="2" t="s">
        <v>20</v>
      </c>
      <c r="L78" s="2" t="s">
        <v>129</v>
      </c>
      <c r="N78" s="4">
        <v>1800</v>
      </c>
    </row>
    <row r="79" spans="1:14" ht="15.75" customHeight="1">
      <c r="A79" s="2" t="s">
        <v>14</v>
      </c>
      <c r="B79" s="2" t="s">
        <v>251</v>
      </c>
      <c r="C79" s="3">
        <v>45309.5</v>
      </c>
      <c r="D79" s="3"/>
      <c r="E79" s="2" t="s">
        <v>252</v>
      </c>
      <c r="F79" s="2" t="s">
        <v>253</v>
      </c>
      <c r="G79" s="2" t="s">
        <v>254</v>
      </c>
      <c r="H79" s="2" t="s">
        <v>255</v>
      </c>
      <c r="I79" s="2" t="s">
        <v>19</v>
      </c>
      <c r="J79" s="3"/>
      <c r="K79" s="2" t="s">
        <v>20</v>
      </c>
      <c r="L79" s="2" t="s">
        <v>42</v>
      </c>
      <c r="M79" s="2" t="s">
        <v>256</v>
      </c>
      <c r="N79" s="4">
        <v>175</v>
      </c>
    </row>
    <row r="80" spans="1:14" ht="15.75" customHeight="1">
      <c r="A80" s="2" t="s">
        <v>14</v>
      </c>
      <c r="B80" s="2" t="s">
        <v>63</v>
      </c>
      <c r="C80" s="3">
        <v>45355.5</v>
      </c>
      <c r="D80" s="3">
        <v>45355.5</v>
      </c>
      <c r="E80" s="2" t="s">
        <v>64</v>
      </c>
      <c r="F80" s="2" t="s">
        <v>65</v>
      </c>
      <c r="H80" s="2" t="s">
        <v>66</v>
      </c>
      <c r="I80" s="2" t="s">
        <v>19</v>
      </c>
      <c r="J80" s="3">
        <v>45355.724340277797</v>
      </c>
      <c r="K80" s="2" t="s">
        <v>20</v>
      </c>
      <c r="L80" s="2" t="s">
        <v>67</v>
      </c>
      <c r="M80" s="2" t="s">
        <v>68</v>
      </c>
      <c r="N80" s="4">
        <v>2430</v>
      </c>
    </row>
    <row r="81" spans="1:14" ht="15.75" customHeight="1">
      <c r="A81" s="2" t="s">
        <v>14</v>
      </c>
      <c r="B81" s="2" t="s">
        <v>90</v>
      </c>
      <c r="C81" s="3">
        <v>45351.5</v>
      </c>
      <c r="D81" s="3"/>
      <c r="E81" s="2" t="s">
        <v>91</v>
      </c>
      <c r="H81" s="2" t="s">
        <v>92</v>
      </c>
      <c r="I81" s="2" t="s">
        <v>19</v>
      </c>
      <c r="J81" s="3"/>
      <c r="K81" s="2" t="s">
        <v>20</v>
      </c>
      <c r="N81" s="4">
        <v>1015</v>
      </c>
    </row>
    <row r="82" spans="1:14" ht="15.75" customHeight="1">
      <c r="A82" s="2" t="s">
        <v>14</v>
      </c>
      <c r="B82" s="2" t="s">
        <v>136</v>
      </c>
      <c r="C82" s="3">
        <v>45343.5</v>
      </c>
      <c r="D82" s="3">
        <v>45343.5</v>
      </c>
      <c r="E82" s="2" t="s">
        <v>137</v>
      </c>
      <c r="G82" s="2" t="s">
        <v>138</v>
      </c>
      <c r="H82" s="2" t="s">
        <v>139</v>
      </c>
      <c r="I82" s="2" t="s">
        <v>19</v>
      </c>
      <c r="J82" s="3">
        <v>45343.865543981497</v>
      </c>
      <c r="K82" s="2" t="s">
        <v>20</v>
      </c>
      <c r="L82" s="2" t="s">
        <v>129</v>
      </c>
      <c r="N82" s="4">
        <v>750</v>
      </c>
    </row>
    <row r="83" spans="1:14" ht="15.75" customHeight="1"/>
    <row r="84" spans="1:14" ht="15.75" customHeight="1"/>
    <row r="85" spans="1:14" ht="15.75" customHeight="1"/>
    <row r="86" spans="1:14" ht="15.75" customHeight="1"/>
    <row r="87" spans="1:14" ht="15.75" customHeight="1"/>
    <row r="88" spans="1:14" ht="15.75" customHeight="1"/>
    <row r="89" spans="1:14" ht="15.75" customHeight="1"/>
    <row r="90" spans="1:14" ht="15.75" customHeight="1"/>
    <row r="91" spans="1:14" ht="15.75" customHeight="1"/>
    <row r="92" spans="1:14" ht="15.75" customHeight="1"/>
    <row r="93" spans="1:14" ht="15.75" customHeight="1"/>
    <row r="94" spans="1:14" ht="15.75" customHeight="1"/>
    <row r="95" spans="1:14" ht="15.75" customHeight="1"/>
    <row r="96" spans="1:1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82" xr:uid="{00000000-0009-0000-0000-000000000000}"/>
  <sortState xmlns:xlrd2="http://schemas.microsoft.com/office/spreadsheetml/2017/richdata2" ref="A2:Q1000">
    <sortCondition ref="F2:F1000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84"/>
  <sheetViews>
    <sheetView tabSelected="1" workbookViewId="0">
      <selection activeCell="G2" sqref="G2"/>
    </sheetView>
  </sheetViews>
  <sheetFormatPr defaultColWidth="14.42578125" defaultRowHeight="15" customHeight="1"/>
  <cols>
    <col min="1" max="2" width="14.42578125" style="7"/>
    <col min="3" max="3" width="35.140625" customWidth="1"/>
    <col min="4" max="4" width="3.28515625" style="12" customWidth="1"/>
    <col min="5" max="5" width="23.85546875" customWidth="1"/>
    <col min="6" max="6" width="2.85546875" style="12" customWidth="1"/>
    <col min="7" max="7" width="26.42578125" customWidth="1"/>
    <col min="9" max="9" width="3.5703125" style="12" customWidth="1"/>
    <col min="10" max="10" width="31.5703125" customWidth="1"/>
    <col min="11" max="11" width="2.85546875" style="12" customWidth="1"/>
    <col min="16" max="16" width="3.28515625" customWidth="1"/>
  </cols>
  <sheetData>
    <row r="1" spans="1:15" ht="23.25" customHeight="1">
      <c r="A1" s="22" t="s">
        <v>379</v>
      </c>
      <c r="B1" s="22" t="str">
        <f>IF(LEFT(A1,1)="1", RIGHT(A1,LEN(A1)-1), A1)</f>
        <v>GOOGLE MY BUSINESS PROFILE RETREAVER CALLS 3/1/24 - 4/3/24</v>
      </c>
      <c r="C1" s="18"/>
      <c r="E1" s="11" t="s">
        <v>380</v>
      </c>
      <c r="G1" s="24" t="s">
        <v>369</v>
      </c>
      <c r="J1" s="24" t="s">
        <v>370</v>
      </c>
      <c r="L1" s="28" t="s">
        <v>382</v>
      </c>
      <c r="M1" s="29"/>
    </row>
    <row r="2" spans="1:15">
      <c r="A2" s="6">
        <v>12037395902</v>
      </c>
      <c r="B2" s="32" t="str">
        <f t="shared" ref="B2:B65" si="0">IF(LEFT(A2,1)="1", RIGHT(A2,LEN(A2)-1), A2)</f>
        <v>2037395902</v>
      </c>
      <c r="C2" s="5"/>
      <c r="D2" s="13"/>
      <c r="E2" s="33" t="s">
        <v>59</v>
      </c>
      <c r="G2" s="23" t="s">
        <v>350</v>
      </c>
      <c r="H2" s="4">
        <v>3300</v>
      </c>
      <c r="J2" s="10" t="s">
        <v>373</v>
      </c>
      <c r="L2" t="s">
        <v>17</v>
      </c>
      <c r="M2" t="s">
        <v>381</v>
      </c>
      <c r="N2" s="15">
        <v>1525</v>
      </c>
      <c r="O2" s="16">
        <v>45362</v>
      </c>
    </row>
    <row r="3" spans="1:15">
      <c r="A3" s="6">
        <v>12095595621</v>
      </c>
      <c r="B3" s="32" t="str">
        <f t="shared" si="0"/>
        <v>2095595621</v>
      </c>
      <c r="E3" s="33" t="s">
        <v>59</v>
      </c>
      <c r="G3" t="s">
        <v>351</v>
      </c>
      <c r="J3" s="10" t="s">
        <v>373</v>
      </c>
    </row>
    <row r="4" spans="1:15">
      <c r="A4" s="6">
        <v>12622377785</v>
      </c>
      <c r="B4" s="32" t="str">
        <f t="shared" si="0"/>
        <v>2622377785</v>
      </c>
      <c r="E4" s="33" t="s">
        <v>59</v>
      </c>
      <c r="G4" t="s">
        <v>361</v>
      </c>
      <c r="J4" s="10" t="s">
        <v>376</v>
      </c>
    </row>
    <row r="5" spans="1:15">
      <c r="A5" s="6">
        <v>12622377785</v>
      </c>
      <c r="B5" s="32" t="str">
        <f t="shared" si="0"/>
        <v>2622377785</v>
      </c>
      <c r="E5" s="33" t="s">
        <v>59</v>
      </c>
      <c r="G5" t="s">
        <v>198</v>
      </c>
      <c r="J5" s="10" t="s">
        <v>377</v>
      </c>
    </row>
    <row r="6" spans="1:15">
      <c r="A6" s="6">
        <v>12622377785</v>
      </c>
      <c r="B6" s="32" t="str">
        <f t="shared" si="0"/>
        <v>2622377785</v>
      </c>
      <c r="E6" s="33" t="s">
        <v>59</v>
      </c>
      <c r="G6" t="s">
        <v>366</v>
      </c>
      <c r="J6" s="10" t="s">
        <v>372</v>
      </c>
    </row>
    <row r="7" spans="1:15">
      <c r="A7" s="6">
        <v>13153915707</v>
      </c>
      <c r="B7" s="32" t="str">
        <f t="shared" si="0"/>
        <v>3153915707</v>
      </c>
      <c r="E7" s="33" t="s">
        <v>59</v>
      </c>
      <c r="G7" t="s">
        <v>355</v>
      </c>
      <c r="J7" s="10" t="s">
        <v>374</v>
      </c>
    </row>
    <row r="8" spans="1:15">
      <c r="A8" s="6">
        <v>13153915707</v>
      </c>
      <c r="B8" s="32" t="str">
        <f t="shared" si="0"/>
        <v>3153915707</v>
      </c>
      <c r="E8" s="33" t="s">
        <v>59</v>
      </c>
      <c r="G8" t="s">
        <v>365</v>
      </c>
      <c r="J8" s="10" t="s">
        <v>378</v>
      </c>
    </row>
    <row r="9" spans="1:15">
      <c r="A9" s="6">
        <v>13159564236</v>
      </c>
      <c r="B9" s="32" t="str">
        <f t="shared" si="0"/>
        <v>3159564236</v>
      </c>
      <c r="E9" s="33" t="s">
        <v>328</v>
      </c>
      <c r="G9" t="s">
        <v>357</v>
      </c>
      <c r="J9" s="10" t="s">
        <v>371</v>
      </c>
    </row>
    <row r="10" spans="1:15">
      <c r="A10" s="6">
        <v>13159564236</v>
      </c>
      <c r="B10" s="32" t="str">
        <f t="shared" si="0"/>
        <v>3159564236</v>
      </c>
      <c r="E10" s="33" t="s">
        <v>323</v>
      </c>
      <c r="G10" t="s">
        <v>368</v>
      </c>
      <c r="J10" s="10" t="s">
        <v>375</v>
      </c>
    </row>
    <row r="11" spans="1:15">
      <c r="A11" s="6">
        <v>13512133753</v>
      </c>
      <c r="B11" s="32" t="str">
        <f t="shared" si="0"/>
        <v>3512133753</v>
      </c>
      <c r="E11" s="33" t="s">
        <v>337</v>
      </c>
      <c r="G11" t="s">
        <v>356</v>
      </c>
    </row>
    <row r="12" spans="1:15">
      <c r="A12" s="6">
        <v>13512165961</v>
      </c>
      <c r="B12" s="32" t="str">
        <f t="shared" si="0"/>
        <v>3512165961</v>
      </c>
      <c r="E12" s="33" t="s">
        <v>198</v>
      </c>
      <c r="G12" t="s">
        <v>367</v>
      </c>
    </row>
    <row r="13" spans="1:15">
      <c r="A13" s="6">
        <v>14015009066</v>
      </c>
      <c r="B13" s="32" t="str">
        <f t="shared" si="0"/>
        <v>4015009066</v>
      </c>
      <c r="E13" s="33" t="s">
        <v>303</v>
      </c>
      <c r="G13" t="s">
        <v>362</v>
      </c>
    </row>
    <row r="14" spans="1:15">
      <c r="A14" s="6">
        <v>14132146990</v>
      </c>
      <c r="B14" s="32" t="str">
        <f t="shared" si="0"/>
        <v>4132146990</v>
      </c>
      <c r="E14" s="33" t="s">
        <v>152</v>
      </c>
      <c r="G14" t="s">
        <v>358</v>
      </c>
    </row>
    <row r="15" spans="1:15">
      <c r="A15" s="6">
        <v>14132146990</v>
      </c>
      <c r="B15" s="32" t="str">
        <f t="shared" si="0"/>
        <v>4132146990</v>
      </c>
      <c r="E15" s="34" t="s">
        <v>194</v>
      </c>
      <c r="G15" t="s">
        <v>360</v>
      </c>
    </row>
    <row r="16" spans="1:15">
      <c r="A16" s="6">
        <v>14132317596</v>
      </c>
      <c r="B16" s="32" t="str">
        <f t="shared" si="0"/>
        <v>4132317596</v>
      </c>
      <c r="E16" s="33" t="s">
        <v>203</v>
      </c>
      <c r="G16" t="s">
        <v>364</v>
      </c>
    </row>
    <row r="17" spans="1:7">
      <c r="A17" s="6">
        <v>14132441168</v>
      </c>
      <c r="B17" s="32" t="str">
        <f t="shared" si="0"/>
        <v>4132441168</v>
      </c>
      <c r="E17" s="33" t="s">
        <v>46</v>
      </c>
      <c r="G17" t="s">
        <v>353</v>
      </c>
    </row>
    <row r="18" spans="1:7">
      <c r="A18" s="6">
        <v>14132460134</v>
      </c>
      <c r="B18" s="32" t="str">
        <f t="shared" si="0"/>
        <v>4132460134</v>
      </c>
      <c r="E18" s="33" t="s">
        <v>291</v>
      </c>
      <c r="G18" t="s">
        <v>352</v>
      </c>
    </row>
    <row r="19" spans="1:7">
      <c r="A19" s="6">
        <v>14132505927</v>
      </c>
      <c r="B19" s="32" t="str">
        <f t="shared" si="0"/>
        <v>4132505927</v>
      </c>
      <c r="E19" s="33" t="s">
        <v>291</v>
      </c>
      <c r="G19" t="s">
        <v>359</v>
      </c>
    </row>
    <row r="20" spans="1:7">
      <c r="A20" s="6">
        <v>14132650009</v>
      </c>
      <c r="B20" s="32" t="str">
        <f t="shared" si="0"/>
        <v>4132650009</v>
      </c>
      <c r="E20" s="33" t="s">
        <v>342</v>
      </c>
      <c r="G20" t="s">
        <v>363</v>
      </c>
    </row>
    <row r="21" spans="1:7">
      <c r="A21" s="6">
        <v>14132650009</v>
      </c>
      <c r="B21" s="32" t="str">
        <f t="shared" si="0"/>
        <v>4132650009</v>
      </c>
      <c r="E21" s="33" t="s">
        <v>230</v>
      </c>
      <c r="G21" t="s">
        <v>363</v>
      </c>
    </row>
    <row r="22" spans="1:7">
      <c r="A22" s="6">
        <v>14132650926</v>
      </c>
      <c r="B22" s="32" t="str">
        <f t="shared" si="0"/>
        <v>4132650926</v>
      </c>
      <c r="E22" s="33" t="s">
        <v>146</v>
      </c>
      <c r="G22" t="s">
        <v>354</v>
      </c>
    </row>
    <row r="23" spans="1:7">
      <c r="A23" s="6">
        <v>14132725148</v>
      </c>
      <c r="B23" s="32" t="str">
        <f t="shared" si="0"/>
        <v>4132725148</v>
      </c>
      <c r="E23" s="33" t="s">
        <v>50</v>
      </c>
    </row>
    <row r="24" spans="1:7">
      <c r="A24" s="6">
        <v>14132728454</v>
      </c>
      <c r="B24" s="32" t="str">
        <f t="shared" si="0"/>
        <v>4132728454</v>
      </c>
      <c r="E24" s="33" t="s">
        <v>317</v>
      </c>
    </row>
    <row r="25" spans="1:7">
      <c r="A25" s="6">
        <v>14132728454</v>
      </c>
      <c r="B25" s="32" t="str">
        <f t="shared" si="0"/>
        <v>4132728454</v>
      </c>
      <c r="E25" s="33" t="s">
        <v>189</v>
      </c>
    </row>
    <row r="26" spans="1:7">
      <c r="A26" s="6">
        <v>14132728870</v>
      </c>
      <c r="B26" s="32" t="str">
        <f t="shared" si="0"/>
        <v>4132728870</v>
      </c>
      <c r="E26" s="33" t="s">
        <v>95</v>
      </c>
    </row>
    <row r="27" spans="1:7">
      <c r="A27" s="6">
        <v>14132971641</v>
      </c>
      <c r="B27" s="32" t="str">
        <f t="shared" si="0"/>
        <v>4132971641</v>
      </c>
      <c r="E27" s="37" t="s">
        <v>392</v>
      </c>
    </row>
    <row r="28" spans="1:7">
      <c r="A28" s="6">
        <v>14132991565</v>
      </c>
      <c r="B28" s="32" t="str">
        <f t="shared" si="0"/>
        <v>4132991565</v>
      </c>
      <c r="E28" s="33" t="s">
        <v>118</v>
      </c>
    </row>
    <row r="29" spans="1:7">
      <c r="A29" s="6">
        <v>14132991567</v>
      </c>
      <c r="B29" s="32" t="str">
        <f t="shared" si="0"/>
        <v>4132991567</v>
      </c>
      <c r="E29" s="33" t="s">
        <v>243</v>
      </c>
    </row>
    <row r="30" spans="1:7">
      <c r="A30" s="6">
        <v>14133009373</v>
      </c>
      <c r="B30" s="32" t="str">
        <f t="shared" si="0"/>
        <v>4133009373</v>
      </c>
      <c r="E30" s="33" t="s">
        <v>248</v>
      </c>
    </row>
    <row r="31" spans="1:7">
      <c r="A31" s="6">
        <v>14133009382</v>
      </c>
      <c r="B31" s="32" t="str">
        <f t="shared" si="0"/>
        <v>4133009382</v>
      </c>
      <c r="E31" s="35" t="s">
        <v>209</v>
      </c>
    </row>
    <row r="32" spans="1:7">
      <c r="A32" s="6">
        <v>14133009423</v>
      </c>
      <c r="B32" s="32" t="str">
        <f t="shared" si="0"/>
        <v>4133009423</v>
      </c>
      <c r="E32" s="33" t="s">
        <v>157</v>
      </c>
    </row>
    <row r="33" spans="1:5">
      <c r="A33" s="6">
        <v>14133098057</v>
      </c>
      <c r="B33" s="32" t="str">
        <f t="shared" si="0"/>
        <v>4133098057</v>
      </c>
      <c r="E33" s="33" t="s">
        <v>142</v>
      </c>
    </row>
    <row r="34" spans="1:5">
      <c r="A34" s="6">
        <v>14133100531</v>
      </c>
      <c r="B34" s="32" t="str">
        <f t="shared" si="0"/>
        <v>4133100531</v>
      </c>
      <c r="E34" s="33" t="s">
        <v>278</v>
      </c>
    </row>
    <row r="35" spans="1:5">
      <c r="A35" s="6">
        <v>14133100531</v>
      </c>
      <c r="B35" s="32" t="str">
        <f t="shared" si="0"/>
        <v>4133100531</v>
      </c>
      <c r="E35" s="33" t="s">
        <v>347</v>
      </c>
    </row>
    <row r="36" spans="1:5">
      <c r="A36" s="6">
        <v>14133133575</v>
      </c>
      <c r="B36" s="32" t="str">
        <f t="shared" si="0"/>
        <v>4133133575</v>
      </c>
      <c r="C36" s="5"/>
      <c r="D36" s="13"/>
      <c r="E36" s="33" t="s">
        <v>29</v>
      </c>
    </row>
    <row r="37" spans="1:5">
      <c r="A37" s="6">
        <v>14133133575</v>
      </c>
      <c r="B37" s="32" t="str">
        <f t="shared" si="0"/>
        <v>4133133575</v>
      </c>
      <c r="E37" s="33" t="s">
        <v>299</v>
      </c>
    </row>
    <row r="38" spans="1:5">
      <c r="A38" s="6">
        <v>14133133575</v>
      </c>
      <c r="B38" s="32" t="str">
        <f t="shared" si="0"/>
        <v>4133133575</v>
      </c>
      <c r="C38" s="5"/>
      <c r="D38" s="13"/>
      <c r="E38" s="33" t="s">
        <v>132</v>
      </c>
    </row>
    <row r="39" spans="1:5">
      <c r="A39" s="6">
        <v>14133133575</v>
      </c>
      <c r="B39" s="32" t="str">
        <f t="shared" si="0"/>
        <v>4133133575</v>
      </c>
      <c r="E39" s="33" t="s">
        <v>71</v>
      </c>
    </row>
    <row r="40" spans="1:5">
      <c r="A40" s="6">
        <v>14133134320</v>
      </c>
      <c r="B40" s="32" t="str">
        <f t="shared" si="0"/>
        <v>4133134320</v>
      </c>
      <c r="E40" s="33" t="s">
        <v>71</v>
      </c>
    </row>
    <row r="41" spans="1:5">
      <c r="A41" s="6">
        <v>14133233297</v>
      </c>
      <c r="B41" s="32" t="str">
        <f t="shared" si="0"/>
        <v>4133233297</v>
      </c>
      <c r="E41" s="33" t="s">
        <v>165</v>
      </c>
    </row>
    <row r="42" spans="1:5">
      <c r="A42" s="6">
        <v>14133312480</v>
      </c>
      <c r="B42" s="32" t="str">
        <f t="shared" si="0"/>
        <v>4133312480</v>
      </c>
      <c r="E42" s="33" t="s">
        <v>106</v>
      </c>
    </row>
    <row r="43" spans="1:5">
      <c r="A43" s="6">
        <v>14133337166</v>
      </c>
      <c r="B43" s="32" t="str">
        <f t="shared" si="0"/>
        <v>4133337166</v>
      </c>
      <c r="E43" s="33" t="s">
        <v>234</v>
      </c>
    </row>
    <row r="44" spans="1:5">
      <c r="A44" s="6">
        <v>14133458365</v>
      </c>
      <c r="B44" s="32" t="str">
        <f t="shared" si="0"/>
        <v>4133458365</v>
      </c>
      <c r="E44" s="33" t="s">
        <v>180</v>
      </c>
    </row>
    <row r="45" spans="1:5">
      <c r="A45" s="6">
        <v>14133484678</v>
      </c>
      <c r="B45" s="32" t="str">
        <f t="shared" si="0"/>
        <v>4133484678</v>
      </c>
      <c r="E45" s="33" t="s">
        <v>312</v>
      </c>
    </row>
    <row r="46" spans="1:5">
      <c r="A46" s="6">
        <v>14133485846</v>
      </c>
      <c r="B46" s="32" t="str">
        <f t="shared" si="0"/>
        <v>4133485846</v>
      </c>
      <c r="E46" s="33" t="s">
        <v>123</v>
      </c>
    </row>
    <row r="47" spans="1:5">
      <c r="A47" s="6">
        <v>14133485846</v>
      </c>
      <c r="B47" s="32" t="str">
        <f t="shared" si="0"/>
        <v>4133485846</v>
      </c>
      <c r="E47" s="33" t="s">
        <v>123</v>
      </c>
    </row>
    <row r="48" spans="1:5">
      <c r="A48" s="6">
        <v>14133486333</v>
      </c>
      <c r="B48" s="32" t="str">
        <f t="shared" si="0"/>
        <v>4133486333</v>
      </c>
      <c r="E48" s="33" t="s">
        <v>82</v>
      </c>
    </row>
    <row r="49" spans="1:5">
      <c r="A49" s="9">
        <v>14133631812</v>
      </c>
      <c r="B49" s="32" t="str">
        <f t="shared" si="0"/>
        <v>4133631812</v>
      </c>
      <c r="C49" s="21">
        <v>625</v>
      </c>
      <c r="D49" s="14"/>
      <c r="E49" s="33" t="s">
        <v>214</v>
      </c>
    </row>
    <row r="50" spans="1:5">
      <c r="A50" s="6">
        <v>14133715680</v>
      </c>
      <c r="B50" s="32" t="str">
        <f t="shared" si="0"/>
        <v>4133715680</v>
      </c>
      <c r="E50" s="33" t="s">
        <v>161</v>
      </c>
    </row>
    <row r="51" spans="1:5">
      <c r="A51" s="6">
        <v>14133728839</v>
      </c>
      <c r="B51" s="32" t="str">
        <f t="shared" si="0"/>
        <v>4133728839</v>
      </c>
      <c r="E51" s="33" t="s">
        <v>308</v>
      </c>
    </row>
    <row r="52" spans="1:5">
      <c r="A52" s="6">
        <v>14133747093</v>
      </c>
      <c r="B52" s="32" t="str">
        <f t="shared" si="0"/>
        <v>4133747093</v>
      </c>
      <c r="E52" s="33" t="s">
        <v>270</v>
      </c>
    </row>
    <row r="53" spans="1:5">
      <c r="A53" s="6">
        <v>14133782900</v>
      </c>
      <c r="B53" s="32" t="str">
        <f t="shared" si="0"/>
        <v>4133782900</v>
      </c>
      <c r="E53" s="33" t="s">
        <v>283</v>
      </c>
    </row>
    <row r="54" spans="1:5">
      <c r="A54" s="6">
        <v>14133782900</v>
      </c>
      <c r="B54" s="32" t="str">
        <f t="shared" si="0"/>
        <v>4133782900</v>
      </c>
      <c r="E54" s="33" t="s">
        <v>35</v>
      </c>
    </row>
    <row r="55" spans="1:5">
      <c r="A55" s="6">
        <v>14133880368</v>
      </c>
      <c r="B55" s="32" t="str">
        <f t="shared" si="0"/>
        <v>4133880368</v>
      </c>
      <c r="E55" s="33" t="s">
        <v>77</v>
      </c>
    </row>
    <row r="56" spans="1:5">
      <c r="A56" s="6">
        <v>14133900121</v>
      </c>
      <c r="B56" s="32" t="str">
        <f t="shared" si="0"/>
        <v>4133900121</v>
      </c>
      <c r="E56" s="33" t="s">
        <v>287</v>
      </c>
    </row>
    <row r="57" spans="1:5">
      <c r="A57" s="6">
        <v>14134171333</v>
      </c>
      <c r="B57" s="32" t="str">
        <f t="shared" si="0"/>
        <v>4134171333</v>
      </c>
      <c r="E57" s="33" t="s">
        <v>225</v>
      </c>
    </row>
    <row r="58" spans="1:5">
      <c r="A58" s="6">
        <v>14134273670</v>
      </c>
      <c r="B58" s="32" t="str">
        <f t="shared" si="0"/>
        <v>4134273670</v>
      </c>
      <c r="E58" s="33" t="s">
        <v>225</v>
      </c>
    </row>
    <row r="59" spans="1:5">
      <c r="A59" s="6">
        <v>14134323603</v>
      </c>
      <c r="B59" s="32" t="str">
        <f t="shared" si="0"/>
        <v>4134323603</v>
      </c>
      <c r="E59" s="33" t="s">
        <v>87</v>
      </c>
    </row>
    <row r="60" spans="1:5">
      <c r="A60" s="6">
        <v>14134323941</v>
      </c>
      <c r="B60" s="32" t="str">
        <f t="shared" si="0"/>
        <v>4134323941</v>
      </c>
      <c r="E60" s="33" t="s">
        <v>100</v>
      </c>
    </row>
    <row r="61" spans="1:5">
      <c r="A61" s="6">
        <v>14134334276</v>
      </c>
      <c r="B61" s="32" t="str">
        <f t="shared" si="0"/>
        <v>4134334276</v>
      </c>
      <c r="E61" s="33" t="s">
        <v>332</v>
      </c>
    </row>
    <row r="62" spans="1:5">
      <c r="A62" s="6">
        <v>14134395727</v>
      </c>
      <c r="B62" s="32" t="str">
        <f t="shared" si="0"/>
        <v>4134395727</v>
      </c>
      <c r="E62" s="33" t="s">
        <v>219</v>
      </c>
    </row>
    <row r="63" spans="1:5">
      <c r="A63" s="6">
        <v>14134395727</v>
      </c>
      <c r="B63" s="32" t="str">
        <f t="shared" si="0"/>
        <v>4134395727</v>
      </c>
      <c r="E63" s="33" t="s">
        <v>174</v>
      </c>
    </row>
    <row r="64" spans="1:5">
      <c r="A64" s="6">
        <v>14134395727</v>
      </c>
      <c r="B64" s="32" t="str">
        <f t="shared" si="0"/>
        <v>4134395727</v>
      </c>
      <c r="E64" s="36" t="s">
        <v>111</v>
      </c>
    </row>
    <row r="65" spans="1:5">
      <c r="A65" s="6">
        <v>14134446176</v>
      </c>
      <c r="B65" s="32" t="str">
        <f t="shared" si="0"/>
        <v>4134446176</v>
      </c>
      <c r="E65" s="33" t="s">
        <v>259</v>
      </c>
    </row>
    <row r="66" spans="1:5">
      <c r="A66" s="6">
        <v>14134446196</v>
      </c>
      <c r="B66" s="32" t="str">
        <f t="shared" ref="B66:B129" si="1">IF(LEFT(A66,1)="1", RIGHT(A66,LEN(A66)-1), A66)</f>
        <v>4134446196</v>
      </c>
      <c r="E66" s="33" t="s">
        <v>169</v>
      </c>
    </row>
    <row r="67" spans="1:5">
      <c r="A67" s="6">
        <v>14134446279</v>
      </c>
      <c r="B67" s="32" t="str">
        <f t="shared" si="1"/>
        <v>4134446279</v>
      </c>
      <c r="E67" s="33" t="s">
        <v>40</v>
      </c>
    </row>
    <row r="68" spans="1:5">
      <c r="A68" s="6">
        <v>14134446585</v>
      </c>
      <c r="B68" s="32" t="str">
        <f t="shared" si="1"/>
        <v>4134446585</v>
      </c>
      <c r="E68" s="33" t="s">
        <v>40</v>
      </c>
    </row>
    <row r="69" spans="1:5">
      <c r="A69" s="6">
        <v>14134446614</v>
      </c>
      <c r="B69" s="32" t="str">
        <f t="shared" si="1"/>
        <v>4134446614</v>
      </c>
      <c r="E69" s="33" t="s">
        <v>184</v>
      </c>
    </row>
    <row r="70" spans="1:5">
      <c r="A70" s="6">
        <v>14134446643</v>
      </c>
      <c r="B70" s="32" t="str">
        <f t="shared" si="1"/>
        <v>4134446643</v>
      </c>
      <c r="E70" s="33" t="s">
        <v>391</v>
      </c>
    </row>
    <row r="71" spans="1:5">
      <c r="A71" s="6">
        <v>14134446648</v>
      </c>
      <c r="B71" s="32" t="str">
        <f t="shared" si="1"/>
        <v>4134446648</v>
      </c>
      <c r="E71" s="33" t="s">
        <v>55</v>
      </c>
    </row>
    <row r="72" spans="1:5">
      <c r="A72" s="6">
        <v>14134567479</v>
      </c>
      <c r="B72" s="32" t="str">
        <f t="shared" si="1"/>
        <v>4134567479</v>
      </c>
      <c r="E72" s="33" t="s">
        <v>55</v>
      </c>
    </row>
    <row r="73" spans="1:5">
      <c r="A73" s="6">
        <v>14134567564</v>
      </c>
      <c r="B73" s="32" t="str">
        <f t="shared" si="1"/>
        <v>4134567564</v>
      </c>
      <c r="E73" s="33" t="s">
        <v>55</v>
      </c>
    </row>
    <row r="74" spans="1:5">
      <c r="A74" s="6">
        <v>14134567661</v>
      </c>
      <c r="B74" s="32" t="str">
        <f t="shared" si="1"/>
        <v>4134567661</v>
      </c>
      <c r="E74" s="33" t="s">
        <v>274</v>
      </c>
    </row>
    <row r="75" spans="1:5">
      <c r="A75" s="6">
        <v>14134567987</v>
      </c>
      <c r="B75" s="32" t="str">
        <f t="shared" si="1"/>
        <v>4134567987</v>
      </c>
      <c r="E75" s="33" t="s">
        <v>17</v>
      </c>
    </row>
    <row r="76" spans="1:5">
      <c r="A76" s="6">
        <v>14134629149</v>
      </c>
      <c r="B76" s="32" t="str">
        <f t="shared" si="1"/>
        <v>4134629149</v>
      </c>
      <c r="E76" s="33" t="s">
        <v>17</v>
      </c>
    </row>
    <row r="77" spans="1:5">
      <c r="A77" s="6">
        <v>14134629149</v>
      </c>
      <c r="B77" s="32" t="str">
        <f t="shared" si="1"/>
        <v>4134629149</v>
      </c>
      <c r="E77" s="33" t="s">
        <v>239</v>
      </c>
    </row>
    <row r="78" spans="1:5">
      <c r="A78" s="6">
        <v>14134629262</v>
      </c>
      <c r="B78" s="32" t="str">
        <f t="shared" si="1"/>
        <v>4134629262</v>
      </c>
      <c r="E78" s="33" t="s">
        <v>127</v>
      </c>
    </row>
    <row r="79" spans="1:5">
      <c r="A79" s="6">
        <v>14134629267</v>
      </c>
      <c r="B79" s="32" t="str">
        <f t="shared" si="1"/>
        <v>4134629267</v>
      </c>
      <c r="E79" s="33" t="s">
        <v>253</v>
      </c>
    </row>
    <row r="80" spans="1:5">
      <c r="A80" s="6">
        <v>14134629267</v>
      </c>
      <c r="B80" s="32" t="str">
        <f t="shared" si="1"/>
        <v>4134629267</v>
      </c>
      <c r="E80" s="33" t="s">
        <v>65</v>
      </c>
    </row>
    <row r="81" spans="1:3">
      <c r="A81" s="6">
        <v>14134629543</v>
      </c>
      <c r="B81" s="32" t="str">
        <f t="shared" si="1"/>
        <v>4134629543</v>
      </c>
    </row>
    <row r="82" spans="1:3">
      <c r="A82" s="6">
        <v>14134629543</v>
      </c>
      <c r="B82" s="32" t="str">
        <f t="shared" si="1"/>
        <v>4134629543</v>
      </c>
    </row>
    <row r="83" spans="1:3">
      <c r="A83" s="6">
        <v>14134789369</v>
      </c>
      <c r="B83" s="32" t="str">
        <f t="shared" si="1"/>
        <v>4134789369</v>
      </c>
    </row>
    <row r="84" spans="1:3">
      <c r="A84" s="6">
        <v>14135007367</v>
      </c>
      <c r="B84" s="32" t="str">
        <f t="shared" si="1"/>
        <v>4135007367</v>
      </c>
    </row>
    <row r="85" spans="1:3">
      <c r="A85" s="6">
        <v>14135007909</v>
      </c>
      <c r="B85" s="32" t="str">
        <f t="shared" si="1"/>
        <v>4135007909</v>
      </c>
    </row>
    <row r="86" spans="1:3">
      <c r="A86" s="6">
        <v>14135007909</v>
      </c>
      <c r="B86" s="32" t="str">
        <f t="shared" si="1"/>
        <v>4135007909</v>
      </c>
    </row>
    <row r="87" spans="1:3">
      <c r="A87" s="6">
        <v>14135141918</v>
      </c>
      <c r="B87" s="32" t="str">
        <f t="shared" si="1"/>
        <v>4135141918</v>
      </c>
    </row>
    <row r="88" spans="1:3">
      <c r="A88" s="6">
        <v>14135141918</v>
      </c>
      <c r="B88" s="32" t="str">
        <f t="shared" si="1"/>
        <v>4135141918</v>
      </c>
    </row>
    <row r="89" spans="1:3">
      <c r="A89" s="6">
        <v>14135191252</v>
      </c>
      <c r="B89" s="32" t="str">
        <f t="shared" si="1"/>
        <v>4135191252</v>
      </c>
    </row>
    <row r="90" spans="1:3">
      <c r="A90" s="6">
        <v>14135251268</v>
      </c>
      <c r="B90" s="32" t="str">
        <f t="shared" si="1"/>
        <v>4135251268</v>
      </c>
    </row>
    <row r="91" spans="1:3">
      <c r="A91" s="6">
        <v>14135306600</v>
      </c>
      <c r="B91" s="32" t="str">
        <f t="shared" si="1"/>
        <v>4135306600</v>
      </c>
    </row>
    <row r="92" spans="1:3">
      <c r="A92" s="6">
        <v>14135371621</v>
      </c>
      <c r="B92" s="32" t="str">
        <f t="shared" si="1"/>
        <v>4135371621</v>
      </c>
    </row>
    <row r="93" spans="1:3">
      <c r="A93" s="6">
        <v>14135797034</v>
      </c>
      <c r="B93" s="32" t="str">
        <f t="shared" si="1"/>
        <v>4135797034</v>
      </c>
    </row>
    <row r="94" spans="1:3">
      <c r="A94" s="19" t="s">
        <v>111</v>
      </c>
      <c r="B94" s="32" t="str">
        <f t="shared" si="1"/>
        <v>413-612-8295</v>
      </c>
      <c r="C94" s="20">
        <v>2450</v>
      </c>
    </row>
    <row r="95" spans="1:3">
      <c r="A95" s="6">
        <v>14136131273</v>
      </c>
      <c r="B95" s="32" t="str">
        <f t="shared" si="1"/>
        <v>4136131273</v>
      </c>
    </row>
    <row r="96" spans="1:3">
      <c r="A96" s="6">
        <v>14136131405</v>
      </c>
      <c r="B96" s="32" t="str">
        <f t="shared" si="1"/>
        <v>4136131405</v>
      </c>
    </row>
    <row r="97" spans="1:2">
      <c r="A97" s="6">
        <v>14136131405</v>
      </c>
      <c r="B97" s="32" t="str">
        <f t="shared" si="1"/>
        <v>4136131405</v>
      </c>
    </row>
    <row r="98" spans="1:2">
      <c r="A98" s="6">
        <v>14136131430</v>
      </c>
      <c r="B98" s="32" t="str">
        <f t="shared" si="1"/>
        <v>4136131430</v>
      </c>
    </row>
    <row r="99" spans="1:2">
      <c r="A99" s="6">
        <v>14136131827</v>
      </c>
      <c r="B99" s="32" t="str">
        <f t="shared" si="1"/>
        <v>4136131827</v>
      </c>
    </row>
    <row r="100" spans="1:2">
      <c r="A100" s="6">
        <v>14136131827</v>
      </c>
      <c r="B100" s="32" t="str">
        <f t="shared" si="1"/>
        <v>4136131827</v>
      </c>
    </row>
    <row r="101" spans="1:2">
      <c r="A101" s="6">
        <v>14136131890</v>
      </c>
      <c r="B101" s="32" t="str">
        <f t="shared" si="1"/>
        <v>4136131890</v>
      </c>
    </row>
    <row r="102" spans="1:2">
      <c r="A102" s="6">
        <v>14136131890</v>
      </c>
      <c r="B102" s="32" t="str">
        <f t="shared" si="1"/>
        <v>4136131890</v>
      </c>
    </row>
    <row r="103" spans="1:2">
      <c r="A103" s="6">
        <v>14136367257</v>
      </c>
      <c r="B103" s="32" t="str">
        <f t="shared" si="1"/>
        <v>4136367257</v>
      </c>
    </row>
    <row r="104" spans="1:2">
      <c r="A104" s="6">
        <v>14136482123</v>
      </c>
      <c r="B104" s="32" t="str">
        <f t="shared" si="1"/>
        <v>4136482123</v>
      </c>
    </row>
    <row r="105" spans="1:2">
      <c r="A105" s="6">
        <v>14136482123</v>
      </c>
      <c r="B105" s="32" t="str">
        <f t="shared" si="1"/>
        <v>4136482123</v>
      </c>
    </row>
    <row r="106" spans="1:2">
      <c r="A106" s="6">
        <v>14136482130</v>
      </c>
      <c r="B106" s="32" t="str">
        <f t="shared" si="1"/>
        <v>4136482130</v>
      </c>
    </row>
    <row r="107" spans="1:2">
      <c r="A107" s="6">
        <v>14136482130</v>
      </c>
      <c r="B107" s="32" t="str">
        <f t="shared" si="1"/>
        <v>4136482130</v>
      </c>
    </row>
    <row r="108" spans="1:2">
      <c r="A108" s="6">
        <v>14136685974</v>
      </c>
      <c r="B108" s="32" t="str">
        <f t="shared" si="1"/>
        <v>4136685974</v>
      </c>
    </row>
    <row r="109" spans="1:2">
      <c r="A109" s="6">
        <v>14137694999</v>
      </c>
      <c r="B109" s="32" t="str">
        <f t="shared" si="1"/>
        <v>4137694999</v>
      </c>
    </row>
    <row r="110" spans="1:2">
      <c r="A110" s="6">
        <v>14137778260</v>
      </c>
      <c r="B110" s="32" t="str">
        <f t="shared" si="1"/>
        <v>4137778260</v>
      </c>
    </row>
    <row r="111" spans="1:2">
      <c r="A111" s="6">
        <v>14138232048</v>
      </c>
      <c r="B111" s="32" t="str">
        <f t="shared" si="1"/>
        <v>4138232048</v>
      </c>
    </row>
    <row r="112" spans="1:2">
      <c r="A112" s="6">
        <v>14138232048</v>
      </c>
      <c r="B112" s="32" t="str">
        <f t="shared" si="1"/>
        <v>4138232048</v>
      </c>
    </row>
    <row r="113" spans="1:2">
      <c r="A113" s="6">
        <v>14138471943</v>
      </c>
      <c r="B113" s="32" t="str">
        <f t="shared" si="1"/>
        <v>4138471943</v>
      </c>
    </row>
    <row r="114" spans="1:2">
      <c r="A114" s="6">
        <v>14138755459</v>
      </c>
      <c r="B114" s="32" t="str">
        <f t="shared" si="1"/>
        <v>4138755459</v>
      </c>
    </row>
    <row r="115" spans="1:2">
      <c r="A115" s="6">
        <v>14138834833</v>
      </c>
      <c r="B115" s="32" t="str">
        <f t="shared" si="1"/>
        <v>4138834833</v>
      </c>
    </row>
    <row r="116" spans="1:2">
      <c r="A116" s="6">
        <v>14138856806</v>
      </c>
      <c r="B116" s="32" t="str">
        <f t="shared" si="1"/>
        <v>4138856806</v>
      </c>
    </row>
    <row r="117" spans="1:2">
      <c r="A117" s="6">
        <v>14138856806</v>
      </c>
      <c r="B117" s="32" t="str">
        <f t="shared" si="1"/>
        <v>4138856806</v>
      </c>
    </row>
    <row r="118" spans="1:2">
      <c r="A118" s="6">
        <v>14138859407</v>
      </c>
      <c r="B118" s="32" t="str">
        <f t="shared" si="1"/>
        <v>4138859407</v>
      </c>
    </row>
    <row r="119" spans="1:2">
      <c r="A119" s="6">
        <v>14138879299</v>
      </c>
      <c r="B119" s="32" t="str">
        <f t="shared" si="1"/>
        <v>4138879299</v>
      </c>
    </row>
    <row r="120" spans="1:2">
      <c r="A120" s="6">
        <v>14138963717</v>
      </c>
      <c r="B120" s="32" t="str">
        <f t="shared" si="1"/>
        <v>4138963717</v>
      </c>
    </row>
    <row r="121" spans="1:2">
      <c r="A121" s="6">
        <v>15082213784</v>
      </c>
      <c r="B121" s="32" t="str">
        <f t="shared" si="1"/>
        <v>5082213784</v>
      </c>
    </row>
    <row r="122" spans="1:2">
      <c r="A122" s="6">
        <v>15082592400</v>
      </c>
      <c r="B122" s="32" t="str">
        <f t="shared" si="1"/>
        <v>5082592400</v>
      </c>
    </row>
    <row r="123" spans="1:2">
      <c r="A123" s="6">
        <v>15083019117</v>
      </c>
      <c r="B123" s="32" t="str">
        <f t="shared" si="1"/>
        <v>5083019117</v>
      </c>
    </row>
    <row r="124" spans="1:2">
      <c r="A124" s="6">
        <v>15083019318</v>
      </c>
      <c r="B124" s="32" t="str">
        <f t="shared" si="1"/>
        <v>5083019318</v>
      </c>
    </row>
    <row r="125" spans="1:2">
      <c r="A125" s="6">
        <v>15083019318</v>
      </c>
      <c r="B125" s="32" t="str">
        <f t="shared" si="1"/>
        <v>5083019318</v>
      </c>
    </row>
    <row r="126" spans="1:2">
      <c r="A126" s="6">
        <v>15083206267</v>
      </c>
      <c r="B126" s="32" t="str">
        <f t="shared" si="1"/>
        <v>5083206267</v>
      </c>
    </row>
    <row r="127" spans="1:2">
      <c r="A127" s="6">
        <v>15084194035</v>
      </c>
      <c r="B127" s="32" t="str">
        <f t="shared" si="1"/>
        <v>5084194035</v>
      </c>
    </row>
    <row r="128" spans="1:2">
      <c r="A128" s="6">
        <v>15084194317</v>
      </c>
      <c r="B128" s="32" t="str">
        <f t="shared" si="1"/>
        <v>5084194317</v>
      </c>
    </row>
    <row r="129" spans="1:2">
      <c r="A129" s="6">
        <v>15084658381</v>
      </c>
      <c r="B129" s="32" t="str">
        <f t="shared" si="1"/>
        <v>5084658381</v>
      </c>
    </row>
    <row r="130" spans="1:2">
      <c r="A130" s="6">
        <v>15084658397</v>
      </c>
      <c r="B130" s="32" t="str">
        <f t="shared" ref="B130:B181" si="2">IF(LEFT(A130,1)="1", RIGHT(A130,LEN(A130)-1), A130)</f>
        <v>5084658397</v>
      </c>
    </row>
    <row r="131" spans="1:2">
      <c r="A131" s="6">
        <v>15085638243</v>
      </c>
      <c r="B131" s="32" t="str">
        <f t="shared" si="2"/>
        <v>5085638243</v>
      </c>
    </row>
    <row r="132" spans="1:2">
      <c r="A132" s="6">
        <v>15085638243</v>
      </c>
      <c r="B132" s="32" t="str">
        <f t="shared" si="2"/>
        <v>5085638243</v>
      </c>
    </row>
    <row r="133" spans="1:2">
      <c r="A133" s="6">
        <v>15086830473</v>
      </c>
      <c r="B133" s="32" t="str">
        <f t="shared" si="2"/>
        <v>5086830473</v>
      </c>
    </row>
    <row r="134" spans="1:2">
      <c r="A134" s="6">
        <v>15086830798</v>
      </c>
      <c r="B134" s="32" t="str">
        <f t="shared" si="2"/>
        <v>5086830798</v>
      </c>
    </row>
    <row r="135" spans="1:2">
      <c r="A135" s="6">
        <v>15086830799</v>
      </c>
      <c r="B135" s="32" t="str">
        <f t="shared" si="2"/>
        <v>5086830799</v>
      </c>
    </row>
    <row r="136" spans="1:2">
      <c r="A136" s="6">
        <v>15088408624</v>
      </c>
      <c r="B136" s="32" t="str">
        <f t="shared" si="2"/>
        <v>5088408624</v>
      </c>
    </row>
    <row r="137" spans="1:2">
      <c r="A137" s="6">
        <v>15088408624</v>
      </c>
      <c r="B137" s="32" t="str">
        <f t="shared" si="2"/>
        <v>5088408624</v>
      </c>
    </row>
    <row r="138" spans="1:2">
      <c r="A138" s="6">
        <v>15088408624</v>
      </c>
      <c r="B138" s="32" t="str">
        <f t="shared" si="2"/>
        <v>5088408624</v>
      </c>
    </row>
    <row r="139" spans="1:2">
      <c r="A139" s="6">
        <v>15088408624</v>
      </c>
      <c r="B139" s="32" t="str">
        <f t="shared" si="2"/>
        <v>5088408624</v>
      </c>
    </row>
    <row r="140" spans="1:2">
      <c r="A140" s="6">
        <v>15182608762</v>
      </c>
      <c r="B140" s="32" t="str">
        <f t="shared" si="2"/>
        <v>5182608762</v>
      </c>
    </row>
    <row r="141" spans="1:2">
      <c r="A141" s="6">
        <v>15182608762</v>
      </c>
      <c r="B141" s="32" t="str">
        <f t="shared" si="2"/>
        <v>5182608762</v>
      </c>
    </row>
    <row r="142" spans="1:2">
      <c r="A142" s="6">
        <v>15182608762</v>
      </c>
      <c r="B142" s="32" t="str">
        <f t="shared" si="2"/>
        <v>5182608762</v>
      </c>
    </row>
    <row r="143" spans="1:2">
      <c r="A143" s="6">
        <v>15182608762</v>
      </c>
      <c r="B143" s="32" t="str">
        <f t="shared" si="2"/>
        <v>5182608762</v>
      </c>
    </row>
    <row r="144" spans="1:2">
      <c r="A144" s="6">
        <v>16467977501</v>
      </c>
      <c r="B144" s="32" t="str">
        <f t="shared" si="2"/>
        <v>6467977501</v>
      </c>
    </row>
    <row r="145" spans="1:5">
      <c r="A145" s="6">
        <v>16467977501</v>
      </c>
      <c r="B145" s="32" t="str">
        <f t="shared" si="2"/>
        <v>6467977501</v>
      </c>
      <c r="E145" s="2" t="s">
        <v>239</v>
      </c>
    </row>
    <row r="146" spans="1:5">
      <c r="A146" s="6">
        <v>17202829019</v>
      </c>
      <c r="B146" s="32" t="str">
        <f t="shared" si="2"/>
        <v>7202829019</v>
      </c>
      <c r="E146" s="2" t="s">
        <v>127</v>
      </c>
    </row>
    <row r="147" spans="1:5">
      <c r="A147" s="6">
        <v>17202829019</v>
      </c>
      <c r="B147" s="32" t="str">
        <f t="shared" si="2"/>
        <v>7202829019</v>
      </c>
      <c r="E147" s="2" t="s">
        <v>253</v>
      </c>
    </row>
    <row r="148" spans="1:5">
      <c r="A148" s="6">
        <v>17202829019</v>
      </c>
      <c r="B148" s="32" t="str">
        <f t="shared" si="2"/>
        <v>7202829019</v>
      </c>
      <c r="E148" s="2" t="s">
        <v>65</v>
      </c>
    </row>
    <row r="149" spans="1:5">
      <c r="A149" s="6">
        <v>17204000421</v>
      </c>
      <c r="B149" s="32" t="str">
        <f t="shared" si="2"/>
        <v>7204000421</v>
      </c>
    </row>
    <row r="150" spans="1:5">
      <c r="A150" s="6">
        <v>17276140255</v>
      </c>
      <c r="B150" s="32" t="str">
        <f t="shared" si="2"/>
        <v>7276140255</v>
      </c>
    </row>
    <row r="151" spans="1:5">
      <c r="A151" s="6">
        <v>17577192023</v>
      </c>
      <c r="B151" s="32" t="str">
        <f t="shared" si="2"/>
        <v>7577192023</v>
      </c>
    </row>
    <row r="152" spans="1:5">
      <c r="A152" s="6">
        <v>17577192023</v>
      </c>
      <c r="B152" s="32" t="str">
        <f t="shared" si="2"/>
        <v>7577192023</v>
      </c>
    </row>
    <row r="153" spans="1:5">
      <c r="A153" s="6">
        <v>17742335625</v>
      </c>
      <c r="B153" s="32" t="str">
        <f t="shared" si="2"/>
        <v>7742335625</v>
      </c>
    </row>
    <row r="154" spans="1:5">
      <c r="A154" s="6">
        <v>17742858936</v>
      </c>
      <c r="B154" s="32" t="str">
        <f t="shared" si="2"/>
        <v>7742858936</v>
      </c>
    </row>
    <row r="155" spans="1:5">
      <c r="A155" s="6">
        <v>17745405498</v>
      </c>
      <c r="B155" s="32" t="str">
        <f t="shared" si="2"/>
        <v>7745405498</v>
      </c>
    </row>
    <row r="156" spans="1:5">
      <c r="A156" s="6">
        <v>17752430815</v>
      </c>
      <c r="B156" s="32" t="str">
        <f t="shared" si="2"/>
        <v>7752430815</v>
      </c>
    </row>
    <row r="157" spans="1:5">
      <c r="A157" s="6">
        <v>17753171776</v>
      </c>
      <c r="B157" s="32" t="str">
        <f t="shared" si="2"/>
        <v>7753171776</v>
      </c>
    </row>
    <row r="158" spans="1:5">
      <c r="A158" s="6">
        <v>17812109026</v>
      </c>
      <c r="B158" s="32" t="str">
        <f t="shared" si="2"/>
        <v>7812109026</v>
      </c>
    </row>
    <row r="159" spans="1:5">
      <c r="A159" s="6">
        <v>17812109026</v>
      </c>
      <c r="B159" s="32" t="str">
        <f t="shared" si="2"/>
        <v>7812109026</v>
      </c>
    </row>
    <row r="160" spans="1:5">
      <c r="A160" s="6">
        <v>17812109053</v>
      </c>
      <c r="B160" s="32" t="str">
        <f t="shared" si="2"/>
        <v>7812109053</v>
      </c>
    </row>
    <row r="161" spans="1:2">
      <c r="A161" s="6">
        <v>17812151629</v>
      </c>
      <c r="B161" s="32" t="str">
        <f t="shared" si="2"/>
        <v>7812151629</v>
      </c>
    </row>
    <row r="162" spans="1:2">
      <c r="A162" s="6">
        <v>17814635055</v>
      </c>
      <c r="B162" s="32" t="str">
        <f t="shared" si="2"/>
        <v>7814635055</v>
      </c>
    </row>
    <row r="163" spans="1:2">
      <c r="A163" s="6">
        <v>17818208273</v>
      </c>
      <c r="B163" s="32" t="str">
        <f t="shared" si="2"/>
        <v>7818208273</v>
      </c>
    </row>
    <row r="164" spans="1:2">
      <c r="A164" s="6">
        <v>18148833302</v>
      </c>
      <c r="B164" s="32" t="str">
        <f t="shared" si="2"/>
        <v>8148833302</v>
      </c>
    </row>
    <row r="165" spans="1:2">
      <c r="A165" s="6">
        <v>18572168191</v>
      </c>
      <c r="B165" s="32" t="str">
        <f t="shared" si="2"/>
        <v>8572168191</v>
      </c>
    </row>
    <row r="166" spans="1:2">
      <c r="A166" s="6">
        <v>18572168420</v>
      </c>
      <c r="B166" s="32" t="str">
        <f t="shared" si="2"/>
        <v>8572168420</v>
      </c>
    </row>
    <row r="167" spans="1:2">
      <c r="A167" s="6">
        <v>18572668583</v>
      </c>
      <c r="B167" s="32" t="str">
        <f t="shared" si="2"/>
        <v>8572668583</v>
      </c>
    </row>
    <row r="168" spans="1:2">
      <c r="A168" s="6">
        <v>18573965753</v>
      </c>
      <c r="B168" s="32" t="str">
        <f t="shared" si="2"/>
        <v>8573965753</v>
      </c>
    </row>
    <row r="169" spans="1:2">
      <c r="A169" s="6">
        <v>18573965753</v>
      </c>
      <c r="B169" s="32" t="str">
        <f t="shared" si="2"/>
        <v>8573965753</v>
      </c>
    </row>
    <row r="170" spans="1:2">
      <c r="A170" s="6">
        <v>18602412300</v>
      </c>
      <c r="B170" s="32" t="str">
        <f t="shared" si="2"/>
        <v>8602412300</v>
      </c>
    </row>
    <row r="171" spans="1:2">
      <c r="A171" s="6">
        <v>18602412300</v>
      </c>
      <c r="B171" s="32" t="str">
        <f t="shared" si="2"/>
        <v>8602412300</v>
      </c>
    </row>
    <row r="172" spans="1:2">
      <c r="A172" s="6">
        <v>18604905610</v>
      </c>
      <c r="B172" s="32" t="str">
        <f t="shared" si="2"/>
        <v>8604905610</v>
      </c>
    </row>
    <row r="173" spans="1:2">
      <c r="A173" s="6">
        <v>18607666395</v>
      </c>
      <c r="B173" s="32" t="str">
        <f t="shared" si="2"/>
        <v>8607666395</v>
      </c>
    </row>
    <row r="174" spans="1:2">
      <c r="A174" s="6">
        <v>18888550876</v>
      </c>
      <c r="B174" s="32" t="str">
        <f t="shared" si="2"/>
        <v>8888550876</v>
      </c>
    </row>
    <row r="175" spans="1:2">
      <c r="A175" s="6">
        <v>19144346770</v>
      </c>
      <c r="B175" s="32" t="str">
        <f t="shared" si="2"/>
        <v>9144346770</v>
      </c>
    </row>
    <row r="176" spans="1:2">
      <c r="A176" s="6">
        <v>19144385394</v>
      </c>
      <c r="B176" s="32" t="str">
        <f t="shared" si="2"/>
        <v>9144385394</v>
      </c>
    </row>
    <row r="177" spans="1:4">
      <c r="A177" s="6">
        <v>19782033366</v>
      </c>
      <c r="B177" s="32" t="str">
        <f t="shared" si="2"/>
        <v>9782033366</v>
      </c>
    </row>
    <row r="178" spans="1:4">
      <c r="A178" s="6">
        <v>19782033660</v>
      </c>
      <c r="B178" s="32" t="str">
        <f t="shared" si="2"/>
        <v>9782033660</v>
      </c>
    </row>
    <row r="179" spans="1:4">
      <c r="A179" s="6">
        <v>19782290536</v>
      </c>
      <c r="B179" s="32" t="str">
        <f t="shared" si="2"/>
        <v>9782290536</v>
      </c>
    </row>
    <row r="180" spans="1:4">
      <c r="A180" s="6">
        <v>19782339236</v>
      </c>
      <c r="B180" s="32" t="str">
        <f t="shared" si="2"/>
        <v>9782339236</v>
      </c>
    </row>
    <row r="181" spans="1:4">
      <c r="A181" s="6">
        <v>19783756435</v>
      </c>
      <c r="B181" s="32" t="str">
        <f t="shared" si="2"/>
        <v>9783756435</v>
      </c>
    </row>
    <row r="182" spans="1:4">
      <c r="A182" s="6">
        <v>19788272531</v>
      </c>
      <c r="B182" s="32" t="str">
        <f>IF(LEFT(A182,1)="1", RIGHT(A182,LEN(A182)-1), A182)</f>
        <v>9788272531</v>
      </c>
    </row>
    <row r="183" spans="1:4">
      <c r="A183" s="6" t="s">
        <v>349</v>
      </c>
      <c r="B183" s="31"/>
      <c r="C183" s="5">
        <v>45355</v>
      </c>
      <c r="D183" s="13"/>
    </row>
    <row r="184" spans="1:4" ht="15" customHeight="1">
      <c r="A184" s="6"/>
      <c r="B184" s="31"/>
    </row>
  </sheetData>
  <autoFilter ref="G2:G22" xr:uid="{00000000-0009-0000-0000-000001000000}">
    <sortState xmlns:xlrd2="http://schemas.microsoft.com/office/spreadsheetml/2017/richdata2" ref="G3:G22">
      <sortCondition ref="G2:G22"/>
    </sortState>
  </autoFilter>
  <sortState xmlns:xlrd2="http://schemas.microsoft.com/office/spreadsheetml/2017/richdata2" ref="A3:F183">
    <sortCondition ref="F2"/>
  </sortState>
  <conditionalFormatting sqref="G1:G1048576">
    <cfRule type="colorScale" priority="6">
      <colorScale>
        <cfvo type="min"/>
        <cfvo type="max"/>
        <color rgb="FFFF7128"/>
        <color rgb="FFFFEF9C"/>
      </colorScale>
    </cfRule>
  </conditionalFormatting>
  <conditionalFormatting sqref="J1">
    <cfRule type="colorScale" priority="5">
      <colorScale>
        <cfvo type="min"/>
        <cfvo type="max"/>
        <color rgb="FFFF7128"/>
        <color rgb="FFFFEF9C"/>
      </colorScale>
    </cfRule>
  </conditionalFormatting>
  <conditionalFormatting sqref="E2">
    <cfRule type="duplicateValues" dxfId="3" priority="4"/>
  </conditionalFormatting>
  <conditionalFormatting sqref="B1:B182">
    <cfRule type="expression" dxfId="2" priority="3">
      <formula>COUNTIF(E:E, B2)&gt;0</formula>
    </cfRule>
  </conditionalFormatting>
  <conditionalFormatting sqref="E2:E80">
    <cfRule type="expression" dxfId="1" priority="2">
      <formula>COUNTIF(B:B, E2)&gt;0</formula>
    </cfRule>
  </conditionalFormatting>
  <conditionalFormatting sqref="G2:G22">
    <cfRule type="expression" dxfId="0" priority="1">
      <formula>COUNTIF(B:B, G2:G2)&gt;0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 invoiced 1.1.24 - 3.27.24</vt:lpstr>
      <vt:lpstr>Sales &amp; Source phone #'s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 Dobek</dc:creator>
  <cp:lastModifiedBy>Bryan Blair</cp:lastModifiedBy>
  <dcterms:created xsi:type="dcterms:W3CDTF">2024-04-03T16:01:33Z</dcterms:created>
  <dcterms:modified xsi:type="dcterms:W3CDTF">2024-04-03T23:05:26Z</dcterms:modified>
</cp:coreProperties>
</file>