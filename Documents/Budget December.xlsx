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filterPrivacy="1"/>
  <xr:revisionPtr revIDLastSave="334" documentId="8_{BF7A0142-EEA6-5A4E-B58A-D6B307BCC09F}" xr6:coauthVersionLast="45" xr6:coauthVersionMax="45" xr10:uidLastSave="{FEF528C8-525E-43A5-9477-2F1A102640FE}"/>
  <bookViews>
    <workbookView minimized="1" xWindow="30480" yWindow="930" windowWidth="21600" windowHeight="11385" activeTab="1" xr2:uid="{00000000-000D-0000-FFFF-FFFF00000000}"/>
  </bookViews>
  <sheets>
    <sheet name="Start" sheetId="2" r:id="rId1"/>
    <sheet name="Personal Monthly Budget" sheetId="1" r:id="rId2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'Personal Monthly Budget'!$E$17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1" l="1"/>
  <c r="E38" i="1"/>
  <c r="G80" i="1" s="1"/>
  <c r="E27" i="1"/>
  <c r="D72" i="1"/>
  <c r="D52" i="1"/>
  <c r="I36" i="1"/>
  <c r="I25" i="1"/>
  <c r="D26" i="1"/>
  <c r="D37" i="1"/>
  <c r="J65" i="1"/>
  <c r="J66" i="1"/>
  <c r="J67" i="1"/>
  <c r="J68" i="1"/>
  <c r="J69" i="1"/>
  <c r="C5" i="1" l="1"/>
  <c r="E16" i="1" l="1"/>
  <c r="E17" i="1"/>
  <c r="E18" i="1"/>
  <c r="E19" i="1"/>
  <c r="E20" i="1"/>
  <c r="E21" i="1"/>
  <c r="E22" i="1"/>
  <c r="E23" i="1"/>
  <c r="E24" i="1"/>
  <c r="E25" i="1"/>
  <c r="C12" i="1"/>
  <c r="C7" i="1"/>
  <c r="J75" i="1"/>
  <c r="J73" i="1"/>
  <c r="J56" i="1"/>
  <c r="J57" i="1"/>
  <c r="J58" i="1"/>
  <c r="J49" i="1"/>
  <c r="J50" i="1"/>
  <c r="J51" i="1"/>
  <c r="J41" i="1"/>
  <c r="J42" i="1"/>
  <c r="J43" i="1"/>
  <c r="J44" i="1"/>
  <c r="J30" i="1"/>
  <c r="J31" i="1"/>
  <c r="J32" i="1"/>
  <c r="J33" i="1"/>
  <c r="J34" i="1"/>
  <c r="J35" i="1"/>
  <c r="J16" i="1"/>
  <c r="J17" i="1"/>
  <c r="J18" i="1"/>
  <c r="J19" i="1"/>
  <c r="J20" i="1"/>
  <c r="J21" i="1"/>
  <c r="J22" i="1"/>
  <c r="J23" i="1"/>
  <c r="J24" i="1"/>
  <c r="E65" i="1"/>
  <c r="E66" i="1"/>
  <c r="E67" i="1"/>
  <c r="E68" i="1"/>
  <c r="E69" i="1"/>
  <c r="E70" i="1"/>
  <c r="E71" i="1"/>
  <c r="E56" i="1"/>
  <c r="E57" i="1"/>
  <c r="E58" i="1"/>
  <c r="E59" i="1"/>
  <c r="E60" i="1"/>
  <c r="E49" i="1"/>
  <c r="E50" i="1"/>
  <c r="E51" i="1"/>
  <c r="E41" i="1"/>
  <c r="E42" i="1"/>
  <c r="E43" i="1"/>
  <c r="E44" i="1"/>
  <c r="E30" i="1"/>
  <c r="E31" i="1"/>
  <c r="E32" i="1"/>
  <c r="E33" i="1"/>
  <c r="E34" i="1"/>
  <c r="E36" i="1"/>
  <c r="E26" i="1" l="1"/>
  <c r="E52" i="1"/>
  <c r="J77" i="1"/>
  <c r="H4" i="1"/>
  <c r="E37" i="1"/>
  <c r="J52" i="1"/>
  <c r="J36" i="1"/>
  <c r="E45" i="1"/>
  <c r="E61" i="1"/>
  <c r="J25" i="1"/>
  <c r="J59" i="1"/>
  <c r="H6" i="1"/>
  <c r="J45" i="1"/>
  <c r="E72" i="1"/>
  <c r="H8" i="1" l="1"/>
</calcChain>
</file>

<file path=xl/sharedStrings.xml><?xml version="1.0" encoding="utf-8"?>
<sst xmlns="http://schemas.openxmlformats.org/spreadsheetml/2006/main" count="175" uniqueCount="108">
  <si>
    <t>Income 1</t>
  </si>
  <si>
    <t>Extra income</t>
  </si>
  <si>
    <t>Total monthly income</t>
  </si>
  <si>
    <t>Difference</t>
  </si>
  <si>
    <t>Mortgage or rent</t>
  </si>
  <si>
    <t>Phone</t>
  </si>
  <si>
    <t>Electricity</t>
  </si>
  <si>
    <t>Movies</t>
  </si>
  <si>
    <t>Gas</t>
  </si>
  <si>
    <t>Concerts</t>
  </si>
  <si>
    <t>Water and sewer</t>
  </si>
  <si>
    <t>Cable</t>
  </si>
  <si>
    <t>Other</t>
  </si>
  <si>
    <t>Maintenance or repairs</t>
  </si>
  <si>
    <t>Personal</t>
  </si>
  <si>
    <t>Vehicle payment</t>
  </si>
  <si>
    <t>Bus/taxi fare</t>
  </si>
  <si>
    <t>Insurance</t>
  </si>
  <si>
    <t>Licensing</t>
  </si>
  <si>
    <t>Fuel</t>
  </si>
  <si>
    <t>Federal</t>
  </si>
  <si>
    <t>State</t>
  </si>
  <si>
    <t>Home</t>
  </si>
  <si>
    <t>Local</t>
  </si>
  <si>
    <t>Health</t>
  </si>
  <si>
    <t>Life</t>
  </si>
  <si>
    <t>Retirement account</t>
  </si>
  <si>
    <t>Investment account</t>
  </si>
  <si>
    <t>Groceries</t>
  </si>
  <si>
    <t>Dining out</t>
  </si>
  <si>
    <t>Charity 2</t>
  </si>
  <si>
    <t>Food</t>
  </si>
  <si>
    <t>Charity 3</t>
  </si>
  <si>
    <t>Medical</t>
  </si>
  <si>
    <t>Grooming</t>
  </si>
  <si>
    <t>Toys</t>
  </si>
  <si>
    <t>LEGAL</t>
  </si>
  <si>
    <t>Attorney</t>
  </si>
  <si>
    <t>Alimony</t>
  </si>
  <si>
    <t>Payments on lien or judgment</t>
  </si>
  <si>
    <t>Hair/nails</t>
  </si>
  <si>
    <t>Clothing</t>
  </si>
  <si>
    <t>Dry cleaning</t>
  </si>
  <si>
    <t>Health club</t>
  </si>
  <si>
    <t>Organization dues or fees</t>
  </si>
  <si>
    <t>Subtotal</t>
  </si>
  <si>
    <t>Use this Personal Monthly Budget worksheet to track your Projected and Actual Monthly Income and Projected and Actual Cost.</t>
  </si>
  <si>
    <t>Note: </t>
  </si>
  <si>
    <t>Additional instructions have been provided in column A in PERSONAL MONTHLY BUDGET worksheet. This text has been intentionally hidden. To remove text, select column A, then select DELETE. To unhide text, select column A, then change font color.</t>
  </si>
  <si>
    <t>To learn more about tables in the worksheet, press SHIFT and then F10 within a table, select the TABLE option, and then select ALTERNATIVE TEXT.</t>
  </si>
  <si>
    <t>Create a Personal Monthly Budget in this worksheet. Helpful instructions on how to use this worksheet are in cells in this column. Arrow down to get started.</t>
  </si>
  <si>
    <t>About this Template</t>
  </si>
  <si>
    <t>Projected Monthly Income</t>
  </si>
  <si>
    <t>Actual Monthly Income</t>
  </si>
  <si>
    <t>Title of this worksheet is in cell at right. Next instruction is in cell A5.</t>
  </si>
  <si>
    <t>Total Projected Cost</t>
  </si>
  <si>
    <t>Total Actual Cost</t>
  </si>
  <si>
    <t>Total Difference</t>
  </si>
  <si>
    <t>Actual Monthly Income label is in cell at right. Enter Income 1 in cell C10 and Extra Income in C11 to calculate Total monthly income in C12. Next instruction is in cell A14.</t>
  </si>
  <si>
    <t>Enter details in Housing table starting in cell at right and in Entertainment table starting in cell G14. Next instruction is in cell A27.</t>
  </si>
  <si>
    <t>Enter details in Transportation table starting in cell at right and in Loans table starting in cell G26. Next instruction is in cell A37.</t>
  </si>
  <si>
    <t>Enter details in Food table starting in cell at right and in Savings table starting in cell G42. Next instruction is in cell A50.</t>
  </si>
  <si>
    <t>Enter details in Pets table starting in cell at right and in Gifts table starting in cell G48. Next instruction is in cell A58.</t>
  </si>
  <si>
    <t>Enter details in Personal Care table starting in cell at right and in Legal table starting in cell G54. Next instruction is in cell A61.</t>
  </si>
  <si>
    <t>Total Projected Cost is auto calculated in cell J61, Total Actual Cost in J63, and Total Difference in J65.</t>
  </si>
  <si>
    <t>Projected Monthly Income label is in cell at right. Enter Income 1 in cell C5 and Extra Income in C6 to calculate Total monthly income in C7. Next instruction is in cell A7.</t>
  </si>
  <si>
    <t>Projected Balance is auto calculated in cell H4, Actual Balance in H6, and Difference in H8. Next instruction is in cell A9.</t>
  </si>
  <si>
    <t>Enter details in Insurance table starting in cell at right and in Taxes table starting in cell G35. Next instruction is in cell A44.</t>
  </si>
  <si>
    <t>Housing</t>
  </si>
  <si>
    <t>Entertainment</t>
  </si>
  <si>
    <t>Projected
Cost</t>
  </si>
  <si>
    <t>Actual 
Cost</t>
  </si>
  <si>
    <t>Projected 
Cost</t>
  </si>
  <si>
    <t>0</t>
  </si>
  <si>
    <t>Transportation</t>
  </si>
  <si>
    <t>Loans</t>
  </si>
  <si>
    <t>Taxes</t>
  </si>
  <si>
    <t>Pets</t>
  </si>
  <si>
    <t>Savings or Investments</t>
  </si>
  <si>
    <t>Gifts and Donations</t>
  </si>
  <si>
    <t>Legal</t>
  </si>
  <si>
    <t>Personal Care</t>
  </si>
  <si>
    <r>
      <t xml:space="preserve">Projected Balance
</t>
    </r>
    <r>
      <rPr>
        <sz val="14"/>
        <color theme="1" tint="0.24994659260841701"/>
        <rFont val="Calibri"/>
        <family val="2"/>
        <scheme val="minor"/>
      </rPr>
      <t>(Projected income minus expenses)</t>
    </r>
  </si>
  <si>
    <r>
      <t xml:space="preserve">Actual Balance
</t>
    </r>
    <r>
      <rPr>
        <sz val="14"/>
        <color theme="1" tint="0.24994659260841701"/>
        <rFont val="Calibri"/>
        <family val="2"/>
        <scheme val="minor"/>
      </rPr>
      <t>(Actual income minus expenses)</t>
    </r>
  </si>
  <si>
    <r>
      <t xml:space="preserve">Difference
</t>
    </r>
    <r>
      <rPr>
        <sz val="14"/>
        <color theme="1" tint="0.24994659260841701"/>
        <rFont val="Calibri"/>
        <family val="2"/>
        <scheme val="minor"/>
      </rPr>
      <t>(Actual minus projected)</t>
    </r>
  </si>
  <si>
    <t>• Enter expenses incurred on various categories in respective tables.</t>
  </si>
  <si>
    <t>• Projected Balance, Actual Balance, and Difference are auto calculated.</t>
  </si>
  <si>
    <t xml:space="preserve">Internet </t>
  </si>
  <si>
    <t xml:space="preserve">Dates </t>
  </si>
  <si>
    <t>Homeless Individuals</t>
  </si>
  <si>
    <t>Group Apartment Items</t>
  </si>
  <si>
    <t>Unemployment</t>
  </si>
  <si>
    <t>Parents (Apt)</t>
  </si>
  <si>
    <t>December Monthly Budget + (Long Term Balences)</t>
  </si>
  <si>
    <t>Youtube</t>
  </si>
  <si>
    <t xml:space="preserve">Audible </t>
  </si>
  <si>
    <t>LinkedIn</t>
  </si>
  <si>
    <t>Nicotine</t>
  </si>
  <si>
    <t>Credit card (12/15)</t>
  </si>
  <si>
    <t>Spotify</t>
  </si>
  <si>
    <t>Household supplies</t>
  </si>
  <si>
    <t xml:space="preserve">Microsoft Office </t>
  </si>
  <si>
    <t>Christmas Gifts</t>
  </si>
  <si>
    <t>Minimum Possible</t>
  </si>
  <si>
    <t>Currently Overdue  12/3/20</t>
  </si>
  <si>
    <t>-</t>
  </si>
  <si>
    <t>Parking (Paid)</t>
  </si>
  <si>
    <r>
      <t xml:space="preserve">Groceries 11/19 </t>
    </r>
    <r>
      <rPr>
        <sz val="12"/>
        <color theme="9"/>
        <rFont val="Calibri"/>
        <family val="2"/>
        <scheme val="minor"/>
      </rPr>
      <t>(paid $100)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</si>
</sst>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4" formatCode="&quot;$&quot;#,##0.00"/>
    <numFmt numFmtId="165" formatCode="[&lt;=9999999]###\-####;\(###\)\ ###\-####"/>
  </numFmts>
  <fonts count="42" x14ac:knownFonts="1">
    <font>
      <sz val="10"/>
      <color theme="1" tint="0.2499465926084170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tint="0.24994659260841701"/>
      <name val="Calibri"/>
      <family val="2"/>
      <scheme val="major"/>
    </font>
    <font>
      <b/>
      <sz val="10"/>
      <color theme="1" tint="0.24994659260841701"/>
      <name val="Calibri"/>
      <family val="2"/>
      <scheme val="major"/>
    </font>
    <font>
      <sz val="22"/>
      <color theme="3" tint="0.24994659260841701"/>
      <name val="Calibri"/>
      <family val="2"/>
      <scheme val="maj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8"/>
      <name val="Calibri"/>
      <family val="2"/>
      <scheme val="major"/>
    </font>
    <font>
      <sz val="10"/>
      <color theme="8"/>
      <name val="Calibri"/>
      <family val="2"/>
      <scheme val="major"/>
    </font>
    <font>
      <sz val="12"/>
      <color theme="1"/>
      <name val="Calibri"/>
      <family val="2"/>
      <scheme val="minor"/>
    </font>
    <font>
      <sz val="22"/>
      <color theme="3" tint="0.24994659260841701"/>
      <name val="Calibri"/>
      <family val="2"/>
      <scheme val="minor"/>
    </font>
    <font>
      <b/>
      <sz val="14"/>
      <color theme="1" tint="0.24994659260841701"/>
      <name val="Calibri"/>
      <family val="2"/>
      <scheme val="minor"/>
    </font>
    <font>
      <b/>
      <sz val="10"/>
      <color theme="1" tint="0.24994659260841701"/>
      <name val="Calibri"/>
      <family val="2"/>
      <scheme val="minor"/>
    </font>
    <font>
      <b/>
      <sz val="12"/>
      <name val="Calibri"/>
      <family val="2"/>
      <scheme val="minor"/>
    </font>
    <font>
      <b/>
      <sz val="40"/>
      <color theme="8"/>
      <name val="Calibri"/>
      <family val="2"/>
      <scheme val="major"/>
    </font>
    <font>
      <sz val="14"/>
      <color theme="8"/>
      <name val="Calibri"/>
      <family val="2"/>
      <scheme val="major"/>
    </font>
    <font>
      <b/>
      <sz val="20"/>
      <color theme="1" tint="0.34998626667073579"/>
      <name val="Calibri"/>
      <family val="2"/>
      <scheme val="major"/>
    </font>
    <font>
      <sz val="10"/>
      <color theme="0"/>
      <name val="Calibri"/>
      <family val="2"/>
      <scheme val="major"/>
    </font>
    <font>
      <sz val="12"/>
      <color theme="1" tint="0.24994659260841701"/>
      <name val="Calibri"/>
      <family val="2"/>
      <scheme val="major"/>
    </font>
    <font>
      <sz val="12"/>
      <color rgb="FFFF0000"/>
      <name val="Calibri"/>
      <family val="2"/>
      <scheme val="minor"/>
    </font>
    <font>
      <sz val="10"/>
      <color theme="5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FFC000"/>
      <name val="Calibri"/>
      <family val="2"/>
      <scheme val="minor"/>
    </font>
    <font>
      <sz val="12"/>
      <color theme="7" tint="0.39997558519241921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2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8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 style="thin">
        <color theme="0" tint="-0.499984740745262"/>
      </left>
      <right/>
      <top/>
      <bottom style="thin">
        <color theme="8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37437055574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3743705557422"/>
      </top>
      <bottom style="thin">
        <color theme="0" tint="-0.14990691854609822"/>
      </bottom>
      <diagonal/>
    </border>
    <border>
      <left style="thin">
        <color theme="0" tint="-0.14990691854609822"/>
      </left>
      <right/>
      <top style="thin">
        <color theme="0" tint="-0.14993743705557422"/>
      </top>
      <bottom style="thin">
        <color theme="0" tint="-0.149906918546098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0" tint="-0.14987640003662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6795556505021"/>
      </top>
      <bottom style="thin">
        <color theme="0" tint="-0.14987640003662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</borders>
  <cellStyleXfs count="6">
    <xf numFmtId="0" fontId="0" fillId="0" borderId="0"/>
    <xf numFmtId="0" fontId="5" fillId="0" borderId="1" applyNumberFormat="0" applyFill="0" applyAlignment="0" applyProtection="0"/>
    <xf numFmtId="0" fontId="3" fillId="0" borderId="2" applyNumberFormat="0" applyFill="0" applyBorder="0" applyAlignment="0" applyProtection="0"/>
    <xf numFmtId="0" fontId="4" fillId="0" borderId="3" applyNumberFormat="0" applyFill="0" applyBorder="0" applyAlignment="0" applyProtection="0"/>
    <xf numFmtId="165" fontId="8" fillId="0" borderId="0" applyFont="0" applyFill="0" applyBorder="0" applyAlignment="0" applyProtection="0"/>
    <xf numFmtId="14" fontId="8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164" fontId="9" fillId="0" borderId="0" xfId="0" applyNumberFormat="1" applyFont="1" applyAlignment="1">
      <alignment vertical="center"/>
    </xf>
    <xf numFmtId="0" fontId="9" fillId="0" borderId="0" xfId="0" applyFont="1"/>
    <xf numFmtId="0" fontId="6" fillId="0" borderId="0" xfId="0" applyFont="1" applyAlignment="1">
      <alignment wrapText="1"/>
    </xf>
    <xf numFmtId="0" fontId="9" fillId="0" borderId="0" xfId="0" applyFont="1" applyBorder="1"/>
    <xf numFmtId="164" fontId="9" fillId="2" borderId="0" xfId="0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left" vertical="center" indent="1"/>
    </xf>
    <xf numFmtId="164" fontId="9" fillId="2" borderId="0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 indent="1"/>
    </xf>
    <xf numFmtId="164" fontId="12" fillId="2" borderId="7" xfId="0" applyNumberFormat="1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left" vertical="center" inden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 indent="1"/>
    </xf>
    <xf numFmtId="0" fontId="13" fillId="2" borderId="0" xfId="0" applyFont="1" applyFill="1" applyBorder="1" applyAlignment="1">
      <alignment horizontal="left" vertical="center" indent="1"/>
    </xf>
    <xf numFmtId="164" fontId="12" fillId="2" borderId="0" xfId="0" applyNumberFormat="1" applyFont="1" applyFill="1" applyBorder="1" applyAlignment="1">
      <alignment horizontal="left" vertical="center"/>
    </xf>
    <xf numFmtId="164" fontId="12" fillId="2" borderId="0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left" vertical="center" indent="1"/>
    </xf>
    <xf numFmtId="0" fontId="15" fillId="2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vertical="center"/>
    </xf>
    <xf numFmtId="164" fontId="17" fillId="2" borderId="0" xfId="0" applyNumberFormat="1" applyFont="1" applyFill="1" applyBorder="1" applyAlignment="1">
      <alignment vertical="center"/>
    </xf>
    <xf numFmtId="0" fontId="11" fillId="2" borderId="18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left" vertical="center" indent="1"/>
    </xf>
    <xf numFmtId="0" fontId="7" fillId="0" borderId="0" xfId="0" applyFont="1" applyBorder="1"/>
    <xf numFmtId="164" fontId="12" fillId="2" borderId="15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left" vertical="center" indent="1"/>
    </xf>
    <xf numFmtId="164" fontId="12" fillId="2" borderId="16" xfId="0" applyNumberFormat="1" applyFont="1" applyFill="1" applyBorder="1" applyAlignment="1">
      <alignment horizontal="center" vertical="center"/>
    </xf>
    <xf numFmtId="164" fontId="12" fillId="2" borderId="6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left" vertical="center" indent="1"/>
    </xf>
    <xf numFmtId="0" fontId="12" fillId="2" borderId="11" xfId="0" applyFont="1" applyFill="1" applyBorder="1" applyAlignment="1">
      <alignment horizontal="left" vertical="center" indent="1"/>
    </xf>
    <xf numFmtId="0" fontId="9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164" fontId="9" fillId="3" borderId="27" xfId="0" applyNumberFormat="1" applyFont="1" applyFill="1" applyBorder="1" applyAlignment="1">
      <alignment horizontal="center" vertical="center"/>
    </xf>
    <xf numFmtId="164" fontId="9" fillId="3" borderId="26" xfId="0" applyNumberFormat="1" applyFont="1" applyFill="1" applyBorder="1" applyAlignment="1">
      <alignment horizontal="center" vertical="center"/>
    </xf>
    <xf numFmtId="164" fontId="12" fillId="3" borderId="24" xfId="0" applyNumberFormat="1" applyFont="1" applyFill="1" applyBorder="1" applyAlignment="1">
      <alignment horizontal="center" vertical="center"/>
    </xf>
    <xf numFmtId="164" fontId="12" fillId="3" borderId="28" xfId="0" applyNumberFormat="1" applyFont="1" applyFill="1" applyBorder="1" applyAlignment="1">
      <alignment horizontal="center" vertical="center"/>
    </xf>
    <xf numFmtId="164" fontId="10" fillId="3" borderId="24" xfId="0" applyNumberFormat="1" applyFont="1" applyFill="1" applyBorder="1" applyAlignment="1">
      <alignment horizontal="center" vertical="center"/>
    </xf>
    <xf numFmtId="164" fontId="12" fillId="3" borderId="27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0" fillId="3" borderId="29" xfId="0" applyFont="1" applyFill="1" applyBorder="1" applyAlignment="1">
      <alignment horizontal="left" vertical="center" indent="1"/>
    </xf>
    <xf numFmtId="164" fontId="13" fillId="3" borderId="30" xfId="0" applyNumberFormat="1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left" vertical="center" indent="1"/>
    </xf>
    <xf numFmtId="164" fontId="10" fillId="3" borderId="25" xfId="0" applyNumberFormat="1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left" vertical="center" indent="1"/>
    </xf>
    <xf numFmtId="164" fontId="13" fillId="3" borderId="32" xfId="0" applyNumberFormat="1" applyFont="1" applyFill="1" applyBorder="1" applyAlignment="1">
      <alignment horizontal="center" vertical="center"/>
    </xf>
    <xf numFmtId="164" fontId="13" fillId="3" borderId="25" xfId="0" applyNumberFormat="1" applyFont="1" applyFill="1" applyBorder="1" applyAlignment="1">
      <alignment horizontal="center" vertical="center"/>
    </xf>
    <xf numFmtId="164" fontId="13" fillId="3" borderId="34" xfId="0" applyNumberFormat="1" applyFont="1" applyFill="1" applyBorder="1" applyAlignment="1">
      <alignment horizontal="center" vertical="center"/>
    </xf>
    <xf numFmtId="164" fontId="9" fillId="3" borderId="36" xfId="0" applyNumberFormat="1" applyFont="1" applyFill="1" applyBorder="1" applyAlignment="1">
      <alignment horizontal="center" vertical="center"/>
    </xf>
    <xf numFmtId="164" fontId="13" fillId="3" borderId="35" xfId="0" applyNumberFormat="1" applyFont="1" applyFill="1" applyBorder="1" applyAlignment="1">
      <alignment horizontal="center" vertical="center"/>
    </xf>
    <xf numFmtId="0" fontId="20" fillId="2" borderId="0" xfId="2" applyFont="1" applyFill="1" applyBorder="1" applyAlignment="1">
      <alignment horizontal="left" vertical="center" indent="1"/>
    </xf>
    <xf numFmtId="0" fontId="20" fillId="0" borderId="0" xfId="0" applyFont="1" applyBorder="1" applyAlignment="1">
      <alignment horizontal="left" vertical="center" indent="1"/>
    </xf>
    <xf numFmtId="0" fontId="21" fillId="0" borderId="0" xfId="0" applyFont="1" applyBorder="1" applyAlignment="1">
      <alignment horizontal="left" vertical="center" indent="1"/>
    </xf>
    <xf numFmtId="0" fontId="3" fillId="0" borderId="0" xfId="0" applyFont="1" applyBorder="1"/>
    <xf numFmtId="0" fontId="14" fillId="2" borderId="4" xfId="0" applyFont="1" applyFill="1" applyBorder="1" applyAlignment="1">
      <alignment horizontal="left" vertical="center" indent="1"/>
    </xf>
    <xf numFmtId="164" fontId="12" fillId="2" borderId="9" xfId="0" applyNumberFormat="1" applyFont="1" applyFill="1" applyBorder="1" applyAlignment="1">
      <alignment horizontal="center" vertical="center"/>
    </xf>
    <xf numFmtId="164" fontId="12" fillId="2" borderId="10" xfId="0" applyNumberFormat="1" applyFont="1" applyFill="1" applyBorder="1" applyAlignment="1">
      <alignment horizontal="center" vertical="center"/>
    </xf>
    <xf numFmtId="164" fontId="12" fillId="2" borderId="12" xfId="0" applyNumberFormat="1" applyFont="1" applyFill="1" applyBorder="1" applyAlignment="1">
      <alignment horizontal="center" vertical="center"/>
    </xf>
    <xf numFmtId="164" fontId="12" fillId="2" borderId="13" xfId="0" applyNumberFormat="1" applyFont="1" applyFill="1" applyBorder="1" applyAlignment="1">
      <alignment horizontal="center" vertical="center"/>
    </xf>
    <xf numFmtId="164" fontId="22" fillId="3" borderId="24" xfId="0" applyNumberFormat="1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left" vertical="center" indent="1"/>
    </xf>
    <xf numFmtId="164" fontId="9" fillId="3" borderId="38" xfId="0" applyNumberFormat="1" applyFont="1" applyFill="1" applyBorder="1" applyAlignment="1">
      <alignment horizontal="center" vertical="center"/>
    </xf>
    <xf numFmtId="164" fontId="12" fillId="3" borderId="39" xfId="0" applyNumberFormat="1" applyFont="1" applyFill="1" applyBorder="1" applyAlignment="1">
      <alignment horizontal="center" vertical="center"/>
    </xf>
    <xf numFmtId="0" fontId="23" fillId="2" borderId="0" xfId="1" applyFont="1" applyFill="1" applyBorder="1"/>
    <xf numFmtId="0" fontId="0" fillId="0" borderId="0" xfId="0" applyFont="1"/>
    <xf numFmtId="0" fontId="0" fillId="0" borderId="0" xfId="2" applyFont="1" applyBorder="1" applyAlignment="1">
      <alignment vertical="center" wrapText="1"/>
    </xf>
    <xf numFmtId="0" fontId="12" fillId="2" borderId="19" xfId="2" applyFont="1" applyFill="1" applyBorder="1" applyAlignment="1">
      <alignment horizontal="left" vertical="center" indent="1"/>
    </xf>
    <xf numFmtId="8" fontId="12" fillId="2" borderId="20" xfId="0" applyNumberFormat="1" applyFont="1" applyFill="1" applyBorder="1" applyAlignment="1">
      <alignment horizontal="center" vertical="center"/>
    </xf>
    <xf numFmtId="0" fontId="0" fillId="0" borderId="0" xfId="2" applyFont="1" applyBorder="1" applyAlignment="1">
      <alignment vertical="center"/>
    </xf>
    <xf numFmtId="0" fontId="12" fillId="2" borderId="14" xfId="2" applyFont="1" applyFill="1" applyBorder="1" applyAlignment="1">
      <alignment horizontal="left" vertical="center" indent="1"/>
    </xf>
    <xf numFmtId="8" fontId="12" fillId="2" borderId="15" xfId="0" applyNumberFormat="1" applyFont="1" applyFill="1" applyBorder="1" applyAlignment="1">
      <alignment horizontal="center" vertical="center"/>
    </xf>
    <xf numFmtId="0" fontId="10" fillId="3" borderId="29" xfId="2" applyFont="1" applyFill="1" applyBorder="1" applyAlignment="1">
      <alignment horizontal="left" vertical="center" indent="1"/>
    </xf>
    <xf numFmtId="8" fontId="13" fillId="3" borderId="30" xfId="0" applyNumberFormat="1" applyFont="1" applyFill="1" applyBorder="1" applyAlignment="1">
      <alignment horizontal="center" vertical="center"/>
    </xf>
    <xf numFmtId="0" fontId="0" fillId="0" borderId="0" xfId="2" applyFont="1" applyBorder="1" applyAlignment="1">
      <alignment horizontal="left" vertical="center"/>
    </xf>
    <xf numFmtId="0" fontId="12" fillId="2" borderId="5" xfId="2" applyFont="1" applyFill="1" applyBorder="1" applyAlignment="1">
      <alignment horizontal="left" vertical="center" indent="1"/>
    </xf>
    <xf numFmtId="8" fontId="12" fillId="2" borderId="7" xfId="0" applyNumberFormat="1" applyFont="1" applyFill="1" applyBorder="1" applyAlignment="1">
      <alignment horizontal="center" vertical="center"/>
    </xf>
    <xf numFmtId="8" fontId="25" fillId="0" borderId="0" xfId="0" applyNumberFormat="1" applyFont="1" applyAlignment="1">
      <alignment vertical="center"/>
    </xf>
    <xf numFmtId="0" fontId="19" fillId="2" borderId="0" xfId="2" applyFont="1" applyFill="1" applyBorder="1" applyAlignment="1">
      <alignment vertical="center"/>
    </xf>
    <xf numFmtId="8" fontId="26" fillId="2" borderId="0" xfId="0" applyNumberFormat="1" applyFont="1" applyFill="1" applyBorder="1" applyAlignment="1">
      <alignment vertical="center"/>
    </xf>
    <xf numFmtId="0" fontId="0" fillId="0" borderId="0" xfId="0" applyFont="1" applyBorder="1"/>
    <xf numFmtId="0" fontId="10" fillId="3" borderId="33" xfId="0" applyFont="1" applyFill="1" applyBorder="1" applyAlignment="1">
      <alignment horizontal="left" vertical="center" indent="1"/>
    </xf>
    <xf numFmtId="0" fontId="15" fillId="2" borderId="0" xfId="0" applyFont="1" applyFill="1" applyBorder="1" applyAlignment="1">
      <alignment horizontal="left" vertical="center" indent="1"/>
    </xf>
    <xf numFmtId="0" fontId="15" fillId="0" borderId="0" xfId="0" applyFont="1" applyAlignment="1">
      <alignment vertical="center"/>
    </xf>
    <xf numFmtId="0" fontId="9" fillId="2" borderId="4" xfId="0" applyFont="1" applyFill="1" applyBorder="1" applyAlignment="1">
      <alignment horizontal="left" vertical="center" indent="1"/>
    </xf>
    <xf numFmtId="0" fontId="29" fillId="0" borderId="0" xfId="0" applyFont="1"/>
    <xf numFmtId="0" fontId="30" fillId="0" borderId="0" xfId="0" applyFont="1"/>
    <xf numFmtId="0" fontId="31" fillId="0" borderId="0" xfId="0" applyFont="1" applyBorder="1"/>
    <xf numFmtId="0" fontId="31" fillId="0" borderId="0" xfId="0" applyFont="1"/>
    <xf numFmtId="0" fontId="0" fillId="0" borderId="0" xfId="0" applyFont="1" applyAlignment="1">
      <alignment vertical="center"/>
    </xf>
    <xf numFmtId="0" fontId="27" fillId="0" borderId="0" xfId="2" applyFont="1" applyFill="1" applyBorder="1" applyAlignment="1">
      <alignment horizontal="left" vertical="center" indent="11"/>
    </xf>
    <xf numFmtId="0" fontId="7" fillId="0" borderId="0" xfId="0" applyFont="1" applyFill="1"/>
    <xf numFmtId="0" fontId="12" fillId="0" borderId="8" xfId="0" applyFont="1" applyFill="1" applyBorder="1" applyAlignment="1">
      <alignment horizontal="left" vertical="center" indent="1"/>
    </xf>
    <xf numFmtId="164" fontId="12" fillId="0" borderId="9" xfId="0" applyNumberFormat="1" applyFont="1" applyFill="1" applyBorder="1" applyAlignment="1">
      <alignment horizontal="center" vertical="center"/>
    </xf>
    <xf numFmtId="164" fontId="12" fillId="0" borderId="10" xfId="0" applyNumberFormat="1" applyFont="1" applyFill="1" applyBorder="1" applyAlignment="1">
      <alignment horizontal="center" vertical="center"/>
    </xf>
    <xf numFmtId="0" fontId="9" fillId="0" borderId="0" xfId="0" applyFont="1" applyFill="1" applyBorder="1"/>
    <xf numFmtId="0" fontId="12" fillId="0" borderId="5" xfId="0" applyFont="1" applyFill="1" applyBorder="1" applyAlignment="1">
      <alignment horizontal="left" vertical="center" indent="1"/>
    </xf>
    <xf numFmtId="164" fontId="12" fillId="0" borderId="6" xfId="0" applyNumberFormat="1" applyFont="1" applyFill="1" applyBorder="1" applyAlignment="1">
      <alignment horizontal="center" vertical="center"/>
    </xf>
    <xf numFmtId="164" fontId="12" fillId="0" borderId="7" xfId="0" applyNumberFormat="1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Fill="1"/>
    <xf numFmtId="0" fontId="32" fillId="0" borderId="8" xfId="0" applyFont="1" applyFill="1" applyBorder="1" applyAlignment="1">
      <alignment horizontal="left" vertical="center" indent="1"/>
    </xf>
    <xf numFmtId="164" fontId="32" fillId="0" borderId="9" xfId="0" applyNumberFormat="1" applyFont="1" applyFill="1" applyBorder="1" applyAlignment="1">
      <alignment horizontal="center" vertical="center"/>
    </xf>
    <xf numFmtId="164" fontId="32" fillId="0" borderId="10" xfId="0" applyNumberFormat="1" applyFont="1" applyFill="1" applyBorder="1" applyAlignment="1">
      <alignment horizontal="center" vertical="center"/>
    </xf>
    <xf numFmtId="0" fontId="33" fillId="0" borderId="0" xfId="0" applyFont="1" applyFill="1"/>
    <xf numFmtId="0" fontId="34" fillId="0" borderId="0" xfId="0" applyFont="1" applyFill="1" applyBorder="1"/>
    <xf numFmtId="0" fontId="34" fillId="0" borderId="5" xfId="0" applyFont="1" applyFill="1" applyBorder="1" applyAlignment="1">
      <alignment horizontal="left" vertical="center" indent="1"/>
    </xf>
    <xf numFmtId="164" fontId="34" fillId="0" borderId="6" xfId="0" applyNumberFormat="1" applyFont="1" applyFill="1" applyBorder="1" applyAlignment="1">
      <alignment horizontal="center" vertical="center"/>
    </xf>
    <xf numFmtId="164" fontId="34" fillId="0" borderId="7" xfId="0" applyNumberFormat="1" applyFont="1" applyFill="1" applyBorder="1" applyAlignment="1">
      <alignment horizontal="center" vertical="center"/>
    </xf>
    <xf numFmtId="0" fontId="33" fillId="0" borderId="0" xfId="0" applyFont="1" applyFill="1" applyBorder="1"/>
    <xf numFmtId="0" fontId="32" fillId="0" borderId="5" xfId="0" applyFont="1" applyFill="1" applyBorder="1" applyAlignment="1">
      <alignment horizontal="left" vertical="center" indent="1"/>
    </xf>
    <xf numFmtId="164" fontId="32" fillId="0" borderId="6" xfId="0" applyNumberFormat="1" applyFont="1" applyFill="1" applyBorder="1" applyAlignment="1">
      <alignment horizontal="center" vertical="center"/>
    </xf>
    <xf numFmtId="164" fontId="32" fillId="0" borderId="7" xfId="0" applyNumberFormat="1" applyFont="1" applyFill="1" applyBorder="1" applyAlignment="1">
      <alignment horizontal="center" vertical="center"/>
    </xf>
    <xf numFmtId="0" fontId="35" fillId="0" borderId="5" xfId="0" applyFont="1" applyFill="1" applyBorder="1" applyAlignment="1">
      <alignment horizontal="left" vertical="center" indent="1"/>
    </xf>
    <xf numFmtId="164" fontId="35" fillId="0" borderId="6" xfId="0" applyNumberFormat="1" applyFont="1" applyFill="1" applyBorder="1" applyAlignment="1">
      <alignment horizontal="center" vertical="center"/>
    </xf>
    <xf numFmtId="164" fontId="35" fillId="0" borderId="7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indent="1"/>
    </xf>
    <xf numFmtId="164" fontId="1" fillId="0" borderId="6" xfId="0" applyNumberFormat="1" applyFont="1" applyFill="1" applyBorder="1" applyAlignment="1">
      <alignment horizontal="center" vertical="center"/>
    </xf>
    <xf numFmtId="164" fontId="1" fillId="0" borderId="7" xfId="0" applyNumberFormat="1" applyFont="1" applyFill="1" applyBorder="1" applyAlignment="1">
      <alignment horizontal="center" vertical="center"/>
    </xf>
    <xf numFmtId="0" fontId="36" fillId="2" borderId="23" xfId="0" applyFont="1" applyFill="1" applyBorder="1" applyAlignment="1">
      <alignment horizontal="left" vertical="center" indent="1"/>
    </xf>
    <xf numFmtId="164" fontId="36" fillId="2" borderId="24" xfId="0" applyNumberFormat="1" applyFont="1" applyFill="1" applyBorder="1" applyAlignment="1">
      <alignment horizontal="center" vertical="center"/>
    </xf>
    <xf numFmtId="164" fontId="36" fillId="2" borderId="25" xfId="0" applyNumberFormat="1" applyFont="1" applyFill="1" applyBorder="1" applyAlignment="1">
      <alignment horizontal="center" vertical="center"/>
    </xf>
    <xf numFmtId="0" fontId="36" fillId="2" borderId="14" xfId="0" applyFont="1" applyFill="1" applyBorder="1" applyAlignment="1">
      <alignment horizontal="left" vertical="center" indent="1"/>
    </xf>
    <xf numFmtId="164" fontId="36" fillId="2" borderId="16" xfId="0" applyNumberFormat="1" applyFont="1" applyFill="1" applyBorder="1" applyAlignment="1">
      <alignment horizontal="center" vertical="center"/>
    </xf>
    <xf numFmtId="164" fontId="36" fillId="2" borderId="15" xfId="0" applyNumberFormat="1" applyFont="1" applyFill="1" applyBorder="1" applyAlignment="1">
      <alignment horizontal="center" vertical="center"/>
    </xf>
    <xf numFmtId="0" fontId="37" fillId="0" borderId="5" xfId="0" applyFont="1" applyFill="1" applyBorder="1" applyAlignment="1">
      <alignment horizontal="left" vertical="center" indent="1"/>
    </xf>
    <xf numFmtId="164" fontId="37" fillId="0" borderId="6" xfId="0" applyNumberFormat="1" applyFont="1" applyFill="1" applyBorder="1" applyAlignment="1">
      <alignment horizontal="center" vertical="center"/>
    </xf>
    <xf numFmtId="164" fontId="37" fillId="0" borderId="7" xfId="0" applyNumberFormat="1" applyFont="1" applyFill="1" applyBorder="1" applyAlignment="1">
      <alignment horizontal="center" vertical="center"/>
    </xf>
    <xf numFmtId="0" fontId="37" fillId="2" borderId="5" xfId="0" applyFont="1" applyFill="1" applyBorder="1" applyAlignment="1">
      <alignment horizontal="left" vertical="center" indent="1"/>
    </xf>
    <xf numFmtId="164" fontId="37" fillId="2" borderId="6" xfId="0" applyNumberFormat="1" applyFont="1" applyFill="1" applyBorder="1" applyAlignment="1">
      <alignment horizontal="center" vertical="center"/>
    </xf>
    <xf numFmtId="164" fontId="37" fillId="2" borderId="7" xfId="0" applyNumberFormat="1" applyFont="1" applyFill="1" applyBorder="1" applyAlignment="1">
      <alignment horizontal="center" vertical="center"/>
    </xf>
    <xf numFmtId="0" fontId="37" fillId="0" borderId="8" xfId="0" applyFont="1" applyFill="1" applyBorder="1" applyAlignment="1">
      <alignment horizontal="left" vertical="center" indent="1"/>
    </xf>
    <xf numFmtId="164" fontId="37" fillId="0" borderId="9" xfId="0" applyNumberFormat="1" applyFont="1" applyFill="1" applyBorder="1" applyAlignment="1">
      <alignment horizontal="center" vertical="center"/>
    </xf>
    <xf numFmtId="164" fontId="37" fillId="0" borderId="10" xfId="0" applyNumberFormat="1" applyFont="1" applyFill="1" applyBorder="1" applyAlignment="1">
      <alignment horizontal="center" vertical="center"/>
    </xf>
    <xf numFmtId="164" fontId="1" fillId="3" borderId="24" xfId="0" applyNumberFormat="1" applyFont="1" applyFill="1" applyBorder="1" applyAlignment="1">
      <alignment horizontal="center" vertical="center"/>
    </xf>
    <xf numFmtId="0" fontId="37" fillId="2" borderId="33" xfId="0" applyFont="1" applyFill="1" applyBorder="1" applyAlignment="1">
      <alignment horizontal="left" vertical="center" indent="1"/>
    </xf>
    <xf numFmtId="164" fontId="37" fillId="2" borderId="26" xfId="0" applyNumberFormat="1" applyFont="1" applyFill="1" applyBorder="1" applyAlignment="1">
      <alignment horizontal="center" vertical="center"/>
    </xf>
    <xf numFmtId="164" fontId="37" fillId="2" borderId="34" xfId="0" applyNumberFormat="1" applyFont="1" applyFill="1" applyBorder="1" applyAlignment="1">
      <alignment horizontal="center" vertical="center"/>
    </xf>
    <xf numFmtId="164" fontId="32" fillId="2" borderId="0" xfId="0" applyNumberFormat="1" applyFont="1" applyFill="1" applyBorder="1" applyAlignment="1">
      <alignment horizontal="center" vertical="center"/>
    </xf>
    <xf numFmtId="164" fontId="32" fillId="2" borderId="0" xfId="0" applyNumberFormat="1" applyFont="1" applyFill="1" applyBorder="1" applyAlignment="1">
      <alignment horizontal="left" vertical="center" indent="1"/>
    </xf>
    <xf numFmtId="0" fontId="38" fillId="2" borderId="5" xfId="0" applyFont="1" applyFill="1" applyBorder="1" applyAlignment="1">
      <alignment horizontal="left" vertical="center" indent="1"/>
    </xf>
    <xf numFmtId="164" fontId="38" fillId="2" borderId="6" xfId="0" applyNumberFormat="1" applyFont="1" applyFill="1" applyBorder="1" applyAlignment="1">
      <alignment horizontal="center" vertical="center"/>
    </xf>
    <xf numFmtId="164" fontId="38" fillId="2" borderId="7" xfId="0" applyNumberFormat="1" applyFont="1" applyFill="1" applyBorder="1" applyAlignment="1">
      <alignment horizontal="center" vertical="center"/>
    </xf>
    <xf numFmtId="164" fontId="39" fillId="0" borderId="0" xfId="0" applyNumberFormat="1" applyFont="1"/>
    <xf numFmtId="0" fontId="40" fillId="0" borderId="0" xfId="0" applyFont="1" applyAlignment="1">
      <alignment wrapText="1"/>
    </xf>
    <xf numFmtId="0" fontId="27" fillId="0" borderId="0" xfId="0" applyFont="1" applyAlignment="1">
      <alignment horizontal="left" vertical="center" indent="11"/>
    </xf>
    <xf numFmtId="0" fontId="9" fillId="0" borderId="0" xfId="0" applyFont="1" applyAlignment="1">
      <alignment horizontal="center"/>
    </xf>
    <xf numFmtId="0" fontId="24" fillId="6" borderId="0" xfId="2" applyFont="1" applyFill="1" applyBorder="1" applyAlignment="1">
      <alignment horizontal="left" vertical="center" wrapText="1" indent="1"/>
    </xf>
    <xf numFmtId="0" fontId="24" fillId="5" borderId="0" xfId="2" applyFont="1" applyFill="1" applyBorder="1" applyAlignment="1">
      <alignment horizontal="left" vertical="center" wrapText="1" indent="1"/>
    </xf>
    <xf numFmtId="0" fontId="24" fillId="4" borderId="0" xfId="2" applyFont="1" applyFill="1" applyBorder="1" applyAlignment="1">
      <alignment horizontal="left" vertical="center" wrapText="1" indent="1"/>
    </xf>
    <xf numFmtId="0" fontId="20" fillId="2" borderId="21" xfId="3" applyFont="1" applyFill="1" applyBorder="1" applyAlignment="1">
      <alignment horizontal="left" vertical="center" indent="1"/>
    </xf>
    <xf numFmtId="0" fontId="28" fillId="2" borderId="22" xfId="3" applyFont="1" applyFill="1" applyBorder="1" applyAlignment="1">
      <alignment horizontal="left" vertical="center" indent="1"/>
    </xf>
    <xf numFmtId="0" fontId="20" fillId="2" borderId="22" xfId="3" applyFont="1" applyFill="1" applyBorder="1" applyAlignment="1">
      <alignment horizontal="left" vertical="center" indent="1"/>
    </xf>
    <xf numFmtId="8" fontId="18" fillId="6" borderId="0" xfId="0" applyNumberFormat="1" applyFont="1" applyFill="1" applyBorder="1" applyAlignment="1">
      <alignment horizontal="center" vertical="center"/>
    </xf>
    <xf numFmtId="8" fontId="18" fillId="5" borderId="0" xfId="0" applyNumberFormat="1" applyFont="1" applyFill="1" applyBorder="1" applyAlignment="1">
      <alignment horizontal="center" vertical="center"/>
    </xf>
    <xf numFmtId="8" fontId="10" fillId="4" borderId="0" xfId="0" applyNumberFormat="1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left" vertical="center" indent="1"/>
    </xf>
    <xf numFmtId="0" fontId="20" fillId="0" borderId="17" xfId="0" applyFont="1" applyBorder="1" applyAlignment="1">
      <alignment horizontal="left" vertical="center" indent="1"/>
    </xf>
    <xf numFmtId="0" fontId="0" fillId="0" borderId="0" xfId="0" applyFont="1" applyAlignment="1">
      <alignment horizontal="center"/>
    </xf>
    <xf numFmtId="0" fontId="20" fillId="2" borderId="17" xfId="0" applyFont="1" applyFill="1" applyBorder="1" applyAlignment="1">
      <alignment vertical="center"/>
    </xf>
    <xf numFmtId="0" fontId="41" fillId="0" borderId="5" xfId="0" applyFont="1" applyFill="1" applyBorder="1" applyAlignment="1">
      <alignment horizontal="left" vertical="center" indent="1"/>
    </xf>
    <xf numFmtId="164" fontId="41" fillId="0" borderId="6" xfId="0" applyNumberFormat="1" applyFont="1" applyFill="1" applyBorder="1" applyAlignment="1">
      <alignment horizontal="center" vertical="center"/>
    </xf>
    <xf numFmtId="164" fontId="41" fillId="0" borderId="7" xfId="0" applyNumberFormat="1" applyFont="1" applyFill="1" applyBorder="1" applyAlignment="1">
      <alignment horizontal="center" vertical="center"/>
    </xf>
  </cellXfs>
  <cellStyles count="6">
    <cellStyle name="Date" xfId="5" xr:uid="{FE33F3B2-B201-45AD-A81E-81BCB12ED9D2}"/>
    <cellStyle name="Heading 1" xfId="1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Phone" xfId="4" xr:uid="{70E46558-98AC-446F-861A-54F270CBD905}"/>
  </cellStyles>
  <dxfs count="17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06918546098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6795556505021"/>
        </top>
        <bottom style="thin">
          <color theme="0" tint="-0.14987640003662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 style="thin">
          <color theme="0" tint="-0.14996795556505021"/>
        </top>
        <bottom style="thin">
          <color theme="0" tint="-0.14987640003662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 style="thin">
          <color theme="0" tint="-0.14996795556505021"/>
        </top>
        <bottom style="thin">
          <color theme="0" tint="-0.14987640003662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06918546098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3743705557422"/>
        </top>
        <bottom style="thin">
          <color theme="0" tint="-0.149906918546098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 style="thin">
          <color theme="0" tint="-0.14993743705557422"/>
        </top>
        <bottom style="thin">
          <color theme="0" tint="-0.149906918546098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 style="thin">
          <color theme="0" tint="-0.14993743705557422"/>
        </top>
        <bottom style="thin">
          <color theme="0" tint="-0.149906918546098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0691854609822"/>
        </right>
        <top style="thin">
          <color theme="0" tint="-0.14993743705557422"/>
        </top>
        <bottom style="thin">
          <color theme="0" tint="-0.149906918546098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theme="0" tint="-0.14993743705557422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theme="0" tint="-0.14996795556505021"/>
        </top>
      </border>
    </dxf>
    <dxf>
      <font>
        <b/>
        <i val="0"/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3743705557422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37437055574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06918546098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06918546098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indent="1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3743705557422"/>
        </left>
        <right/>
        <top style="thin">
          <color theme="0" tint="-0.14996795556505021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border diagonalUp="0" diagonalDown="0" outline="0">
        <left style="thin">
          <color theme="0" tint="-0.14993743705557422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6795556505021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border diagonalUp="0" diagonalDown="0" outline="0">
        <left style="thin">
          <color theme="0" tint="-0.14993743705557422"/>
        </left>
        <right style="thin">
          <color theme="0" tint="-0.149937437055574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6795556505021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border diagonalUp="0" diagonalDown="0" outline="0">
        <left style="thin">
          <color theme="0" tint="-0.14993743705557422"/>
        </left>
        <right style="thin">
          <color theme="0" tint="-0.14993743705557422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3743705557422"/>
        </right>
        <top style="thin">
          <color theme="0" tint="-0.14996795556505021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border diagonalUp="0" diagonalDown="0" outline="0">
        <left/>
        <right style="thin">
          <color theme="0" tint="-0.14993743705557422"/>
        </right>
      </border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border diagonalUp="0" diagonalDown="0">
        <left/>
        <right/>
        <top style="thin">
          <color theme="8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ill>
        <patternFill patternType="solid">
          <fgColor theme="2" tint="0.59996337778862885"/>
          <bgColor theme="0" tint="-4.9989318521683403E-2"/>
        </patternFill>
      </fill>
    </dxf>
    <dxf>
      <fill>
        <patternFill patternType="solid">
          <fgColor theme="2" tint="0.79995117038483843"/>
          <bgColor theme="2"/>
        </patternFill>
      </fill>
    </dxf>
    <dxf>
      <border>
        <top style="thin">
          <color theme="6" tint="-0.499984740745262"/>
        </top>
      </border>
    </dxf>
    <dxf>
      <font>
        <color theme="2" tint="0.79995117038483843"/>
      </font>
      <fill>
        <patternFill>
          <bgColor theme="6" tint="-0.499984740745262"/>
        </patternFill>
      </fill>
      <border>
        <top style="thick">
          <color theme="0"/>
        </top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6" tint="-0.499984740745262"/>
        </bottom>
        <vertical/>
        <horizontal/>
      </border>
    </dxf>
  </dxfs>
  <tableStyles count="2" defaultTableStyle="TableStyleMedium2" defaultPivotStyle="PivotStyleLight16">
    <tableStyle name="Address Book" pivot="0" count="5" xr9:uid="{00000000-0011-0000-FFFF-FFFF00000000}">
      <tableStyleElement type="wholeTable" dxfId="174"/>
      <tableStyleElement type="headerRow" dxfId="173"/>
      <tableStyleElement type="totalRow" dxfId="172"/>
      <tableStyleElement type="firstRowStripe" dxfId="171"/>
      <tableStyleElement type="secondRowStripe" dxfId="170"/>
    </tableStyle>
    <tableStyle name="Personal monthly budget" pivot="0" count="7" xr9:uid="{DF2684C2-C435-47FA-9646-E632C3AE8948}">
      <tableStyleElement type="wholeTable" dxfId="169"/>
      <tableStyleElement type="headerRow" dxfId="168"/>
      <tableStyleElement type="totalRow" dxfId="167"/>
      <tableStyleElement type="firstColumn" dxfId="166"/>
      <tableStyleElement type="lastColumn" dxfId="165"/>
      <tableStyleElement type="firstRowStripe" dxfId="164"/>
      <tableStyleElement type="firstColumnStripe" dxfId="16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254004</xdr:rowOff>
    </xdr:from>
    <xdr:to>
      <xdr:col>1</xdr:col>
      <xdr:colOff>685800</xdr:colOff>
      <xdr:row>1</xdr:row>
      <xdr:rowOff>939804</xdr:rowOff>
    </xdr:to>
    <xdr:pic>
      <xdr:nvPicPr>
        <xdr:cNvPr id="3" name="Graphic 2" descr="Money">
          <a:extLst>
            <a:ext uri="{FF2B5EF4-FFF2-40B4-BE49-F238E27FC236}">
              <a16:creationId xmlns:a16="http://schemas.microsoft.com/office/drawing/2014/main" id="{D4FC616A-5101-4F29-9ACA-5397EC757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3188" y="508004"/>
          <a:ext cx="685800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244940</xdr:rowOff>
    </xdr:from>
    <xdr:to>
      <xdr:col>1</xdr:col>
      <xdr:colOff>685800</xdr:colOff>
      <xdr:row>1</xdr:row>
      <xdr:rowOff>930740</xdr:rowOff>
    </xdr:to>
    <xdr:pic>
      <xdr:nvPicPr>
        <xdr:cNvPr id="4" name="Graphic 3" descr="Money">
          <a:extLst>
            <a:ext uri="{FF2B5EF4-FFF2-40B4-BE49-F238E27FC236}">
              <a16:creationId xmlns:a16="http://schemas.microsoft.com/office/drawing/2014/main" id="{132E34AD-9B34-4E07-A53A-B9135BAE2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4929" y="367404"/>
          <a:ext cx="685800" cy="685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using" displayName="Housing" ref="B15:E26" totalsRowCount="1" headerRowDxfId="162" dataDxfId="160" totalsRowDxfId="158" headerRowBorderDxfId="161" tableBorderDxfId="159" totalsRowBorderDxfId="157">
  <tableColumns count="4">
    <tableColumn id="1" xr3:uid="{00000000-0010-0000-0000-000001000000}" name="0" totalsRowLabel="Subtotal" dataDxfId="156" totalsRowDxfId="155"/>
    <tableColumn id="2" xr3:uid="{00000000-0010-0000-0000-000002000000}" name="Projected_x000a_Cost" dataDxfId="154" totalsRowDxfId="153"/>
    <tableColumn id="3" xr3:uid="{00000000-0010-0000-0000-000003000000}" name="Actual _x000a_Cost" totalsRowFunction="sum" dataDxfId="152" totalsRowDxfId="151"/>
    <tableColumn id="4" xr3:uid="{00000000-0010-0000-0000-000004000000}" name="Difference" totalsRowFunction="sum" dataDxfId="150" totalsRowDxfId="149">
      <calculatedColumnFormula>Housing[[#This Row],[Projected
Cost]]-Housing[[#This Row],[Actual 
Cost]]</calculatedColumnFormula>
    </tableColumn>
  </tableColumns>
  <tableStyleInfo name="TableStyleLight4" showFirstColumn="0" showLastColumn="0" showRowStripes="1" showColumnStripes="0"/>
  <extLst>
    <ext xmlns:x14="http://schemas.microsoft.com/office/spreadsheetml/2009/9/main" uri="{504A1905-F514-4f6f-8877-14C23A59335A}">
      <x14:table altTextSummary="Enter Projected and Actual Housing Costs in this table. Difference is auto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tertainment" displayName="Entertainment" ref="G15:J25" totalsRowCount="1" headerRowDxfId="148" dataDxfId="146" totalsRowDxfId="144" headerRowBorderDxfId="147" tableBorderDxfId="145" totalsRowBorderDxfId="143" headerRowCellStyle="Normal">
  <autoFilter ref="G15:J24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0" totalsRowLabel="Subtotal" dataDxfId="142" totalsRowDxfId="141"/>
    <tableColumn id="2" xr3:uid="{00000000-0010-0000-0100-000002000000}" name="Projected _x000a_Cost" dataDxfId="140" totalsRowDxfId="139"/>
    <tableColumn id="3" xr3:uid="{00000000-0010-0000-0100-000003000000}" name="Actual _x000a_Cost" totalsRowFunction="sum" dataDxfId="138" totalsRowDxfId="137"/>
    <tableColumn id="4" xr3:uid="{00000000-0010-0000-0100-000004000000}" name="Difference" totalsRowFunction="sum" dataDxfId="136" totalsRowDxfId="135">
      <calculatedColumnFormula>Entertainment[[#This Row],[Projected 
Cost]]-Entertainment[[#This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Entertainment Costs in this table. Difference is auto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ans" displayName="Loans" ref="G29:J36" totalsRowCount="1" headerRowDxfId="134" dataDxfId="132" totalsRowDxfId="130" headerRowBorderDxfId="133" tableBorderDxfId="131" totalsRowBorderDxfId="129">
  <autoFilter ref="G29:J3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0" totalsRowLabel="Subtotal" dataDxfId="128" totalsRowDxfId="3"/>
    <tableColumn id="2" xr3:uid="{00000000-0010-0000-0200-000002000000}" name="Projected _x000a_Cost" dataDxfId="127" totalsRowDxfId="2"/>
    <tableColumn id="3" xr3:uid="{00000000-0010-0000-0200-000003000000}" name="Minimum Possible" totalsRowFunction="sum" dataDxfId="126" totalsRowDxfId="1"/>
    <tableColumn id="4" xr3:uid="{00000000-0010-0000-0200-000004000000}" name="Difference" totalsRowFunction="sum" dataDxfId="125" totalsRowDxfId="0">
      <calculatedColumnFormula>Loans[[#This Row],[Projected 
Cost]]-Loans[[#This Row],[Minimum Possible]]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Loan Costs in this table. Difference is auto calcul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portation" displayName="Transportation" ref="B29:E37" totalsRowCount="1" headerRowDxfId="124" dataDxfId="122" totalsRowDxfId="120" headerRowBorderDxfId="123" tableBorderDxfId="121" totalsRowBorderDxfId="119">
  <autoFilter ref="B29:E36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300-000001000000}" name="0" totalsRowLabel="Subtotal" dataDxfId="118" totalsRowDxfId="7"/>
    <tableColumn id="2" xr3:uid="{00000000-0010-0000-0300-000002000000}" name="Projected _x000a_Cost" dataDxfId="117" totalsRowDxfId="6"/>
    <tableColumn id="3" xr3:uid="{00000000-0010-0000-0300-000003000000}" name="Minimum Possible" totalsRowFunction="sum" dataDxfId="116" totalsRowDxfId="5"/>
    <tableColumn id="4" xr3:uid="{00000000-0010-0000-0300-000004000000}" name="Difference" totalsRowFunction="sum" dataDxfId="115" totalsRowDxfId="4">
      <calculatedColumnFormula>Transportation[[#This Row],[Projected 
Cost]]-Transportation[[#This Row],[Minimum Possible]]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Transportation Costs in this table. Difference is auto calculate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surance" displayName="Insurance" ref="B40:E45" totalsRowCount="1" headerRowDxfId="114" dataDxfId="112" totalsRowDxfId="110" headerRowBorderDxfId="113" tableBorderDxfId="111" totalsRowBorderDxfId="109">
  <autoFilter ref="B40:E44" xr:uid="{00000000-0009-0000-0100-000005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400-000001000000}" name="0" totalsRowLabel="Subtotal" dataDxfId="108" totalsRowDxfId="107"/>
    <tableColumn id="2" xr3:uid="{00000000-0010-0000-0400-000002000000}" name="Projected _x000a_Cost" dataDxfId="106" totalsRowDxfId="105"/>
    <tableColumn id="3" xr3:uid="{00000000-0010-0000-0400-000003000000}" name="Actual _x000a_Cost" dataDxfId="104" totalsRowDxfId="103"/>
    <tableColumn id="4" xr3:uid="{00000000-0010-0000-0400-000004000000}" name="Difference" totalsRowFunction="sum" dataDxfId="102" totalsRowDxfId="101">
      <calculatedColumnFormula>Insurance[[#This Row],[Projected 
Cost]]-Insurance[[#This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Insurance Costs in this table. Difference is auto calculate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xes" displayName="Taxes" ref="G40:J45" totalsRowCount="1" headerRowDxfId="100" dataDxfId="98" totalsRowDxfId="96" headerRowBorderDxfId="99" tableBorderDxfId="97" totalsRowBorderDxfId="95">
  <autoFilter ref="G40:J44" xr:uid="{00000000-0009-0000-0100-000006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500-000001000000}" name="0" totalsRowLabel="Subtotal" dataDxfId="94" totalsRowDxfId="93"/>
    <tableColumn id="2" xr3:uid="{00000000-0010-0000-0500-000002000000}" name="Projected _x000a_Cost" dataDxfId="92" totalsRowDxfId="91"/>
    <tableColumn id="3" xr3:uid="{00000000-0010-0000-0500-000003000000}" name="Actual _x000a_Cost" dataDxfId="90" totalsRowDxfId="89"/>
    <tableColumn id="4" xr3:uid="{00000000-0010-0000-0500-000004000000}" name="Difference" totalsRowFunction="sum" dataDxfId="88" totalsRowDxfId="87">
      <calculatedColumnFormula>Taxes[[#This Row],[Projected 
Cost]]-Taxes[[#This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Taxes Costs in this table. Difference is auto calculate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avings" displayName="Savings" ref="G48:J52" totalsRowCount="1" headerRowDxfId="86" dataDxfId="84" totalsRowDxfId="83" headerRowBorderDxfId="85" totalsRowBorderDxfId="82">
  <autoFilter ref="G48:J51" xr:uid="{00000000-0009-0000-0100-000007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600-000001000000}" name="0" totalsRowLabel="Subtotal" dataDxfId="81" totalsRowDxfId="80"/>
    <tableColumn id="2" xr3:uid="{00000000-0010-0000-0600-000002000000}" name="Projected _x000a_Cost" dataDxfId="79" totalsRowDxfId="78"/>
    <tableColumn id="3" xr3:uid="{00000000-0010-0000-0600-000003000000}" name="Actual _x000a_Cost" dataDxfId="77" totalsRowDxfId="76"/>
    <tableColumn id="4" xr3:uid="{00000000-0010-0000-0600-000004000000}" name="Difference" totalsRowFunction="sum" dataDxfId="75" totalsRowDxfId="74">
      <calculatedColumnFormula>Savings[[#This Row],[Projected 
Cost]]-Savings[[#This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Costs for Savings or Investments in this table. Difference is auto calculate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od" displayName="Food" ref="B48:E52" totalsRowCount="1" headerRowDxfId="73" dataDxfId="71" totalsRowDxfId="69" headerRowBorderDxfId="72" tableBorderDxfId="70" totalsRowBorderDxfId="68">
  <autoFilter ref="B48:E51" xr:uid="{00000000-0009-0000-0100-000008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700-000001000000}" name="0" totalsRowLabel="Subtotal" dataDxfId="67" totalsRowDxfId="66"/>
    <tableColumn id="2" xr3:uid="{00000000-0010-0000-0700-000002000000}" name="Projected _x000a_Cost" dataDxfId="65" totalsRowDxfId="64"/>
    <tableColumn id="3" xr3:uid="{00000000-0010-0000-0700-000003000000}" name="Minimum Possible" totalsRowFunction="sum" dataDxfId="63" totalsRowDxfId="62"/>
    <tableColumn id="4" xr3:uid="{00000000-0010-0000-0700-000004000000}" name="Difference" totalsRowFunction="sum" dataDxfId="61" totalsRowDxfId="60">
      <calculatedColumnFormula>Food[[#This Row],[Projected 
Cost]]-Food[[#This Row],[Minimum Possible]]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Food Costs in this table. Difference is auto calculate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ifts" displayName="Gifts" ref="G55:J59" totalsRowCount="1" headerRowDxfId="59" dataDxfId="57" totalsRowDxfId="56" headerRowBorderDxfId="58" totalsRowBorderDxfId="55">
  <autoFilter ref="G55:J58" xr:uid="{00000000-0009-0000-0100-000009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800-000001000000}" name="0" totalsRowLabel="Subtotal" dataDxfId="54" totalsRowDxfId="53"/>
    <tableColumn id="2" xr3:uid="{00000000-0010-0000-0800-000002000000}" name="Projected _x000a_Cost" dataDxfId="52" totalsRowDxfId="51"/>
    <tableColumn id="3" xr3:uid="{00000000-0010-0000-0800-000003000000}" name="Actual _x000a_Cost" dataDxfId="50" totalsRowDxfId="49"/>
    <tableColumn id="4" xr3:uid="{00000000-0010-0000-0800-000004000000}" name="Difference" totalsRowFunction="sum" dataDxfId="48" totalsRowDxfId="47">
      <calculatedColumnFormula>Gifts[[#This Row],[Projected 
Cost]]-Gifts[[#This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Costs for Gifts and Donations in this table. Difference is auto calculated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ets" displayName="Pets" ref="B55:E61" totalsRowCount="1" headerRowDxfId="46" dataDxfId="44" totalsRowDxfId="43" headerRowBorderDxfId="45" totalsRowBorderDxfId="42">
  <autoFilter ref="B55:E60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900-000001000000}" name="0" totalsRowLabel="Subtotal" dataDxfId="41" totalsRowDxfId="40"/>
    <tableColumn id="2" xr3:uid="{00000000-0010-0000-0900-000002000000}" name="Projected _x000a_Cost" dataDxfId="39" totalsRowDxfId="38"/>
    <tableColumn id="3" xr3:uid="{00000000-0010-0000-0900-000003000000}" name="Actual _x000a_Cost" dataDxfId="37" totalsRowDxfId="36"/>
    <tableColumn id="4" xr3:uid="{00000000-0010-0000-0900-000004000000}" name="Difference" totalsRowFunction="sum" dataDxfId="35" totalsRowDxfId="34">
      <calculatedColumnFormula>Pets[[#This Row],[Projected 
Cost]]-Pets[[#This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Pets Costs in this table. Difference is auto calculate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ersonalCare" displayName="PersonalCare" ref="B64:E72" totalsRowCount="1" headerRowDxfId="33" dataDxfId="31" totalsRowDxfId="30" headerRowBorderDxfId="32" totalsRowBorderDxfId="29">
  <autoFilter ref="B64:E71" xr:uid="{00000000-0009-0000-0100-00000C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B00-000001000000}" name="0" totalsRowLabel="Subtotal" dataDxfId="28" totalsRowDxfId="27"/>
    <tableColumn id="2" xr3:uid="{00000000-0010-0000-0B00-000002000000}" name="Projected _x000a_Cost" dataDxfId="26" totalsRowDxfId="25"/>
    <tableColumn id="3" xr3:uid="{00000000-0010-0000-0B00-000003000000}" name="Minimum Possible" totalsRowFunction="sum" dataDxfId="24" totalsRowDxfId="23"/>
    <tableColumn id="4" xr3:uid="{00000000-0010-0000-0B00-000004000000}" name="Difference" totalsRowFunction="sum" dataDxfId="22" totalsRowDxfId="21">
      <calculatedColumnFormula>PersonalCare[[#This Row],[Projected 
Cost]]-PersonalCare[[#This Row],[Minimum Possible]]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Personal Care Costs in this table. Difference is auto calculated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egal" displayName="Legal" ref="G64:J69" totalsRowCount="1" headerRowDxfId="20" dataDxfId="18" totalsRowDxfId="17" headerRowBorderDxfId="19" totalsRowBorderDxfId="16">
  <autoFilter ref="G64:J68" xr:uid="{00000000-0009-0000-0100-00000B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A00-000001000000}" name="LEGAL" totalsRowLabel="Subtotal" dataDxfId="15" totalsRowDxfId="14"/>
    <tableColumn id="2" xr3:uid="{00000000-0010-0000-0A00-000002000000}" name="Projected _x000a_Cost" dataDxfId="13" totalsRowDxfId="12"/>
    <tableColumn id="3" xr3:uid="{00000000-0010-0000-0A00-000003000000}" name="Actual _x000a_Cost" dataDxfId="11" totalsRowDxfId="10"/>
    <tableColumn id="4" xr3:uid="{00000000-0010-0000-0A00-000004000000}" name="Difference" totalsRowFunction="sum" dataDxfId="9" totalsRowDxfId="8">
      <calculatedColumnFormula>Legal[[#This Row],[Projected 
Cost]]-Legal[[#This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Legal Costs in this table. Difference is auto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3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F256-A10A-4A5C-8FB4-95F27AB5BFA3}">
  <sheetPr>
    <tabColor theme="9" tint="-0.499984740745262"/>
  </sheetPr>
  <dimension ref="B1:B9"/>
  <sheetViews>
    <sheetView showGridLines="0" topLeftCell="A6" zoomScaleNormal="100" workbookViewId="0">
      <selection activeCell="E19" sqref="E19"/>
    </sheetView>
  </sheetViews>
  <sheetFormatPr defaultColWidth="8.85546875" defaultRowHeight="12.75" x14ac:dyDescent="0.2"/>
  <cols>
    <col min="1" max="1" width="1.42578125" style="71" customWidth="1"/>
    <col min="2" max="2" width="100.5703125" style="71" customWidth="1"/>
    <col min="3" max="3" width="2.5703125" style="71" customWidth="1"/>
    <col min="4" max="16384" width="8.85546875" style="71"/>
  </cols>
  <sheetData>
    <row r="1" spans="2:2" ht="20.100000000000001" customHeight="1" x14ac:dyDescent="0.2"/>
    <row r="2" spans="2:2" s="95" customFormat="1" ht="95.1" customHeight="1" x14ac:dyDescent="0.2">
      <c r="B2" s="96" t="s">
        <v>51</v>
      </c>
    </row>
    <row r="3" spans="2:2" ht="48.6" customHeight="1" x14ac:dyDescent="0.2">
      <c r="B3" s="38" t="s">
        <v>46</v>
      </c>
    </row>
    <row r="4" spans="2:2" ht="30" customHeight="1" x14ac:dyDescent="0.2">
      <c r="B4" s="37" t="s">
        <v>85</v>
      </c>
    </row>
    <row r="5" spans="2:2" ht="30" customHeight="1" x14ac:dyDescent="0.2">
      <c r="B5" s="37" t="s">
        <v>86</v>
      </c>
    </row>
    <row r="6" spans="2:2" ht="35.1" customHeight="1" x14ac:dyDescent="0.3">
      <c r="B6" s="45" t="s">
        <v>47</v>
      </c>
    </row>
    <row r="7" spans="2:2" ht="47.25" x14ac:dyDescent="0.2">
      <c r="B7" s="37" t="s">
        <v>48</v>
      </c>
    </row>
    <row r="8" spans="2:2" ht="9.9499999999999993" customHeight="1" x14ac:dyDescent="0.2">
      <c r="B8" s="37"/>
    </row>
    <row r="9" spans="2:2" ht="31.5" x14ac:dyDescent="0.2">
      <c r="B9" s="37" t="s">
        <v>49</v>
      </c>
    </row>
  </sheetData>
  <pageMargins left="0.7" right="0.7" top="0.75" bottom="0.75" header="0.3" footer="0.3"/>
  <pageSetup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K81"/>
  <sheetViews>
    <sheetView showGridLines="0" tabSelected="1" topLeftCell="A10" zoomScaleNormal="100" zoomScaleSheetLayoutView="30" workbookViewId="0">
      <selection activeCell="G24" sqref="G24:J24"/>
    </sheetView>
  </sheetViews>
  <sheetFormatPr defaultColWidth="8.85546875" defaultRowHeight="12.75" x14ac:dyDescent="0.2"/>
  <cols>
    <col min="1" max="1" width="1.42578125" style="4" customWidth="1"/>
    <col min="2" max="2" width="30.5703125" style="71" customWidth="1"/>
    <col min="3" max="5" width="20.5703125" style="71" customWidth="1"/>
    <col min="6" max="6" width="15.5703125" style="71" customWidth="1"/>
    <col min="7" max="7" width="30.5703125" style="71" customWidth="1"/>
    <col min="8" max="8" width="26.140625" style="71" customWidth="1"/>
    <col min="9" max="10" width="20.5703125" style="71" customWidth="1"/>
    <col min="11" max="11" width="2.5703125" style="71" customWidth="1"/>
    <col min="12" max="16384" width="8.85546875" style="71"/>
  </cols>
  <sheetData>
    <row r="1" spans="1:11" s="1" customFormat="1" ht="20.100000000000001" customHeight="1" x14ac:dyDescent="0.25">
      <c r="A1" s="3" t="s">
        <v>50</v>
      </c>
    </row>
    <row r="2" spans="1:11" s="1" customFormat="1" ht="95.1" customHeight="1" x14ac:dyDescent="0.45">
      <c r="A2" s="7" t="s">
        <v>54</v>
      </c>
      <c r="B2" s="151" t="s">
        <v>93</v>
      </c>
      <c r="C2" s="151"/>
      <c r="D2" s="151"/>
      <c r="E2" s="151"/>
      <c r="F2" s="151"/>
      <c r="G2" s="151"/>
      <c r="H2" s="151"/>
      <c r="I2" s="70"/>
      <c r="J2" s="70"/>
    </row>
    <row r="3" spans="1:11" ht="15" customHeight="1" x14ac:dyDescent="0.2"/>
    <row r="4" spans="1:11" ht="30" customHeight="1" x14ac:dyDescent="0.2">
      <c r="A4" s="4" t="s">
        <v>65</v>
      </c>
      <c r="B4" s="156" t="s">
        <v>52</v>
      </c>
      <c r="C4" s="157"/>
      <c r="D4" s="72"/>
      <c r="E4" s="153" t="s">
        <v>82</v>
      </c>
      <c r="F4" s="153"/>
      <c r="G4" s="153"/>
      <c r="H4" s="159">
        <f>C7-J73</f>
        <v>5158.880000000001</v>
      </c>
    </row>
    <row r="5" spans="1:11" ht="30" customHeight="1" x14ac:dyDescent="0.2">
      <c r="B5" s="73" t="s">
        <v>91</v>
      </c>
      <c r="C5" s="74">
        <f>621*4</f>
        <v>2484</v>
      </c>
      <c r="E5" s="153"/>
      <c r="F5" s="153"/>
      <c r="G5" s="153"/>
      <c r="H5" s="159"/>
      <c r="I5" s="75"/>
    </row>
    <row r="6" spans="1:11" ht="30" customHeight="1" x14ac:dyDescent="0.2">
      <c r="B6" s="76" t="s">
        <v>1</v>
      </c>
      <c r="C6" s="77">
        <v>34000</v>
      </c>
      <c r="E6" s="154" t="s">
        <v>83</v>
      </c>
      <c r="F6" s="154"/>
      <c r="G6" s="154"/>
      <c r="H6" s="160">
        <f>C12-J75</f>
        <v>-11010.82</v>
      </c>
      <c r="I6" s="75"/>
    </row>
    <row r="7" spans="1:11" ht="30" customHeight="1" x14ac:dyDescent="0.2">
      <c r="A7" s="4" t="s">
        <v>66</v>
      </c>
      <c r="B7" s="78" t="s">
        <v>2</v>
      </c>
      <c r="C7" s="79">
        <f>SUM(C5:C6)</f>
        <v>36484</v>
      </c>
      <c r="E7" s="154"/>
      <c r="F7" s="154"/>
      <c r="G7" s="154"/>
      <c r="H7" s="160"/>
      <c r="I7" s="75"/>
    </row>
    <row r="8" spans="1:11" ht="30" customHeight="1" x14ac:dyDescent="0.2">
      <c r="E8" s="155" t="s">
        <v>84</v>
      </c>
      <c r="F8" s="155"/>
      <c r="G8" s="155"/>
      <c r="H8" s="161">
        <f>H6-H4</f>
        <v>-16169.7</v>
      </c>
      <c r="I8" s="75"/>
    </row>
    <row r="9" spans="1:11" ht="30" customHeight="1" x14ac:dyDescent="0.2">
      <c r="A9" s="4" t="s">
        <v>58</v>
      </c>
      <c r="B9" s="156" t="s">
        <v>53</v>
      </c>
      <c r="C9" s="158"/>
      <c r="D9" s="72"/>
      <c r="E9" s="155"/>
      <c r="F9" s="155"/>
      <c r="G9" s="155"/>
      <c r="H9" s="161"/>
      <c r="I9" s="80"/>
    </row>
    <row r="10" spans="1:11" ht="30" customHeight="1" x14ac:dyDescent="0.2">
      <c r="B10" s="76" t="s">
        <v>0</v>
      </c>
      <c r="C10" s="77">
        <v>2.1800000000000002</v>
      </c>
      <c r="I10" s="75"/>
    </row>
    <row r="11" spans="1:11" ht="30" customHeight="1" x14ac:dyDescent="0.2">
      <c r="B11" s="81" t="s">
        <v>1</v>
      </c>
      <c r="C11" s="82">
        <v>0</v>
      </c>
      <c r="E11" s="75"/>
      <c r="H11" s="83"/>
      <c r="I11" s="75"/>
    </row>
    <row r="12" spans="1:11" ht="30" customHeight="1" x14ac:dyDescent="0.2">
      <c r="B12" s="78" t="s">
        <v>2</v>
      </c>
      <c r="C12" s="79">
        <f>SUM(C10:C11)</f>
        <v>2.1800000000000002</v>
      </c>
    </row>
    <row r="13" spans="1:11" ht="38.1" customHeight="1" x14ac:dyDescent="0.2">
      <c r="B13" s="84"/>
      <c r="C13" s="85"/>
    </row>
    <row r="14" spans="1:11" s="2" customFormat="1" ht="30" customHeight="1" x14ac:dyDescent="0.4">
      <c r="A14" s="91"/>
      <c r="B14" s="57" t="s">
        <v>68</v>
      </c>
      <c r="C14" s="58"/>
      <c r="D14" s="59"/>
      <c r="E14" s="59"/>
      <c r="F14" s="60"/>
      <c r="G14" s="58" t="s">
        <v>69</v>
      </c>
      <c r="H14" s="58"/>
      <c r="I14" s="58"/>
      <c r="J14" s="58"/>
      <c r="K14" s="60"/>
    </row>
    <row r="15" spans="1:11" ht="48" customHeight="1" x14ac:dyDescent="0.25">
      <c r="A15" s="4" t="s">
        <v>59</v>
      </c>
      <c r="B15" s="61" t="s">
        <v>73</v>
      </c>
      <c r="C15" s="11" t="s">
        <v>70</v>
      </c>
      <c r="D15" s="11" t="s">
        <v>71</v>
      </c>
      <c r="E15" s="12" t="s">
        <v>3</v>
      </c>
      <c r="F15" s="8"/>
      <c r="G15" s="20" t="s">
        <v>73</v>
      </c>
      <c r="H15" s="11" t="s">
        <v>72</v>
      </c>
      <c r="I15" s="11" t="s">
        <v>71</v>
      </c>
      <c r="J15" s="12" t="s">
        <v>3</v>
      </c>
      <c r="K15" s="86"/>
    </row>
    <row r="16" spans="1:11" ht="30" customHeight="1" x14ac:dyDescent="0.25">
      <c r="B16" s="141" t="s">
        <v>4</v>
      </c>
      <c r="C16" s="142">
        <v>1512</v>
      </c>
      <c r="D16" s="142">
        <v>1512</v>
      </c>
      <c r="E16" s="143">
        <f>Housing[[#This Row],[Projected
Cost]]-Housing[[#This Row],[Actual 
Cost]]</f>
        <v>0</v>
      </c>
      <c r="F16" s="8"/>
      <c r="G16" s="112" t="s">
        <v>102</v>
      </c>
      <c r="H16" s="113">
        <v>75</v>
      </c>
      <c r="I16" s="113">
        <v>25</v>
      </c>
      <c r="J16" s="114">
        <f>Entertainment[[#This Row],[Projected 
Cost]]-Entertainment[[#This Row],[Actual 
Cost]]</f>
        <v>50</v>
      </c>
      <c r="K16" s="86"/>
    </row>
    <row r="17" spans="1:11" ht="30" customHeight="1" x14ac:dyDescent="0.25">
      <c r="B17" s="35" t="s">
        <v>5</v>
      </c>
      <c r="C17" s="62">
        <v>0</v>
      </c>
      <c r="D17" s="62">
        <v>0</v>
      </c>
      <c r="E17" s="63">
        <f>Housing[[#This Row],[Projected
Cost]]-Housing[[#This Row],[Actual 
Cost]]</f>
        <v>0</v>
      </c>
      <c r="F17" s="8"/>
      <c r="G17" s="112" t="s">
        <v>88</v>
      </c>
      <c r="H17" s="113">
        <v>200</v>
      </c>
      <c r="I17" s="113">
        <v>0</v>
      </c>
      <c r="J17" s="114">
        <f>Entertainment[[#This Row],[Projected 
Cost]]-Entertainment[[#This Row],[Actual 
Cost]]</f>
        <v>200</v>
      </c>
      <c r="K17" s="86"/>
    </row>
    <row r="18" spans="1:11" ht="30" customHeight="1" x14ac:dyDescent="0.25">
      <c r="B18" s="107" t="s">
        <v>6</v>
      </c>
      <c r="C18" s="108">
        <v>92</v>
      </c>
      <c r="D18" s="108">
        <v>92</v>
      </c>
      <c r="E18" s="109">
        <f>Housing[[#This Row],[Projected
Cost]]-Housing[[#This Row],[Actual 
Cost]]</f>
        <v>0</v>
      </c>
      <c r="F18" s="8"/>
      <c r="G18" s="102" t="s">
        <v>7</v>
      </c>
      <c r="H18" s="103">
        <v>0</v>
      </c>
      <c r="I18" s="103"/>
      <c r="J18" s="104">
        <f>Entertainment[[#This Row],[Projected 
Cost]]-Entertainment[[#This Row],[Actual 
Cost]]</f>
        <v>0</v>
      </c>
      <c r="K18" s="86"/>
    </row>
    <row r="19" spans="1:11" ht="30" customHeight="1" x14ac:dyDescent="0.25">
      <c r="B19" s="35" t="s">
        <v>8</v>
      </c>
      <c r="C19" s="62">
        <v>0</v>
      </c>
      <c r="D19" s="62">
        <v>0</v>
      </c>
      <c r="E19" s="63">
        <f>Housing[[#This Row],[Projected
Cost]]-Housing[[#This Row],[Actual 
Cost]]</f>
        <v>0</v>
      </c>
      <c r="F19" s="8"/>
      <c r="G19" s="102" t="s">
        <v>9</v>
      </c>
      <c r="H19" s="103">
        <v>0</v>
      </c>
      <c r="I19" s="103"/>
      <c r="J19" s="104">
        <f>Entertainment[[#This Row],[Projected 
Cost]]-Entertainment[[#This Row],[Actual 
Cost]]</f>
        <v>0</v>
      </c>
      <c r="K19" s="86"/>
    </row>
    <row r="20" spans="1:11" s="106" customFormat="1" ht="30" customHeight="1" x14ac:dyDescent="0.25">
      <c r="A20" s="97"/>
      <c r="B20" s="98" t="s">
        <v>10</v>
      </c>
      <c r="C20" s="99">
        <v>0</v>
      </c>
      <c r="D20" s="99">
        <v>0</v>
      </c>
      <c r="E20" s="100">
        <f>Housing[[#This Row],[Projected
Cost]]-Housing[[#This Row],[Actual 
Cost]]</f>
        <v>0</v>
      </c>
      <c r="F20" s="101"/>
      <c r="G20" s="112" t="s">
        <v>101</v>
      </c>
      <c r="H20" s="113">
        <v>11</v>
      </c>
      <c r="I20" s="113">
        <v>0</v>
      </c>
      <c r="J20" s="114">
        <f>Entertainment[[#This Row],[Projected 
Cost]]-Entertainment[[#This Row],[Actual 
Cost]]</f>
        <v>11</v>
      </c>
      <c r="K20" s="105"/>
    </row>
    <row r="21" spans="1:11" ht="30" customHeight="1" x14ac:dyDescent="0.25">
      <c r="B21" s="107" t="s">
        <v>11</v>
      </c>
      <c r="C21" s="108">
        <v>13</v>
      </c>
      <c r="D21" s="108">
        <v>13</v>
      </c>
      <c r="E21" s="109">
        <f>Housing[[#This Row],[Projected
Cost]]-Housing[[#This Row],[Actual 
Cost]]</f>
        <v>0</v>
      </c>
      <c r="F21" s="8"/>
      <c r="G21" s="112" t="s">
        <v>99</v>
      </c>
      <c r="H21" s="113">
        <v>12.99</v>
      </c>
      <c r="I21" s="113">
        <v>0</v>
      </c>
      <c r="J21" s="114">
        <f>Entertainment[[#This Row],[Projected 
Cost]]-Entertainment[[#This Row],[Actual 
Cost]]</f>
        <v>12.99</v>
      </c>
      <c r="K21" s="86"/>
    </row>
    <row r="22" spans="1:11" ht="30" customHeight="1" x14ac:dyDescent="0.25">
      <c r="B22" s="107" t="s">
        <v>87</v>
      </c>
      <c r="C22" s="108">
        <v>36</v>
      </c>
      <c r="D22" s="108">
        <v>36</v>
      </c>
      <c r="E22" s="109">
        <f>Housing[[#This Row],[Projected
Cost]]-Housing[[#This Row],[Actual 
Cost]]</f>
        <v>0</v>
      </c>
      <c r="F22" s="8"/>
      <c r="G22" s="112" t="s">
        <v>94</v>
      </c>
      <c r="H22" s="113">
        <v>15.99</v>
      </c>
      <c r="I22" s="113">
        <v>0</v>
      </c>
      <c r="J22" s="114">
        <f>Entertainment[[#This Row],[Projected 
Cost]]-Entertainment[[#This Row],[Actual 
Cost]]</f>
        <v>15.99</v>
      </c>
      <c r="K22" s="86"/>
    </row>
    <row r="23" spans="1:11" ht="30" customHeight="1" x14ac:dyDescent="0.25">
      <c r="B23" s="35" t="s">
        <v>13</v>
      </c>
      <c r="C23" s="62">
        <v>0</v>
      </c>
      <c r="D23" s="62">
        <v>0</v>
      </c>
      <c r="E23" s="63">
        <f>Housing[[#This Row],[Projected
Cost]]-Housing[[#This Row],[Actual 
Cost]]</f>
        <v>0</v>
      </c>
      <c r="F23" s="8"/>
      <c r="G23" s="112" t="s">
        <v>95</v>
      </c>
      <c r="H23" s="113">
        <v>14</v>
      </c>
      <c r="I23" s="113">
        <v>0</v>
      </c>
      <c r="J23" s="114">
        <f>Entertainment[[#This Row],[Projected 
Cost]]-Entertainment[[#This Row],[Actual 
Cost]]</f>
        <v>14</v>
      </c>
      <c r="K23" s="86"/>
    </row>
    <row r="24" spans="1:11" s="110" customFormat="1" ht="30" customHeight="1" x14ac:dyDescent="0.25">
      <c r="B24" s="137" t="s">
        <v>100</v>
      </c>
      <c r="C24" s="138">
        <v>53</v>
      </c>
      <c r="D24" s="138">
        <v>25</v>
      </c>
      <c r="E24" s="139">
        <f>Housing[[#This Row],[Projected
Cost]]-Housing[[#This Row],[Actual 
Cost]]</f>
        <v>28</v>
      </c>
      <c r="F24" s="111"/>
      <c r="G24" s="112" t="s">
        <v>96</v>
      </c>
      <c r="H24" s="113">
        <v>33</v>
      </c>
      <c r="I24" s="113">
        <v>0</v>
      </c>
      <c r="J24" s="114">
        <f>Entertainment[[#This Row],[Projected 
Cost]]-Entertainment[[#This Row],[Actual 
Cost]]</f>
        <v>33</v>
      </c>
      <c r="K24" s="115"/>
    </row>
    <row r="25" spans="1:11" ht="30" customHeight="1" x14ac:dyDescent="0.25">
      <c r="B25" s="36" t="s">
        <v>12</v>
      </c>
      <c r="C25" s="64">
        <v>0</v>
      </c>
      <c r="D25" s="64">
        <v>0</v>
      </c>
      <c r="E25" s="65">
        <f>Housing[[#This Row],[Projected
Cost]]-Housing[[#This Row],[Actual 
Cost]]</f>
        <v>0</v>
      </c>
      <c r="F25" s="8"/>
      <c r="G25" s="49" t="s">
        <v>45</v>
      </c>
      <c r="H25" s="66"/>
      <c r="I25" s="140">
        <f>SUBTOTAL(109,Entertainment[Actual 
Cost])</f>
        <v>25</v>
      </c>
      <c r="J25" s="53">
        <f>SUBTOTAL(109,Entertainment[Difference])</f>
        <v>336.98</v>
      </c>
      <c r="K25" s="86"/>
    </row>
    <row r="26" spans="1:11" ht="30" customHeight="1" x14ac:dyDescent="0.25">
      <c r="A26" s="30"/>
      <c r="B26" s="67" t="s">
        <v>45</v>
      </c>
      <c r="C26" s="68"/>
      <c r="D26" s="68">
        <f>SUBTOTAL(109,Housing[Actual 
Cost])</f>
        <v>1678</v>
      </c>
      <c r="E26" s="69">
        <f>SUBTOTAL(109,Housing[Difference])</f>
        <v>28</v>
      </c>
      <c r="F26" s="8"/>
      <c r="G26" s="152"/>
      <c r="H26" s="152"/>
      <c r="I26" s="152"/>
      <c r="J26" s="152"/>
    </row>
    <row r="27" spans="1:11" ht="38.1" customHeight="1" x14ac:dyDescent="0.25">
      <c r="A27" s="30"/>
      <c r="B27" s="29"/>
      <c r="C27" s="14"/>
      <c r="D27" s="14"/>
      <c r="E27" s="144">
        <f>SUM(D18+D21+D22)</f>
        <v>141</v>
      </c>
      <c r="F27" s="8"/>
      <c r="G27" s="46"/>
      <c r="H27" s="46"/>
      <c r="I27" s="46"/>
      <c r="J27" s="46"/>
    </row>
    <row r="28" spans="1:11" s="2" customFormat="1" ht="30" customHeight="1" x14ac:dyDescent="0.25">
      <c r="A28" s="92"/>
      <c r="B28" s="162" t="s">
        <v>74</v>
      </c>
      <c r="C28" s="162"/>
      <c r="D28" s="162"/>
      <c r="E28" s="162"/>
      <c r="F28" s="93"/>
      <c r="G28" s="163" t="s">
        <v>75</v>
      </c>
      <c r="H28" s="163"/>
      <c r="I28" s="163"/>
      <c r="J28" s="163"/>
    </row>
    <row r="29" spans="1:11" ht="48" customHeight="1" x14ac:dyDescent="0.25">
      <c r="B29" s="10" t="s">
        <v>73</v>
      </c>
      <c r="C29" s="11" t="s">
        <v>72</v>
      </c>
      <c r="D29" s="11" t="s">
        <v>103</v>
      </c>
      <c r="E29" s="12" t="s">
        <v>3</v>
      </c>
      <c r="F29" s="6"/>
      <c r="G29" s="17" t="s">
        <v>73</v>
      </c>
      <c r="H29" s="18" t="s">
        <v>72</v>
      </c>
      <c r="I29" s="18" t="s">
        <v>103</v>
      </c>
      <c r="J29" s="19" t="s">
        <v>3</v>
      </c>
    </row>
    <row r="30" spans="1:11" ht="30" customHeight="1" x14ac:dyDescent="0.25">
      <c r="A30" s="4" t="s">
        <v>60</v>
      </c>
      <c r="B30" s="15" t="s">
        <v>15</v>
      </c>
      <c r="C30" s="34">
        <v>0</v>
      </c>
      <c r="D30" s="34"/>
      <c r="E30" s="16">
        <f>Transportation[[#This Row],[Projected 
Cost]]-Transportation[[#This Row],[Minimum Possible]]</f>
        <v>0</v>
      </c>
      <c r="F30" s="6"/>
      <c r="G30" s="15" t="s">
        <v>14</v>
      </c>
      <c r="H30" s="34">
        <v>0</v>
      </c>
      <c r="I30" s="34"/>
      <c r="J30" s="16">
        <f>Loans[[#This Row],[Projected 
Cost]]-Loans[[#This Row],[Minimum Possible]]</f>
        <v>0</v>
      </c>
    </row>
    <row r="31" spans="1:11" ht="30" customHeight="1" x14ac:dyDescent="0.25">
      <c r="B31" s="131" t="s">
        <v>16</v>
      </c>
      <c r="C31" s="132">
        <v>26</v>
      </c>
      <c r="D31" s="132">
        <v>15</v>
      </c>
      <c r="E31" s="133">
        <f>Transportation[[#This Row],[Projected 
Cost]]-Transportation[[#This Row],[Minimum Possible]]</f>
        <v>11</v>
      </c>
      <c r="F31" s="6"/>
      <c r="G31" s="134" t="s">
        <v>92</v>
      </c>
      <c r="H31" s="135">
        <v>7000</v>
      </c>
      <c r="I31" s="135">
        <v>7000</v>
      </c>
      <c r="J31" s="136">
        <f>Loans[[#This Row],[Projected 
Cost]]-Loans[[#This Row],[Minimum Possible]]</f>
        <v>0</v>
      </c>
    </row>
    <row r="32" spans="1:11" ht="30" customHeight="1" x14ac:dyDescent="0.25">
      <c r="B32" s="102" t="s">
        <v>17</v>
      </c>
      <c r="C32" s="103">
        <v>0</v>
      </c>
      <c r="D32" s="103"/>
      <c r="E32" s="104">
        <f>Transportation[[#This Row],[Projected 
Cost]]-Transportation[[#This Row],[Minimum Possible]]</f>
        <v>0</v>
      </c>
      <c r="F32" s="6"/>
      <c r="G32" s="131" t="s">
        <v>98</v>
      </c>
      <c r="H32" s="132">
        <v>1019</v>
      </c>
      <c r="I32" s="132">
        <v>1019</v>
      </c>
      <c r="J32" s="133">
        <f>Loans[[#This Row],[Projected 
Cost]]-Loans[[#This Row],[Minimum Possible]]</f>
        <v>0</v>
      </c>
    </row>
    <row r="33" spans="1:10" ht="30" customHeight="1" x14ac:dyDescent="0.25">
      <c r="B33" s="102" t="s">
        <v>18</v>
      </c>
      <c r="C33" s="103">
        <v>0</v>
      </c>
      <c r="D33" s="103"/>
      <c r="E33" s="104">
        <f>Transportation[[#This Row],[Projected 
Cost]]-Transportation[[#This Row],[Minimum Possible]]</f>
        <v>0</v>
      </c>
      <c r="F33" s="6"/>
      <c r="G33" s="116" t="s">
        <v>90</v>
      </c>
      <c r="H33" s="117">
        <v>332</v>
      </c>
      <c r="I33" s="117">
        <v>332</v>
      </c>
      <c r="J33" s="118">
        <f>Loans[[#This Row],[Projected 
Cost]]-Loans[[#This Row],[Minimum Possible]]</f>
        <v>0</v>
      </c>
    </row>
    <row r="34" spans="1:10" ht="30" customHeight="1" x14ac:dyDescent="0.25">
      <c r="B34" s="131" t="s">
        <v>19</v>
      </c>
      <c r="C34" s="132">
        <v>100</v>
      </c>
      <c r="D34" s="132">
        <v>50</v>
      </c>
      <c r="E34" s="133">
        <f>Transportation[[#This Row],[Projected 
Cost]]-Transportation[[#This Row],[Minimum Possible]]</f>
        <v>50</v>
      </c>
      <c r="F34" s="6"/>
      <c r="G34" s="119" t="s">
        <v>107</v>
      </c>
      <c r="H34" s="120">
        <v>34</v>
      </c>
      <c r="I34" s="120">
        <v>34</v>
      </c>
      <c r="J34" s="121">
        <f>Loans[[#This Row],[Projected 
Cost]]-Loans[[#This Row],[Minimum Possible]]</f>
        <v>0</v>
      </c>
    </row>
    <row r="35" spans="1:10" ht="30" customHeight="1" x14ac:dyDescent="0.25">
      <c r="B35" s="166" t="s">
        <v>106</v>
      </c>
      <c r="C35" s="167" t="s">
        <v>105</v>
      </c>
      <c r="D35" s="167" t="s">
        <v>105</v>
      </c>
      <c r="E35" s="168" t="s">
        <v>105</v>
      </c>
      <c r="F35" s="6"/>
      <c r="G35" s="15" t="s">
        <v>12</v>
      </c>
      <c r="H35" s="34"/>
      <c r="I35" s="34"/>
      <c r="J35" s="16">
        <f>Loans[[#This Row],[Projected 
Cost]]-Loans[[#This Row],[Minimum Possible]]</f>
        <v>0</v>
      </c>
    </row>
    <row r="36" spans="1:10" ht="30" customHeight="1" x14ac:dyDescent="0.25">
      <c r="B36" s="102" t="s">
        <v>12</v>
      </c>
      <c r="C36" s="103"/>
      <c r="D36" s="103"/>
      <c r="E36" s="104">
        <f>Transportation[[#This Row],[Projected 
Cost]]-Transportation[[#This Row],[Minimum Possible]]</f>
        <v>0</v>
      </c>
      <c r="F36" s="6"/>
      <c r="G36" s="47" t="s">
        <v>45</v>
      </c>
      <c r="H36" s="39"/>
      <c r="I36" s="39">
        <f>SUBTOTAL(109,Loans[Minimum Possible])</f>
        <v>8385</v>
      </c>
      <c r="J36" s="48">
        <f>SUBTOTAL(109,Loans[Difference])</f>
        <v>0</v>
      </c>
    </row>
    <row r="37" spans="1:10" ht="30" customHeight="1" x14ac:dyDescent="0.25">
      <c r="B37" s="47" t="s">
        <v>45</v>
      </c>
      <c r="C37" s="55"/>
      <c r="D37" s="55">
        <f>SUBTOTAL(109,Transportation[Minimum Possible])</f>
        <v>65</v>
      </c>
      <c r="E37" s="56">
        <f>SUBTOTAL(109,Transportation[Difference])</f>
        <v>61</v>
      </c>
      <c r="F37" s="6"/>
      <c r="G37" s="29"/>
      <c r="H37" s="13"/>
      <c r="I37" s="13"/>
      <c r="J37" s="145">
        <f>SUM(I33+I34)</f>
        <v>366</v>
      </c>
    </row>
    <row r="38" spans="1:10" ht="38.1" customHeight="1" x14ac:dyDescent="0.25">
      <c r="B38" s="26"/>
      <c r="C38" s="9"/>
      <c r="D38" s="9"/>
      <c r="E38" s="144">
        <f>SUM(C35)</f>
        <v>0</v>
      </c>
      <c r="F38" s="6"/>
      <c r="G38" s="152"/>
      <c r="H38" s="152"/>
      <c r="I38" s="152"/>
      <c r="J38" s="152"/>
    </row>
    <row r="39" spans="1:10" s="2" customFormat="1" ht="30" customHeight="1" x14ac:dyDescent="0.25">
      <c r="A39" s="92"/>
      <c r="B39" s="163" t="s">
        <v>17</v>
      </c>
      <c r="C39" s="163"/>
      <c r="D39" s="163"/>
      <c r="E39" s="163"/>
      <c r="F39" s="94"/>
      <c r="G39" s="163" t="s">
        <v>76</v>
      </c>
      <c r="H39" s="163"/>
      <c r="I39" s="163"/>
      <c r="J39" s="163"/>
    </row>
    <row r="40" spans="1:10" ht="48" customHeight="1" x14ac:dyDescent="0.25">
      <c r="B40" s="17" t="s">
        <v>73</v>
      </c>
      <c r="C40" s="18" t="s">
        <v>72</v>
      </c>
      <c r="D40" s="18" t="s">
        <v>71</v>
      </c>
      <c r="E40" s="19" t="s">
        <v>3</v>
      </c>
      <c r="F40" s="6"/>
      <c r="G40" s="20" t="s">
        <v>73</v>
      </c>
      <c r="H40" s="11" t="s">
        <v>72</v>
      </c>
      <c r="I40" s="11" t="s">
        <v>71</v>
      </c>
      <c r="J40" s="12" t="s">
        <v>3</v>
      </c>
    </row>
    <row r="41" spans="1:10" ht="30" customHeight="1" x14ac:dyDescent="0.25">
      <c r="B41" s="15" t="s">
        <v>22</v>
      </c>
      <c r="C41" s="34">
        <v>0</v>
      </c>
      <c r="D41" s="34"/>
      <c r="E41" s="16">
        <f>Insurance[[#This Row],[Projected 
Cost]]-Insurance[[#This Row],[Actual 
Cost]]</f>
        <v>0</v>
      </c>
      <c r="F41" s="6"/>
      <c r="G41" s="146" t="s">
        <v>20</v>
      </c>
      <c r="H41" s="147">
        <v>14000</v>
      </c>
      <c r="I41" s="147"/>
      <c r="J41" s="148">
        <f>Taxes[[#This Row],[Projected 
Cost]]-Taxes[[#This Row],[Actual 
Cost]]</f>
        <v>14000</v>
      </c>
    </row>
    <row r="42" spans="1:10" ht="30" customHeight="1" x14ac:dyDescent="0.25">
      <c r="A42" s="4" t="s">
        <v>67</v>
      </c>
      <c r="B42" s="15" t="s">
        <v>24</v>
      </c>
      <c r="C42" s="34">
        <v>0</v>
      </c>
      <c r="D42" s="34"/>
      <c r="E42" s="16">
        <f>Insurance[[#This Row],[Projected 
Cost]]-Insurance[[#This Row],[Actual 
Cost]]</f>
        <v>0</v>
      </c>
      <c r="F42" s="6"/>
      <c r="G42" s="146" t="s">
        <v>21</v>
      </c>
      <c r="H42" s="147">
        <v>4000</v>
      </c>
      <c r="I42" s="147"/>
      <c r="J42" s="148">
        <f>Taxes[[#This Row],[Projected 
Cost]]-Taxes[[#This Row],[Actual 
Cost]]</f>
        <v>4000</v>
      </c>
    </row>
    <row r="43" spans="1:10" ht="30" customHeight="1" x14ac:dyDescent="0.25">
      <c r="B43" s="15" t="s">
        <v>25</v>
      </c>
      <c r="C43" s="34">
        <v>0</v>
      </c>
      <c r="D43" s="34"/>
      <c r="E43" s="16">
        <f>Insurance[[#This Row],[Projected 
Cost]]-Insurance[[#This Row],[Actual 
Cost]]</f>
        <v>0</v>
      </c>
      <c r="F43" s="6"/>
      <c r="G43" s="146" t="s">
        <v>23</v>
      </c>
      <c r="H43" s="147">
        <v>1500</v>
      </c>
      <c r="I43" s="147"/>
      <c r="J43" s="148">
        <f>Taxes[[#This Row],[Projected 
Cost]]-Taxes[[#This Row],[Actual 
Cost]]</f>
        <v>1500</v>
      </c>
    </row>
    <row r="44" spans="1:10" ht="30" customHeight="1" x14ac:dyDescent="0.25">
      <c r="B44" s="15" t="s">
        <v>12</v>
      </c>
      <c r="C44" s="34">
        <v>0</v>
      </c>
      <c r="D44" s="34"/>
      <c r="E44" s="16">
        <f>Insurance[[#This Row],[Projected 
Cost]]-Insurance[[#This Row],[Actual 
Cost]]</f>
        <v>0</v>
      </c>
      <c r="F44" s="6"/>
      <c r="G44" s="15" t="s">
        <v>12</v>
      </c>
      <c r="H44" s="34">
        <v>0</v>
      </c>
      <c r="I44" s="34"/>
      <c r="J44" s="16">
        <f>Taxes[[#This Row],[Projected 
Cost]]-Taxes[[#This Row],[Actual 
Cost]]</f>
        <v>0</v>
      </c>
    </row>
    <row r="45" spans="1:10" ht="30" customHeight="1" x14ac:dyDescent="0.25">
      <c r="B45" s="47" t="s">
        <v>45</v>
      </c>
      <c r="C45" s="44"/>
      <c r="D45" s="44"/>
      <c r="E45" s="48">
        <f>SUBTOTAL(109,Insurance[Difference])</f>
        <v>0</v>
      </c>
      <c r="F45" s="6"/>
      <c r="G45" s="47" t="s">
        <v>45</v>
      </c>
      <c r="H45" s="39"/>
      <c r="I45" s="39"/>
      <c r="J45" s="48">
        <f>SUBTOTAL(109,Taxes[Difference])</f>
        <v>19500</v>
      </c>
    </row>
    <row r="46" spans="1:10" ht="38.1" customHeight="1" x14ac:dyDescent="0.25">
      <c r="B46" s="21"/>
      <c r="C46" s="22"/>
      <c r="D46" s="22"/>
      <c r="E46" s="23"/>
      <c r="F46" s="6"/>
      <c r="G46" s="152"/>
      <c r="H46" s="152"/>
      <c r="I46" s="152"/>
      <c r="J46" s="152"/>
    </row>
    <row r="47" spans="1:10" s="2" customFormat="1" ht="30" customHeight="1" x14ac:dyDescent="0.25">
      <c r="A47" s="92"/>
      <c r="B47" s="162" t="s">
        <v>31</v>
      </c>
      <c r="C47" s="162"/>
      <c r="D47" s="162"/>
      <c r="E47" s="162"/>
      <c r="F47" s="94"/>
      <c r="G47" s="163" t="s">
        <v>78</v>
      </c>
      <c r="H47" s="163"/>
      <c r="I47" s="163"/>
      <c r="J47" s="163"/>
    </row>
    <row r="48" spans="1:10" ht="50.1" customHeight="1" x14ac:dyDescent="0.25">
      <c r="B48" s="24" t="s">
        <v>73</v>
      </c>
      <c r="C48" s="11" t="s">
        <v>72</v>
      </c>
      <c r="D48" s="11" t="s">
        <v>103</v>
      </c>
      <c r="E48" s="12" t="s">
        <v>3</v>
      </c>
      <c r="F48" s="6"/>
      <c r="G48" s="20" t="s">
        <v>73</v>
      </c>
      <c r="H48" s="11" t="s">
        <v>72</v>
      </c>
      <c r="I48" s="11" t="s">
        <v>71</v>
      </c>
      <c r="J48" s="12" t="s">
        <v>3</v>
      </c>
    </row>
    <row r="49" spans="1:10" ht="30" customHeight="1" x14ac:dyDescent="0.25">
      <c r="B49" s="119" t="s">
        <v>28</v>
      </c>
      <c r="C49" s="120">
        <v>800</v>
      </c>
      <c r="D49" s="120">
        <v>600</v>
      </c>
      <c r="E49" s="121">
        <f>Food[[#This Row],[Projected 
Cost]]-Food[[#This Row],[Minimum Possible]]</f>
        <v>200</v>
      </c>
      <c r="F49" s="6"/>
      <c r="G49" s="32" t="s">
        <v>26</v>
      </c>
      <c r="H49" s="33">
        <v>3.03</v>
      </c>
      <c r="I49" s="33"/>
      <c r="J49" s="31">
        <f>Savings[[#This Row],[Projected 
Cost]]-Savings[[#This Row],[Actual 
Cost]]</f>
        <v>3.03</v>
      </c>
    </row>
    <row r="50" spans="1:10" ht="30" customHeight="1" x14ac:dyDescent="0.25">
      <c r="B50" s="119" t="s">
        <v>29</v>
      </c>
      <c r="C50" s="120">
        <v>200</v>
      </c>
      <c r="D50" s="120">
        <v>150</v>
      </c>
      <c r="E50" s="121">
        <f>Food[[#This Row],[Projected 
Cost]]-Food[[#This Row],[Minimum Possible]]</f>
        <v>50</v>
      </c>
      <c r="F50" s="6"/>
      <c r="G50" s="15" t="s">
        <v>27</v>
      </c>
      <c r="H50" s="34">
        <v>6.11</v>
      </c>
      <c r="I50" s="34"/>
      <c r="J50" s="16">
        <f>Savings[[#This Row],[Projected 
Cost]]-Savings[[#This Row],[Actual 
Cost]]</f>
        <v>6.11</v>
      </c>
    </row>
    <row r="51" spans="1:10" ht="30" customHeight="1" x14ac:dyDescent="0.25">
      <c r="A51" s="4" t="s">
        <v>61</v>
      </c>
      <c r="B51" s="15" t="s">
        <v>12</v>
      </c>
      <c r="C51" s="34"/>
      <c r="D51" s="34"/>
      <c r="E51" s="16">
        <f>Food[[#This Row],[Projected 
Cost]]-Food[[#This Row],[Minimum Possible]]</f>
        <v>0</v>
      </c>
      <c r="F51" s="6"/>
      <c r="G51" s="15" t="s">
        <v>12</v>
      </c>
      <c r="H51" s="34"/>
      <c r="I51" s="34"/>
      <c r="J51" s="16">
        <f>Savings[[#This Row],[Projected 
Cost]]-Savings[[#This Row],[Actual 
Cost]]</f>
        <v>0</v>
      </c>
    </row>
    <row r="52" spans="1:10" ht="30" customHeight="1" x14ac:dyDescent="0.25">
      <c r="B52" s="49" t="s">
        <v>45</v>
      </c>
      <c r="C52" s="41"/>
      <c r="D52" s="41">
        <f>SUBTOTAL(109,Food[Minimum Possible])</f>
        <v>750</v>
      </c>
      <c r="E52" s="53">
        <f>SUBTOTAL(109,Food[Difference])</f>
        <v>250</v>
      </c>
      <c r="F52" s="6"/>
      <c r="G52" s="87" t="s">
        <v>45</v>
      </c>
      <c r="H52" s="40"/>
      <c r="I52" s="40"/>
      <c r="J52" s="54">
        <f>SUBTOTAL(109,Savings[Difference])</f>
        <v>9.14</v>
      </c>
    </row>
    <row r="53" spans="1:10" ht="38.1" customHeight="1" x14ac:dyDescent="0.25">
      <c r="B53" s="88"/>
      <c r="C53" s="13"/>
      <c r="D53" s="13"/>
      <c r="E53" s="13"/>
      <c r="F53" s="6"/>
      <c r="G53" s="89"/>
      <c r="H53" s="5"/>
      <c r="I53" s="5"/>
      <c r="J53" s="5"/>
    </row>
    <row r="54" spans="1:10" s="2" customFormat="1" ht="30" hidden="1" customHeight="1" x14ac:dyDescent="0.25">
      <c r="A54" s="92"/>
      <c r="B54" s="162" t="s">
        <v>77</v>
      </c>
      <c r="C54" s="162"/>
      <c r="D54" s="162"/>
      <c r="E54" s="162"/>
      <c r="F54" s="94"/>
      <c r="G54" s="163" t="s">
        <v>79</v>
      </c>
      <c r="H54" s="163"/>
      <c r="I54" s="163"/>
      <c r="J54" s="163"/>
    </row>
    <row r="55" spans="1:10" ht="48" hidden="1" customHeight="1" x14ac:dyDescent="0.25">
      <c r="B55" s="28" t="s">
        <v>73</v>
      </c>
      <c r="C55" s="18" t="s">
        <v>72</v>
      </c>
      <c r="D55" s="18" t="s">
        <v>71</v>
      </c>
      <c r="E55" s="19" t="s">
        <v>3</v>
      </c>
      <c r="F55" s="6"/>
      <c r="G55" s="61" t="s">
        <v>73</v>
      </c>
      <c r="H55" s="11" t="s">
        <v>72</v>
      </c>
      <c r="I55" s="11" t="s">
        <v>71</v>
      </c>
      <c r="J55" s="12" t="s">
        <v>3</v>
      </c>
    </row>
    <row r="56" spans="1:10" ht="30" hidden="1" customHeight="1" x14ac:dyDescent="0.25">
      <c r="B56" s="32" t="s">
        <v>31</v>
      </c>
      <c r="C56" s="33"/>
      <c r="D56" s="33"/>
      <c r="E56" s="31">
        <f>Pets[[#This Row],[Projected 
Cost]]-Pets[[#This Row],[Actual 
Cost]]</f>
        <v>0</v>
      </c>
      <c r="F56" s="6"/>
      <c r="G56" s="32" t="s">
        <v>89</v>
      </c>
      <c r="H56" s="33">
        <v>5</v>
      </c>
      <c r="I56" s="33"/>
      <c r="J56" s="31">
        <f>Gifts[[#This Row],[Projected 
Cost]]-Gifts[[#This Row],[Actual 
Cost]]</f>
        <v>5</v>
      </c>
    </row>
    <row r="57" spans="1:10" ht="30" hidden="1" customHeight="1" x14ac:dyDescent="0.25">
      <c r="B57" s="15" t="s">
        <v>33</v>
      </c>
      <c r="C57" s="34"/>
      <c r="D57" s="34"/>
      <c r="E57" s="16">
        <f>Pets[[#This Row],[Projected 
Cost]]-Pets[[#This Row],[Actual 
Cost]]</f>
        <v>0</v>
      </c>
      <c r="F57" s="6"/>
      <c r="G57" s="15" t="s">
        <v>30</v>
      </c>
      <c r="H57" s="34"/>
      <c r="I57" s="34"/>
      <c r="J57" s="16">
        <f>Gifts[[#This Row],[Projected 
Cost]]-Gifts[[#This Row],[Actual 
Cost]]</f>
        <v>0</v>
      </c>
    </row>
    <row r="58" spans="1:10" ht="30" hidden="1" customHeight="1" x14ac:dyDescent="0.25">
      <c r="B58" s="15" t="s">
        <v>34</v>
      </c>
      <c r="C58" s="34"/>
      <c r="D58" s="34"/>
      <c r="E58" s="16">
        <f>Pets[[#This Row],[Projected 
Cost]]-Pets[[#This Row],[Actual 
Cost]]</f>
        <v>0</v>
      </c>
      <c r="F58" s="6"/>
      <c r="G58" s="15" t="s">
        <v>32</v>
      </c>
      <c r="H58" s="34"/>
      <c r="I58" s="34"/>
      <c r="J58" s="16">
        <f>Gifts[[#This Row],[Projected 
Cost]]-Gifts[[#This Row],[Actual 
Cost]]</f>
        <v>0</v>
      </c>
    </row>
    <row r="59" spans="1:10" ht="30" hidden="1" customHeight="1" x14ac:dyDescent="0.25">
      <c r="A59" s="4" t="s">
        <v>62</v>
      </c>
      <c r="B59" s="15" t="s">
        <v>35</v>
      </c>
      <c r="C59" s="34"/>
      <c r="D59" s="34"/>
      <c r="E59" s="16">
        <f>Pets[[#This Row],[Projected 
Cost]]-Pets[[#This Row],[Actual 
Cost]]</f>
        <v>0</v>
      </c>
      <c r="F59" s="6"/>
      <c r="G59" s="49" t="s">
        <v>45</v>
      </c>
      <c r="H59" s="41"/>
      <c r="I59" s="41"/>
      <c r="J59" s="53">
        <f>SUBTOTAL(109,Gifts[Difference])</f>
        <v>0</v>
      </c>
    </row>
    <row r="60" spans="1:10" ht="30" hidden="1" customHeight="1" x14ac:dyDescent="0.25">
      <c r="B60" s="15" t="s">
        <v>12</v>
      </c>
      <c r="C60" s="34"/>
      <c r="D60" s="34"/>
      <c r="E60" s="16">
        <f>Pets[[#This Row],[Projected 
Cost]]-Pets[[#This Row],[Actual 
Cost]]</f>
        <v>0</v>
      </c>
      <c r="F60" s="6"/>
      <c r="G60" s="29"/>
      <c r="H60" s="9"/>
      <c r="I60" s="9"/>
      <c r="J60" s="14"/>
    </row>
    <row r="61" spans="1:10" ht="30" hidden="1" customHeight="1" x14ac:dyDescent="0.25">
      <c r="B61" s="49" t="s">
        <v>45</v>
      </c>
      <c r="C61" s="43"/>
      <c r="D61" s="43"/>
      <c r="E61" s="50">
        <f>SUBTOTAL(109,Pets[Difference])</f>
        <v>0</v>
      </c>
      <c r="F61" s="6"/>
      <c r="G61" s="29"/>
      <c r="H61" s="9"/>
      <c r="I61" s="9"/>
      <c r="J61" s="14"/>
    </row>
    <row r="62" spans="1:10" ht="38.1" customHeight="1" x14ac:dyDescent="0.25">
      <c r="B62" s="26"/>
      <c r="C62" s="27"/>
      <c r="D62" s="27"/>
      <c r="E62" s="27"/>
      <c r="F62" s="6"/>
      <c r="G62" s="25"/>
      <c r="H62" s="9"/>
      <c r="I62" s="9"/>
      <c r="J62" s="9"/>
    </row>
    <row r="63" spans="1:10" s="2" customFormat="1" ht="30" customHeight="1" x14ac:dyDescent="0.25">
      <c r="A63" s="92"/>
      <c r="B63" s="165" t="s">
        <v>81</v>
      </c>
      <c r="C63" s="165"/>
      <c r="D63" s="165"/>
      <c r="E63" s="165"/>
      <c r="F63" s="94"/>
      <c r="G63" s="162" t="s">
        <v>80</v>
      </c>
      <c r="H63" s="162"/>
      <c r="I63" s="162"/>
      <c r="J63" s="162"/>
    </row>
    <row r="64" spans="1:10" ht="48" customHeight="1" x14ac:dyDescent="0.25">
      <c r="B64" s="20" t="s">
        <v>73</v>
      </c>
      <c r="C64" s="11" t="s">
        <v>72</v>
      </c>
      <c r="D64" s="11" t="s">
        <v>103</v>
      </c>
      <c r="E64" s="12" t="s">
        <v>3</v>
      </c>
      <c r="F64" s="6"/>
      <c r="G64" s="90" t="s">
        <v>36</v>
      </c>
      <c r="H64" s="11" t="s">
        <v>72</v>
      </c>
      <c r="I64" s="11" t="s">
        <v>71</v>
      </c>
      <c r="J64" s="12" t="s">
        <v>3</v>
      </c>
    </row>
    <row r="65" spans="1:10" ht="30" customHeight="1" x14ac:dyDescent="0.25">
      <c r="B65" s="128" t="s">
        <v>33</v>
      </c>
      <c r="C65" s="129">
        <v>10</v>
      </c>
      <c r="D65" s="129">
        <v>10</v>
      </c>
      <c r="E65" s="130">
        <f>PersonalCare[[#This Row],[Projected 
Cost]]-PersonalCare[[#This Row],[Minimum Possible]]</f>
        <v>0</v>
      </c>
      <c r="F65" s="6"/>
      <c r="G65" s="32" t="s">
        <v>37</v>
      </c>
      <c r="H65" s="33"/>
      <c r="I65" s="33"/>
      <c r="J65" s="31">
        <f>Legal[[#This Row],[Projected 
Cost]]-Legal[[#This Row],[Actual 
Cost]]</f>
        <v>0</v>
      </c>
    </row>
    <row r="66" spans="1:10" ht="30" customHeight="1" x14ac:dyDescent="0.25">
      <c r="B66" s="119" t="s">
        <v>40</v>
      </c>
      <c r="C66" s="120">
        <v>100</v>
      </c>
      <c r="D66" s="120">
        <v>50</v>
      </c>
      <c r="E66" s="121">
        <f>PersonalCare[[#This Row],[Projected 
Cost]]-PersonalCare[[#This Row],[Minimum Possible]]</f>
        <v>50</v>
      </c>
      <c r="F66" s="6"/>
      <c r="G66" s="15" t="s">
        <v>38</v>
      </c>
      <c r="H66" s="34"/>
      <c r="I66" s="34"/>
      <c r="J66" s="16">
        <f>Legal[[#This Row],[Projected 
Cost]]-Legal[[#This Row],[Actual 
Cost]]</f>
        <v>0</v>
      </c>
    </row>
    <row r="67" spans="1:10" ht="30" customHeight="1" x14ac:dyDescent="0.25">
      <c r="B67" s="122" t="s">
        <v>41</v>
      </c>
      <c r="C67" s="123">
        <v>0</v>
      </c>
      <c r="D67" s="123"/>
      <c r="E67" s="124">
        <f>PersonalCare[[#This Row],[Projected 
Cost]]-PersonalCare[[#This Row],[Minimum Possible]]</f>
        <v>0</v>
      </c>
      <c r="F67" s="6"/>
      <c r="G67" s="15" t="s">
        <v>39</v>
      </c>
      <c r="H67" s="34"/>
      <c r="I67" s="34"/>
      <c r="J67" s="16">
        <f>Legal[[#This Row],[Projected 
Cost]]-Legal[[#This Row],[Actual 
Cost]]</f>
        <v>0</v>
      </c>
    </row>
    <row r="68" spans="1:10" ht="30" customHeight="1" x14ac:dyDescent="0.25">
      <c r="B68" s="119" t="s">
        <v>42</v>
      </c>
      <c r="C68" s="120">
        <v>35</v>
      </c>
      <c r="D68" s="120">
        <v>0</v>
      </c>
      <c r="E68" s="121">
        <f>PersonalCare[[#This Row],[Projected 
Cost]]-PersonalCare[[#This Row],[Minimum Possible]]</f>
        <v>35</v>
      </c>
      <c r="F68" s="6"/>
      <c r="G68" s="15" t="s">
        <v>12</v>
      </c>
      <c r="H68" s="34"/>
      <c r="I68" s="34"/>
      <c r="J68" s="16">
        <f>Legal[[#This Row],[Projected 
Cost]]-Legal[[#This Row],[Actual 
Cost]]</f>
        <v>0</v>
      </c>
    </row>
    <row r="69" spans="1:10" ht="30" customHeight="1" x14ac:dyDescent="0.25">
      <c r="B69" s="119" t="s">
        <v>43</v>
      </c>
      <c r="C69" s="120">
        <v>30</v>
      </c>
      <c r="D69" s="120">
        <v>0</v>
      </c>
      <c r="E69" s="121">
        <f>PersonalCare[[#This Row],[Projected 
Cost]]-PersonalCare[[#This Row],[Minimum Possible]]</f>
        <v>30</v>
      </c>
      <c r="F69" s="6"/>
      <c r="G69" s="49" t="s">
        <v>45</v>
      </c>
      <c r="H69" s="41"/>
      <c r="I69" s="41"/>
      <c r="J69" s="53">
        <f>SUBTOTAL(109,Legal[Difference])</f>
        <v>0</v>
      </c>
    </row>
    <row r="70" spans="1:10" ht="30" customHeight="1" x14ac:dyDescent="0.25">
      <c r="B70" s="15" t="s">
        <v>44</v>
      </c>
      <c r="C70" s="34">
        <v>0</v>
      </c>
      <c r="D70" s="34"/>
      <c r="E70" s="16">
        <f>PersonalCare[[#This Row],[Projected 
Cost]]-PersonalCare[[#This Row],[Minimum Possible]]</f>
        <v>0</v>
      </c>
      <c r="F70" s="6"/>
      <c r="G70" s="152"/>
      <c r="H70" s="152"/>
      <c r="I70" s="152"/>
      <c r="J70" s="152"/>
    </row>
    <row r="71" spans="1:10" ht="30" customHeight="1" x14ac:dyDescent="0.25">
      <c r="B71" s="125" t="s">
        <v>97</v>
      </c>
      <c r="C71" s="126">
        <v>62</v>
      </c>
      <c r="D71" s="126">
        <v>50</v>
      </c>
      <c r="E71" s="127">
        <f>PersonalCare[[#This Row],[Projected 
Cost]]-PersonalCare[[#This Row],[Minimum Possible]]</f>
        <v>12</v>
      </c>
      <c r="F71" s="6"/>
      <c r="G71" s="46"/>
      <c r="H71" s="46"/>
      <c r="I71" s="46"/>
      <c r="J71" s="46"/>
    </row>
    <row r="72" spans="1:10" ht="30" customHeight="1" x14ac:dyDescent="0.25">
      <c r="B72" s="51" t="s">
        <v>45</v>
      </c>
      <c r="C72" s="42"/>
      <c r="D72" s="42">
        <f>SUBTOTAL(109,PersonalCare[Minimum Possible])</f>
        <v>110</v>
      </c>
      <c r="E72" s="52">
        <f>SUBTOTAL(109,PersonalCare[Difference])</f>
        <v>127</v>
      </c>
      <c r="F72" s="6"/>
      <c r="G72" s="46"/>
      <c r="H72" s="46"/>
      <c r="I72" s="46"/>
      <c r="J72" s="46"/>
    </row>
    <row r="73" spans="1:10" ht="30" customHeight="1" x14ac:dyDescent="0.25">
      <c r="A73" s="4" t="s">
        <v>63</v>
      </c>
      <c r="B73" s="164"/>
      <c r="C73" s="164"/>
      <c r="D73" s="164"/>
      <c r="E73" s="164"/>
      <c r="F73" s="6"/>
      <c r="G73" s="153" t="s">
        <v>55</v>
      </c>
      <c r="H73" s="153"/>
      <c r="I73" s="153"/>
      <c r="J73" s="159">
        <f>SUBTOTAL(109,Housing[Projected
Cost],Transportation[Projected 
Cost],Insurance[Projected 
Cost],Food[Projected 
Cost],Pets[Projected 
Cost],PersonalCare[Projected 
Cost],Entertainment[Projected 
Cost],Loans[Projected 
Cost],Taxes[Projected 
Cost],Savings[Projected 
Cost],Gifts[Projected 
Cost],Legal[Projected 
Cost])</f>
        <v>31325.119999999999</v>
      </c>
    </row>
    <row r="74" spans="1:10" ht="30" customHeight="1" x14ac:dyDescent="0.25">
      <c r="F74" s="6"/>
      <c r="G74" s="153"/>
      <c r="H74" s="153"/>
      <c r="I74" s="153"/>
      <c r="J74" s="159"/>
    </row>
    <row r="75" spans="1:10" ht="30" customHeight="1" x14ac:dyDescent="0.25">
      <c r="F75" s="6"/>
      <c r="G75" s="154" t="s">
        <v>56</v>
      </c>
      <c r="H75" s="154"/>
      <c r="I75" s="154"/>
      <c r="J75" s="160">
        <f>SUBTOTAL(109,Housing[Actual 
Cost],Transportation[Minimum Possible],Insurance[Actual 
Cost],Food[Minimum Possible],Pets[Actual 
Cost],PersonalCare[Minimum Possible],Entertainment[Actual 
Cost],Loans[Minimum Possible],Taxes[Actual 
Cost],Savings[Actual 
Cost],Gifts[Actual 
Cost],Legal[Actual 
Cost])</f>
        <v>11013</v>
      </c>
    </row>
    <row r="76" spans="1:10" ht="30" customHeight="1" x14ac:dyDescent="0.25">
      <c r="A76" s="4" t="s">
        <v>64</v>
      </c>
      <c r="F76" s="6"/>
      <c r="G76" s="154"/>
      <c r="H76" s="154"/>
      <c r="I76" s="154"/>
      <c r="J76" s="160"/>
    </row>
    <row r="77" spans="1:10" ht="24.95" customHeight="1" x14ac:dyDescent="0.25">
      <c r="F77" s="6"/>
      <c r="G77" s="155" t="s">
        <v>57</v>
      </c>
      <c r="H77" s="155"/>
      <c r="I77" s="155"/>
      <c r="J77" s="161">
        <f>J73-J75</f>
        <v>20312.12</v>
      </c>
    </row>
    <row r="78" spans="1:10" ht="24.95" customHeight="1" x14ac:dyDescent="0.25">
      <c r="F78" s="6"/>
      <c r="G78" s="155"/>
      <c r="H78" s="155"/>
      <c r="I78" s="155"/>
      <c r="J78" s="161"/>
    </row>
    <row r="79" spans="1:10" ht="24.95" customHeight="1" x14ac:dyDescent="0.25">
      <c r="F79" s="6"/>
    </row>
    <row r="80" spans="1:10" ht="84.95" customHeight="1" x14ac:dyDescent="0.4">
      <c r="F80" s="150" t="s">
        <v>104</v>
      </c>
      <c r="G80" s="149">
        <f>SUM(E27+E38+J37)</f>
        <v>507</v>
      </c>
    </row>
    <row r="81" spans="6:6" ht="24.95" customHeight="1" x14ac:dyDescent="0.25">
      <c r="F81" s="6"/>
    </row>
  </sheetData>
  <mergeCells count="30">
    <mergeCell ref="B73:E73"/>
    <mergeCell ref="G70:J70"/>
    <mergeCell ref="G46:J46"/>
    <mergeCell ref="G77:I78"/>
    <mergeCell ref="J77:J78"/>
    <mergeCell ref="J73:J74"/>
    <mergeCell ref="J75:J76"/>
    <mergeCell ref="G75:I76"/>
    <mergeCell ref="B47:E47"/>
    <mergeCell ref="G47:J47"/>
    <mergeCell ref="B54:E54"/>
    <mergeCell ref="G54:J54"/>
    <mergeCell ref="B63:E63"/>
    <mergeCell ref="G63:J63"/>
    <mergeCell ref="B2:H2"/>
    <mergeCell ref="G38:J38"/>
    <mergeCell ref="G73:I74"/>
    <mergeCell ref="G26:J26"/>
    <mergeCell ref="E4:G5"/>
    <mergeCell ref="E6:G7"/>
    <mergeCell ref="E8:G9"/>
    <mergeCell ref="B4:C4"/>
    <mergeCell ref="B9:C9"/>
    <mergeCell ref="H4:H5"/>
    <mergeCell ref="H6:H7"/>
    <mergeCell ref="H8:H9"/>
    <mergeCell ref="B28:E28"/>
    <mergeCell ref="B39:E39"/>
    <mergeCell ref="G28:J28"/>
    <mergeCell ref="G39:J39"/>
  </mergeCells>
  <dataValidations count="12">
    <dataValidation allowBlank="1" showInputMessage="1" showErrorMessage="1" prompt="Create a Personal Monthly Budget in this worksheet. Helpful instructions on how to use this worksheet are in cells in this column. Arrow down to get started." sqref="A1" xr:uid="{535C1FB4-69DA-478A-9C24-451D9BD5B386}"/>
    <dataValidation allowBlank="1" showInputMessage="1" showErrorMessage="1" prompt="Title of this worksheet is in cell C2. Next instruction is in cell A4." sqref="A2" xr:uid="{B4FABB03-3192-4386-8C0C-14BCEBFC58A9}"/>
    <dataValidation allowBlank="1" showInputMessage="1" showErrorMessage="1" prompt="Projected Monthly Income label is in cell at right. Enter Income 1 in cell C5 and Extra Income in C6 to calculate Total monthly income in C7. Next instruction is in cell A7." sqref="A4" xr:uid="{37ECE25A-D750-4901-9936-FA0425D6DFC1}"/>
    <dataValidation allowBlank="1" showInputMessage="1" showErrorMessage="1" prompt="Projected Balance is auto calculated in cell H4, Actual Balance in H6, and Difference in H8. Next instruction is in cell A9." sqref="A7" xr:uid="{30295BAD-27FA-449C-8A78-ECFC2ACE1A2B}"/>
    <dataValidation allowBlank="1" showInputMessage="1" showErrorMessage="1" prompt="Actual Monthly Income label is in cell at right. Enter Income 1 in cell C10 and Extra Income in C11 to calculate Total monthly income in C12. Next instruction is in cell A14." sqref="A9" xr:uid="{23FC07BB-1058-4403-A6BB-F2E3DAB6391D}"/>
    <dataValidation allowBlank="1" showInputMessage="1" showErrorMessage="1" prompt="Enter details in Housing table starting in cell at right and in Entertainment table starting in cell G14. Next instruction is in cell A27." sqref="A15" xr:uid="{DCC6E90E-6B90-466F-863D-46F7DA3C4296}"/>
    <dataValidation allowBlank="1" showInputMessage="1" showErrorMessage="1" prompt="Enter details in Transportation table starting in cell at right and in Loans table starting in cell G26. Next instruction is in cell A37." sqref="A30" xr:uid="{AFC8D67D-8805-4E04-8494-156CF7945383}"/>
    <dataValidation allowBlank="1" showInputMessage="1" showErrorMessage="1" prompt="Enter details in Insurance table starting in cell at right and in Taxes table starting in cell G35. Next instruction is in cell A44." sqref="A42" xr:uid="{34699D58-6783-4DA8-AD00-EB6D5B4F4886}"/>
    <dataValidation allowBlank="1" showInputMessage="1" showErrorMessage="1" prompt="Enter details in Food table starting in cell at right and in Savings table starting in cell G42. Next instruction is in cell A50." sqref="A51" xr:uid="{E10C94B7-CAAB-4591-99E4-5A50789CA061}"/>
    <dataValidation allowBlank="1" showInputMessage="1" showErrorMessage="1" prompt="Enter details in Pets table starting in cell at right and in Gifts table starting in cell G48. Next instruction is in cell A58." sqref="A59:A65" xr:uid="{2288A180-A788-4190-A6AF-985B4E7FF023}"/>
    <dataValidation allowBlank="1" showInputMessage="1" showErrorMessage="1" prompt="Enter details in Personal Care table starting in cell at right and in Legal table starting in cell G54. Next instruction is in cell A61." sqref="A73" xr:uid="{4D40684C-D56F-4273-B2CC-5C8947747B1A}"/>
    <dataValidation allowBlank="1" showInputMessage="1" showErrorMessage="1" prompt="Total Projected Cost is auto calculated in cell J61, Total Actual Cost in J63, and Total Difference in J65." sqref="A76" xr:uid="{7663E59F-1158-4833-8ADA-EE341AD75E0A}"/>
  </dataValidations>
  <printOptions horizontalCentered="1"/>
  <pageMargins left="0.4" right="0.4" top="0.4" bottom="0.4" header="0.3" footer="0.5"/>
  <pageSetup scale="53" fitToHeight="0" orientation="portrait" copies="3" r:id="rId1"/>
  <headerFooter differentFirst="1">
    <oddFooter>Page &amp;P of &amp;N</oddFooter>
  </headerFooter>
  <ignoredErrors>
    <ignoredError sqref="J16:J24 E30:E34 J30:J35 J41:J44 E41:E44 E49:E51 J49:J51 J56:J58 J65:J68 J73:J76 E65:E71 E60 E56:E59 E36" emptyCellReference="1"/>
  </ignoredErrors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426e97fa315356fffbdcd9876fe988c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14b8f0def80e6d70ce3def20c90759a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517F70-2992-44DE-95FD-5B6D81A22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ECAD3B-EAEA-4383-94BC-FD59E091E898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3.xml><?xml version="1.0" encoding="utf-8"?>
<ds:datastoreItem xmlns:ds="http://schemas.openxmlformats.org/officeDocument/2006/customXml" ds:itemID="{A4E1FEA6-248E-4BA3-B2AF-C03B3B10D0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Personal 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2020-12-02T22:50:46Z</cp:lastPrinted>
  <dcterms:created xsi:type="dcterms:W3CDTF">2020-10-16T05:02:30Z</dcterms:created>
  <dcterms:modified xsi:type="dcterms:W3CDTF">2020-12-09T02:08:59Z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