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695" documentId="8_{62B1C78E-9124-4FF2-8E71-B9FB8372A982}" xr6:coauthVersionLast="47" xr6:coauthVersionMax="47" xr10:uidLastSave="{605D2DC4-AB7C-46C9-A5B6-3D59DB4E66E1}"/>
  <bookViews>
    <workbookView xWindow="-108" yWindow="-108" windowWidth="23256" windowHeight="12456" xr2:uid="{F2E1984D-196D-4E98-AE80-A35D68324604}"/>
  </bookViews>
  <sheets>
    <sheet name="NYC (JULY 2022)" sheetId="4" r:id="rId1"/>
    <sheet name="NYC (June 2022)" sheetId="1" r:id="rId2"/>
    <sheet name="NYC MAY 2022 " sheetId="3" r:id="rId3"/>
    <sheet name="Projected May 2023 (New Jersey)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" i="4" l="1"/>
  <c r="E33" i="4"/>
  <c r="D33" i="4"/>
  <c r="B40" i="4" s="1"/>
  <c r="C33" i="4"/>
  <c r="B41" i="1"/>
  <c r="B43" i="1"/>
  <c r="E33" i="1"/>
  <c r="C33" i="1"/>
  <c r="D33" i="1"/>
  <c r="C34" i="3"/>
  <c r="E34" i="3"/>
  <c r="D34" i="3"/>
  <c r="C35" i="2"/>
  <c r="C24" i="2"/>
  <c r="C25" i="2"/>
  <c r="C26" i="2"/>
  <c r="C27" i="2"/>
  <c r="C28" i="2"/>
  <c r="C23" i="2"/>
  <c r="C4" i="2"/>
  <c r="B39" i="2"/>
  <c r="C34" i="2"/>
</calcChain>
</file>

<file path=xl/sharedStrings.xml><?xml version="1.0" encoding="utf-8"?>
<sst xmlns="http://schemas.openxmlformats.org/spreadsheetml/2006/main" count="238" uniqueCount="106">
  <si>
    <t xml:space="preserve">Date </t>
  </si>
  <si>
    <t xml:space="preserve">Cost </t>
  </si>
  <si>
    <t>Rent</t>
  </si>
  <si>
    <t xml:space="preserve">Cambridge </t>
  </si>
  <si>
    <t xml:space="preserve">Electrictity </t>
  </si>
  <si>
    <t>Parking</t>
  </si>
  <si>
    <t>Mothers Day</t>
  </si>
  <si>
    <t>Dads Bday</t>
  </si>
  <si>
    <t xml:space="preserve">Gas </t>
  </si>
  <si>
    <t>Blinker</t>
  </si>
  <si>
    <t>Pouches</t>
  </si>
  <si>
    <t>PF</t>
  </si>
  <si>
    <t>Shorts</t>
  </si>
  <si>
    <t>Total</t>
  </si>
  <si>
    <t>Protien Powder (10 Pounds)</t>
  </si>
  <si>
    <t xml:space="preserve">Crunch Fitness Monthly </t>
  </si>
  <si>
    <t>Crunch Fitness Annual Fee</t>
  </si>
  <si>
    <t>Spent</t>
  </si>
  <si>
    <t>Cable / Internet</t>
  </si>
  <si>
    <t>Haircut 1</t>
  </si>
  <si>
    <t xml:space="preserve">Haircut 2 </t>
  </si>
  <si>
    <t xml:space="preserve">Linkedin Premium </t>
  </si>
  <si>
    <t>Mets Game (consessions)</t>
  </si>
  <si>
    <t>Subway</t>
  </si>
  <si>
    <t>Medication App /Copay</t>
  </si>
  <si>
    <t xml:space="preserve">Butcher </t>
  </si>
  <si>
    <t>Groceries Store - Week 1</t>
  </si>
  <si>
    <t>Groceries Store - Week 2</t>
  </si>
  <si>
    <t>Groceries Store - Week 3</t>
  </si>
  <si>
    <t>Groceries Store - Week 4</t>
  </si>
  <si>
    <t>Audible Sub (Audio Books)</t>
  </si>
  <si>
    <t>Amazon Prime Sub</t>
  </si>
  <si>
    <t xml:space="preserve">Spotify </t>
  </si>
  <si>
    <t xml:space="preserve">Youtube </t>
  </si>
  <si>
    <t xml:space="preserve">Comments </t>
  </si>
  <si>
    <t>April Paycheck (after tax)</t>
  </si>
  <si>
    <t xml:space="preserve">Expenses </t>
  </si>
  <si>
    <t>Overdrafted TD Acc</t>
  </si>
  <si>
    <t>This fee is charged once a year</t>
  </si>
  <si>
    <t>Monthly membership</t>
  </si>
  <si>
    <t xml:space="preserve">2 Hot Dog and Water </t>
  </si>
  <si>
    <t>In NYC</t>
  </si>
  <si>
    <t xml:space="preserve">In Enfield </t>
  </si>
  <si>
    <t>Get a discounted rate through work now</t>
  </si>
  <si>
    <t>Amazon (tolietries/household)</t>
  </si>
  <si>
    <t>This is going to be a problem - $14 to my name</t>
  </si>
  <si>
    <t xml:space="preserve">Was in enfield / Did not need to purchase </t>
  </si>
  <si>
    <t xml:space="preserve">Alani paid for my grocercies </t>
  </si>
  <si>
    <t xml:space="preserve">Can very between $75-125 each month </t>
  </si>
  <si>
    <t>You paid for 2 pairs at TJ Maxx (problem suffiently solved for now)</t>
  </si>
  <si>
    <t>2 Months Worth (Very Cost Effective Compared to Food)</t>
  </si>
  <si>
    <t>April Paycheck (after tax in NJ)</t>
  </si>
  <si>
    <t xml:space="preserve">Cost of Utilities is 61% less </t>
  </si>
  <si>
    <t xml:space="preserve">Only 5 Months Left </t>
  </si>
  <si>
    <t>Depanding the building it will be free up to $100</t>
  </si>
  <si>
    <t>Maximum Possible is $1150 (our Budget is $2300)</t>
  </si>
  <si>
    <t xml:space="preserve">I refuse to give up my 1 vice </t>
  </si>
  <si>
    <t xml:space="preserve">Monthly membership for Golds Gym </t>
  </si>
  <si>
    <t xml:space="preserve">Golds Gym Monthly </t>
  </si>
  <si>
    <t>Golds Gym Annual Fee</t>
  </si>
  <si>
    <t xml:space="preserve">Likely will be less than this. </t>
  </si>
  <si>
    <t xml:space="preserve">Barbershop in New Jersey </t>
  </si>
  <si>
    <t xml:space="preserve">No longer will need subway pass </t>
  </si>
  <si>
    <t xml:space="preserve">Cost of Food is 24% less </t>
  </si>
  <si>
    <t xml:space="preserve">Increased by 100% </t>
  </si>
  <si>
    <t>Monthly membership - Will no longer need</t>
  </si>
  <si>
    <t xml:space="preserve">Projected Costs </t>
  </si>
  <si>
    <t xml:space="preserve">1 Full Tank to get back to enfield </t>
  </si>
  <si>
    <t>Was not able to get some things I needed</t>
  </si>
  <si>
    <t>Expenses Total (Annual)</t>
  </si>
  <si>
    <t>Gas to CT/RI</t>
  </si>
  <si>
    <t>1 Full Tank to get back to enfield before RI</t>
  </si>
  <si>
    <t xml:space="preserve">Gas before leaving RI </t>
  </si>
  <si>
    <t>Alani &amp; I 6 month Dinner (Spain in RI)</t>
  </si>
  <si>
    <t>Mass Gainer Meal Replacement  (10 Pounds)</t>
  </si>
  <si>
    <t>2 Months Worth (Very Cost Effective Compared to Food | 19 Servings 1200 calories)</t>
  </si>
  <si>
    <t>Monthly membership Canceled</t>
  </si>
  <si>
    <t>1 Full Tank to get back to NYC From RI</t>
  </si>
  <si>
    <t xml:space="preserve">Canceled Parking spot </t>
  </si>
  <si>
    <t>Cut down expense by $19</t>
  </si>
  <si>
    <t>Planet Fitness</t>
  </si>
  <si>
    <t>In NJ</t>
  </si>
  <si>
    <t>Was in enfield / RI and did not need as much.</t>
  </si>
  <si>
    <t xml:space="preserve">Mass gainer meal replacement savings realized </t>
  </si>
  <si>
    <t>Mass gainer meal replacement savings realized</t>
  </si>
  <si>
    <t>May Paycheck (after tax)</t>
  </si>
  <si>
    <t>Parking Garage Hoboken (Monthly)</t>
  </si>
  <si>
    <t>Budgeted</t>
  </si>
  <si>
    <t xml:space="preserve">Expense Cut/Reduced </t>
  </si>
  <si>
    <t>Parking Garage Wall Street - One Night before RI</t>
  </si>
  <si>
    <t>Can very between $75-125 each month. This month will include (Differn Acne Gel, Priolsec, papertowels, toliet paper, tidepods)</t>
  </si>
  <si>
    <t xml:space="preserve">All shaded in Grey below non-reoccuring expenses </t>
  </si>
  <si>
    <t>Will be switching to annual plan as soon as my budget allows for it. Will reduce cost to $29 per month</t>
  </si>
  <si>
    <t>You paid for 2 pairs at TJ Maxx (problem solved)</t>
  </si>
  <si>
    <t>Application Fee for Avalon at Woodbridge</t>
  </si>
  <si>
    <t xml:space="preserve">Application was rejected </t>
  </si>
  <si>
    <t xml:space="preserve">Application Fees for Station and Lyndhurst </t>
  </si>
  <si>
    <t xml:space="preserve">Dad Paid </t>
  </si>
  <si>
    <t>Cash sent from Mom 6/23</t>
  </si>
  <si>
    <t>Cash sent from Dad 6/29</t>
  </si>
  <si>
    <t xml:space="preserve">Alani Loans </t>
  </si>
  <si>
    <t xml:space="preserve">Earned Income Defeciet </t>
  </si>
  <si>
    <t>Canceled Parking spot (2nd Month without this expenses)</t>
  </si>
  <si>
    <t>Cut down expense by $19 in June and $2 more in July</t>
  </si>
  <si>
    <t>Monthly membership Canceled (Second Month without this Expense)</t>
  </si>
  <si>
    <t>June (after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</si>
</sst>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44" fontId="0" fillId="0" borderId="0" xfId="0" applyNumberFormat="1"/>
    <xf numFmtId="49" fontId="0" fillId="0" borderId="0" xfId="0" applyNumberFormat="1"/>
    <xf numFmtId="6" fontId="0" fillId="0" borderId="0" xfId="0" applyNumberFormat="1"/>
    <xf numFmtId="44" fontId="1" fillId="2" borderId="0" xfId="1" applyNumberFormat="1"/>
    <xf numFmtId="49" fontId="3" fillId="2" borderId="0" xfId="1" applyNumberFormat="1" applyFont="1"/>
    <xf numFmtId="44" fontId="4" fillId="3" borderId="0" xfId="2" applyNumberFormat="1"/>
    <xf numFmtId="49" fontId="4" fillId="3" borderId="0" xfId="2" applyNumberFormat="1"/>
    <xf numFmtId="0" fontId="5" fillId="0" borderId="0" xfId="0" applyFont="1"/>
    <xf numFmtId="44" fontId="5" fillId="0" borderId="0" xfId="0" applyNumberFormat="1" applyFont="1"/>
    <xf numFmtId="49" fontId="6" fillId="0" borderId="0" xfId="2" applyNumberFormat="1" applyFont="1" applyFill="1"/>
    <xf numFmtId="14" fontId="6" fillId="0" borderId="0" xfId="2" applyNumberFormat="1" applyFont="1" applyFill="1"/>
    <xf numFmtId="44" fontId="6" fillId="0" borderId="0" xfId="2" applyNumberFormat="1" applyFont="1" applyFill="1"/>
    <xf numFmtId="0" fontId="6" fillId="0" borderId="0" xfId="2" applyFont="1" applyFill="1"/>
    <xf numFmtId="0" fontId="6" fillId="0" borderId="0" xfId="0" applyFont="1" applyFill="1"/>
    <xf numFmtId="49" fontId="0" fillId="4" borderId="0" xfId="0" applyNumberFormat="1" applyFill="1"/>
    <xf numFmtId="14" fontId="0" fillId="4" borderId="0" xfId="0" applyNumberFormat="1" applyFill="1"/>
    <xf numFmtId="44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14" fontId="0" fillId="5" borderId="0" xfId="0" applyNumberFormat="1" applyFill="1"/>
    <xf numFmtId="44" fontId="0" fillId="5" borderId="0" xfId="0" applyNumberFormat="1" applyFill="1"/>
    <xf numFmtId="0" fontId="0" fillId="5" borderId="0" xfId="0" applyFill="1"/>
    <xf numFmtId="49" fontId="7" fillId="6" borderId="0" xfId="3" applyNumberFormat="1"/>
    <xf numFmtId="14" fontId="7" fillId="6" borderId="0" xfId="3" applyNumberFormat="1"/>
    <xf numFmtId="44" fontId="7" fillId="6" borderId="0" xfId="3" applyNumberFormat="1"/>
    <xf numFmtId="0" fontId="7" fillId="6" borderId="0" xfId="3"/>
    <xf numFmtId="6" fontId="7" fillId="6" borderId="0" xfId="3" applyNumberFormat="1"/>
    <xf numFmtId="49" fontId="7" fillId="7" borderId="0" xfId="4" applyNumberFormat="1"/>
    <xf numFmtId="14" fontId="7" fillId="7" borderId="0" xfId="4" applyNumberFormat="1"/>
    <xf numFmtId="44" fontId="7" fillId="7" borderId="0" xfId="4" applyNumberFormat="1"/>
    <xf numFmtId="0" fontId="7" fillId="7" borderId="0" xfId="4"/>
  </cellXfs>
  <cellStyles count="5">
    <cellStyle name="20% - Accent2" xfId="3" builtinId="34"/>
    <cellStyle name="20% - Accent3" xfId="4" builtinId="38"/>
    <cellStyle name="Bad" xfId="2" builtinId="27"/>
    <cellStyle name="Good" xfId="1" builtinId="26"/>
    <cellStyle name="Normal" xfId="0" builtinId="0"/>
  </cellStyles>
  <dxfs count="37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0" formatCode="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0" formatCode="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0" formatCode="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0" formatCode="@"/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</dxfs>
  <tableStyles count="1" defaultTableStyle="TableStyleMedium2" defaultPivotStyle="PivotStyleLight16">
    <tableStyle name="Table Style 1" pivot="0" count="2" xr9:uid="{E3286226-4324-4BCE-9857-EB08DFA7D5E7}">
      <tableStyleElement type="headerRow" dxfId="36"/>
      <tableStyleElement type="firstColumn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2AF0E6-CC6C-4E70-8895-EFE4382BC597}" name="Table14" displayName="Table14" ref="A1:F33" totalsRowCount="1">
  <autoFilter ref="A1:F32" xr:uid="{8FABAF2A-A1E0-4570-AA4D-555B0BFDEB3C}"/>
  <tableColumns count="6">
    <tableColumn id="1" xr3:uid="{69D0310D-5E17-46F4-A25C-8477E1CFEB7C}" name="Expenses " totalsRowLabel="Total" dataDxfId="9" totalsRowDxfId="4"/>
    <tableColumn id="2" xr3:uid="{3E5C4D11-9189-4CE5-956C-C5B56165D3F0}" name="Date " dataDxfId="8" totalsRowDxfId="3"/>
    <tableColumn id="3" xr3:uid="{4788BAB2-CD55-4BF3-B988-A8B03C999618}" name="Budgeted" totalsRowFunction="custom" dataDxfId="7" totalsRowDxfId="2">
      <totalsRowFormula>SUM(Table14[Budgeted])</totalsRowFormula>
    </tableColumn>
    <tableColumn id="4" xr3:uid="{F8C8D56A-2967-4522-86EE-28D1B34D8BA8}" name="Cost " totalsRowFunction="custom" dataDxfId="6" totalsRowDxfId="1">
      <totalsRowFormula>SUM(Table14[[Cost ]])</totalsRowFormula>
    </tableColumn>
    <tableColumn id="7" xr3:uid="{E3152CCD-A6EE-4573-9606-617F05920D51}" name="Expense Cut/Reduced " totalsRowFunction="custom" dataDxfId="5" totalsRowDxfId="0">
      <totalsRowFormula>SUM(Table14[Expense Cut/Reduced ])</totalsRowFormula>
    </tableColumn>
    <tableColumn id="6" xr3:uid="{39C1DD87-EC7F-4F41-9587-8A4B35A4241C}" name="Comments 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BAF2A-A1E0-4570-AA4D-555B0BFDEB3C}" name="Table1" displayName="Table1" ref="A1:F33" totalsRowCount="1">
  <autoFilter ref="A1:F32" xr:uid="{8FABAF2A-A1E0-4570-AA4D-555B0BFDEB3C}"/>
  <tableColumns count="6">
    <tableColumn id="1" xr3:uid="{AB7C7A76-B4E6-4BA0-BEB2-156550AECABA}" name="Expenses " totalsRowLabel="Total" dataDxfId="34" totalsRowDxfId="14"/>
    <tableColumn id="2" xr3:uid="{FE9625FF-2EB6-4013-AAA2-2AF88270B0D9}" name="Date " dataDxfId="33" totalsRowDxfId="13"/>
    <tableColumn id="3" xr3:uid="{FECDFDDF-619A-4CA5-A1A8-0B611C6912F8}" name="Budgeted" totalsRowFunction="custom" dataDxfId="32" totalsRowDxfId="12">
      <totalsRowFormula>SUM(Table1[Budgeted])</totalsRowFormula>
    </tableColumn>
    <tableColumn id="4" xr3:uid="{A9808BB6-6E21-4DCC-B6CD-EF3AE17AD576}" name="Cost " totalsRowFunction="custom" dataDxfId="31" totalsRowDxfId="11">
      <totalsRowFormula>SUM(Table1[[Cost ]])</totalsRowFormula>
    </tableColumn>
    <tableColumn id="7" xr3:uid="{DABBA188-16B5-41EC-89E0-3F7F868FCCAD}" name="Expense Cut/Reduced " totalsRowFunction="custom" dataDxfId="30" totalsRowDxfId="10">
      <totalsRowFormula>SUM(Table1[Expense Cut/Reduced ])</totalsRowFormula>
    </tableColumn>
    <tableColumn id="6" xr3:uid="{AD374C19-F42C-4BDC-A4D5-145AB69009BF}" name="Comments 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6583F-A449-6E4D-AAA7-3CD93583DC23}" name="Table13" displayName="Table13" ref="A1:F34" totalsRowCount="1">
  <autoFilter ref="A1:F33" xr:uid="{8FABAF2A-A1E0-4570-AA4D-555B0BFDEB3C}"/>
  <tableColumns count="6">
    <tableColumn id="1" xr3:uid="{7F5660C7-D116-BD4D-B83E-A0F79F4CFF62}" name="Expenses " totalsRowLabel="Total" dataDxfId="29" totalsRowDxfId="28"/>
    <tableColumn id="2" xr3:uid="{C888EDDB-34C3-AE4B-A6CA-FEA6E1E15A18}" name="Date " dataDxfId="27" totalsRowDxfId="26"/>
    <tableColumn id="3" xr3:uid="{E6E84EA0-6ED8-3449-BD08-3B4E1D71E1F1}" name="Cost " totalsRowFunction="custom" dataDxfId="25" totalsRowDxfId="24">
      <totalsRowFormula>SUM(Table13[[Cost ]])</totalsRowFormula>
    </tableColumn>
    <tableColumn id="4" xr3:uid="{EA5E209B-9138-024A-85DD-E07876463B86}" name="Spent" totalsRowFunction="custom" dataDxfId="23" totalsRowDxfId="22">
      <totalsRowFormula>SUM(Table13[Spent])</totalsRowFormula>
    </tableColumn>
    <tableColumn id="5" xr3:uid="{D99D72A3-86E9-4943-B0FE-F2A038058562}" name="Overdrafted TD Acc" totalsRowFunction="custom" totalsRowDxfId="21">
      <totalsRowFormula>SUM(Table13[Overdrafted TD Acc])</totalsRowFormula>
    </tableColumn>
    <tableColumn id="6" xr3:uid="{6E9464E8-4CA8-D64E-89B6-51C9759784EB}" name="Comments 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6CB04E-619C-4824-B9A8-B0D8AA0E99DC}" name="Table15" displayName="Table15" ref="A1:D34" totalsRowCount="1">
  <autoFilter ref="A1:D33" xr:uid="{746CB04E-619C-4824-B9A8-B0D8AA0E99DC}"/>
  <tableColumns count="4">
    <tableColumn id="1" xr3:uid="{52FF0E46-1E45-47A5-9FDF-DA916E879BFE}" name="Expenses " totalsRowLabel="Total" dataDxfId="20" totalsRowDxfId="19"/>
    <tableColumn id="2" xr3:uid="{1126DAE2-C219-4EEA-872B-AFEC4EE5952F}" name="Date " dataDxfId="18" totalsRowDxfId="17"/>
    <tableColumn id="3" xr3:uid="{256B7946-4BD5-44B6-A086-AE79BBF119E7}" name="Projected Costs " totalsRowFunction="custom" dataDxfId="16" totalsRowDxfId="15">
      <totalsRowFormula>SUM(Table15[[Projected Costs ]])</totalsRowFormula>
    </tableColumn>
    <tableColumn id="6" xr3:uid="{C0EBF863-8EF7-42E5-9462-00002E998E27}" name="Comments 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364A-77C0-45A3-9D1B-00C1A24CFD8F}">
  <sheetPr>
    <tabColor rgb="FFFFFF00"/>
  </sheetPr>
  <dimension ref="A1:F40"/>
  <sheetViews>
    <sheetView tabSelected="1" workbookViewId="0">
      <selection activeCell="D4" sqref="D4"/>
    </sheetView>
  </sheetViews>
  <sheetFormatPr defaultRowHeight="14.4" x14ac:dyDescent="0.3"/>
  <cols>
    <col min="1" max="1" width="53.5546875" style="3" customWidth="1"/>
    <col min="2" max="2" width="11" style="1" customWidth="1"/>
    <col min="3" max="3" width="11" customWidth="1"/>
    <col min="4" max="4" width="11.33203125" style="2" bestFit="1" customWidth="1"/>
    <col min="5" max="5" width="16.33203125" style="2" customWidth="1"/>
    <col min="6" max="6" width="143.6640625" customWidth="1"/>
    <col min="10" max="10" width="9.33203125" customWidth="1"/>
  </cols>
  <sheetData>
    <row r="1" spans="1:6" x14ac:dyDescent="0.3">
      <c r="A1" s="3" t="s">
        <v>36</v>
      </c>
      <c r="B1" s="1" t="s">
        <v>0</v>
      </c>
      <c r="C1" t="s">
        <v>87</v>
      </c>
      <c r="D1" s="2" t="s">
        <v>1</v>
      </c>
      <c r="E1" s="2" t="s">
        <v>88</v>
      </c>
      <c r="F1" t="s">
        <v>34</v>
      </c>
    </row>
    <row r="2" spans="1:6" s="15" customFormat="1" x14ac:dyDescent="0.3">
      <c r="A2" s="11" t="s">
        <v>2</v>
      </c>
      <c r="B2" s="12">
        <v>44743</v>
      </c>
      <c r="C2" s="13">
        <v>1575</v>
      </c>
      <c r="D2" s="13">
        <v>1575</v>
      </c>
      <c r="E2" s="13"/>
      <c r="F2" s="14"/>
    </row>
    <row r="3" spans="1:6" x14ac:dyDescent="0.3">
      <c r="A3" s="3" t="s">
        <v>3</v>
      </c>
      <c r="B3" s="1">
        <v>44743</v>
      </c>
      <c r="C3" s="2">
        <v>1149</v>
      </c>
      <c r="D3" s="2">
        <v>1149</v>
      </c>
    </row>
    <row r="4" spans="1:6" s="14" customFormat="1" x14ac:dyDescent="0.3">
      <c r="A4" s="11" t="s">
        <v>4</v>
      </c>
      <c r="B4" s="12">
        <v>44740</v>
      </c>
      <c r="C4" s="13">
        <v>416</v>
      </c>
      <c r="D4" s="13">
        <v>416</v>
      </c>
      <c r="E4" s="13"/>
    </row>
    <row r="5" spans="1:6" s="27" customFormat="1" x14ac:dyDescent="0.3">
      <c r="A5" s="24" t="s">
        <v>86</v>
      </c>
      <c r="B5" s="25">
        <v>44743</v>
      </c>
      <c r="C5" s="26">
        <v>285</v>
      </c>
      <c r="D5" s="26">
        <v>0</v>
      </c>
      <c r="E5" s="26">
        <v>285</v>
      </c>
      <c r="F5" s="27" t="s">
        <v>102</v>
      </c>
    </row>
    <row r="6" spans="1:6" x14ac:dyDescent="0.3">
      <c r="A6" s="16" t="s">
        <v>10</v>
      </c>
      <c r="B6" s="17">
        <v>44743</v>
      </c>
      <c r="C6" s="18">
        <v>100</v>
      </c>
      <c r="D6" s="18">
        <v>60</v>
      </c>
      <c r="E6" s="18">
        <v>21</v>
      </c>
      <c r="F6" s="19" t="s">
        <v>103</v>
      </c>
    </row>
    <row r="7" spans="1:6" s="27" customFormat="1" x14ac:dyDescent="0.3">
      <c r="A7" s="24" t="s">
        <v>15</v>
      </c>
      <c r="B7" s="25">
        <v>44743</v>
      </c>
      <c r="C7" s="28">
        <v>109</v>
      </c>
      <c r="D7" s="26">
        <v>0</v>
      </c>
      <c r="E7" s="26">
        <v>109</v>
      </c>
      <c r="F7" s="27" t="s">
        <v>104</v>
      </c>
    </row>
    <row r="8" spans="1:6" x14ac:dyDescent="0.3">
      <c r="A8" s="3" t="s">
        <v>80</v>
      </c>
      <c r="B8" s="1">
        <v>44759</v>
      </c>
      <c r="C8" s="2">
        <v>24</v>
      </c>
      <c r="D8" s="2">
        <v>0</v>
      </c>
      <c r="F8" t="s">
        <v>39</v>
      </c>
    </row>
    <row r="9" spans="1:6" x14ac:dyDescent="0.3">
      <c r="A9" s="3" t="s">
        <v>21</v>
      </c>
      <c r="B9" s="1">
        <v>44743</v>
      </c>
      <c r="C9" s="2">
        <v>39</v>
      </c>
      <c r="D9" s="2">
        <v>39</v>
      </c>
      <c r="F9" t="s">
        <v>92</v>
      </c>
    </row>
    <row r="10" spans="1:6" s="19" customFormat="1" x14ac:dyDescent="0.3">
      <c r="A10" s="3" t="s">
        <v>18</v>
      </c>
      <c r="B10" s="1">
        <v>44757</v>
      </c>
      <c r="C10" s="2">
        <v>64</v>
      </c>
      <c r="D10" s="2">
        <v>64</v>
      </c>
      <c r="E10" s="2"/>
      <c r="F10"/>
    </row>
    <row r="11" spans="1:6" x14ac:dyDescent="0.3">
      <c r="A11" s="3" t="s">
        <v>19</v>
      </c>
      <c r="B11" s="1">
        <v>44743</v>
      </c>
      <c r="C11" s="2">
        <v>71</v>
      </c>
      <c r="D11" s="2">
        <v>71</v>
      </c>
      <c r="F11" t="s">
        <v>41</v>
      </c>
    </row>
    <row r="12" spans="1:6" x14ac:dyDescent="0.3">
      <c r="A12" s="3" t="s">
        <v>20</v>
      </c>
      <c r="B12" s="1">
        <v>44758</v>
      </c>
      <c r="C12" s="2">
        <v>71</v>
      </c>
      <c r="D12" s="2">
        <v>51</v>
      </c>
      <c r="F12" t="s">
        <v>81</v>
      </c>
    </row>
    <row r="13" spans="1:6" x14ac:dyDescent="0.3">
      <c r="A13" s="3" t="s">
        <v>23</v>
      </c>
      <c r="B13" s="1">
        <v>44743</v>
      </c>
      <c r="C13" s="2">
        <v>102</v>
      </c>
      <c r="D13" s="2">
        <v>102</v>
      </c>
      <c r="F13" t="s">
        <v>43</v>
      </c>
    </row>
    <row r="14" spans="1:6" x14ac:dyDescent="0.3">
      <c r="A14" s="3" t="s">
        <v>24</v>
      </c>
      <c r="B14" s="1">
        <v>44754</v>
      </c>
      <c r="C14" s="2">
        <v>14</v>
      </c>
      <c r="D14" s="2">
        <v>14</v>
      </c>
    </row>
    <row r="15" spans="1:6" s="23" customFormat="1" x14ac:dyDescent="0.3">
      <c r="A15" s="20" t="s">
        <v>25</v>
      </c>
      <c r="B15" s="21">
        <v>44744</v>
      </c>
      <c r="C15" s="22">
        <v>200</v>
      </c>
      <c r="D15" s="22">
        <v>202</v>
      </c>
      <c r="E15" s="22">
        <v>48</v>
      </c>
      <c r="F15" s="23" t="s">
        <v>83</v>
      </c>
    </row>
    <row r="16" spans="1:6" x14ac:dyDescent="0.3">
      <c r="A16" s="3" t="s">
        <v>25</v>
      </c>
      <c r="B16" s="1">
        <v>44763</v>
      </c>
      <c r="C16" s="2">
        <v>200</v>
      </c>
      <c r="D16" s="2">
        <v>221</v>
      </c>
    </row>
    <row r="17" spans="1:6" s="23" customFormat="1" x14ac:dyDescent="0.3">
      <c r="A17" s="20" t="s">
        <v>26</v>
      </c>
      <c r="B17" s="21">
        <v>44743</v>
      </c>
      <c r="C17" s="22">
        <v>200</v>
      </c>
      <c r="D17" s="22">
        <v>194</v>
      </c>
      <c r="E17" s="22">
        <v>64</v>
      </c>
      <c r="F17" s="23" t="s">
        <v>84</v>
      </c>
    </row>
    <row r="18" spans="1:6" x14ac:dyDescent="0.3">
      <c r="A18" s="3" t="s">
        <v>27</v>
      </c>
      <c r="B18" s="1">
        <v>44750</v>
      </c>
      <c r="C18" s="2">
        <v>200</v>
      </c>
      <c r="D18" s="2">
        <v>97</v>
      </c>
      <c r="F18" t="s">
        <v>82</v>
      </c>
    </row>
    <row r="19" spans="1:6" x14ac:dyDescent="0.3">
      <c r="A19" s="3" t="s">
        <v>28</v>
      </c>
      <c r="B19" s="1">
        <v>44758</v>
      </c>
      <c r="C19" s="2">
        <v>200</v>
      </c>
      <c r="D19" s="2">
        <v>198</v>
      </c>
    </row>
    <row r="20" spans="1:6" x14ac:dyDescent="0.3">
      <c r="A20" s="3" t="s">
        <v>29</v>
      </c>
      <c r="B20" s="1">
        <v>44766</v>
      </c>
      <c r="C20" s="2">
        <v>200</v>
      </c>
      <c r="D20" s="2">
        <v>184</v>
      </c>
    </row>
    <row r="21" spans="1:6" x14ac:dyDescent="0.3">
      <c r="A21" s="3" t="s">
        <v>31</v>
      </c>
      <c r="B21" s="1">
        <v>44749</v>
      </c>
      <c r="C21" s="2">
        <v>18</v>
      </c>
      <c r="D21" s="2">
        <v>18</v>
      </c>
    </row>
    <row r="22" spans="1:6" x14ac:dyDescent="0.3">
      <c r="A22" s="3" t="s">
        <v>30</v>
      </c>
      <c r="B22" s="1">
        <v>44749</v>
      </c>
      <c r="C22" s="2">
        <v>15</v>
      </c>
      <c r="D22" s="2">
        <v>15</v>
      </c>
    </row>
    <row r="23" spans="1:6" x14ac:dyDescent="0.3">
      <c r="A23" s="3" t="s">
        <v>44</v>
      </c>
      <c r="B23" s="1">
        <v>44767</v>
      </c>
      <c r="C23" s="2">
        <v>100</v>
      </c>
      <c r="D23" s="2">
        <v>95</v>
      </c>
      <c r="F23" t="s">
        <v>90</v>
      </c>
    </row>
    <row r="24" spans="1:6" x14ac:dyDescent="0.3">
      <c r="A24" s="3" t="s">
        <v>32</v>
      </c>
      <c r="B24" s="1">
        <v>44763</v>
      </c>
      <c r="C24" s="2">
        <v>12</v>
      </c>
      <c r="D24" s="2">
        <v>12</v>
      </c>
    </row>
    <row r="25" spans="1:6" x14ac:dyDescent="0.3">
      <c r="A25" s="3" t="s">
        <v>33</v>
      </c>
      <c r="B25" s="1">
        <v>44759</v>
      </c>
      <c r="C25" s="2">
        <v>17</v>
      </c>
      <c r="D25" s="2">
        <v>17</v>
      </c>
    </row>
    <row r="26" spans="1:6" x14ac:dyDescent="0.3">
      <c r="A26" s="29" t="s">
        <v>89</v>
      </c>
      <c r="B26" s="30">
        <v>44750</v>
      </c>
      <c r="C26" s="31">
        <v>48</v>
      </c>
      <c r="D26" s="31">
        <v>48</v>
      </c>
      <c r="E26" s="31"/>
      <c r="F26" s="32" t="s">
        <v>91</v>
      </c>
    </row>
    <row r="27" spans="1:6" x14ac:dyDescent="0.3">
      <c r="A27" s="29" t="s">
        <v>73</v>
      </c>
      <c r="B27" s="30">
        <v>44753</v>
      </c>
      <c r="C27" s="31">
        <v>120</v>
      </c>
      <c r="D27" s="31">
        <v>120</v>
      </c>
      <c r="E27" s="31"/>
      <c r="F27" s="32"/>
    </row>
    <row r="28" spans="1:6" x14ac:dyDescent="0.3">
      <c r="A28" s="29" t="s">
        <v>70</v>
      </c>
      <c r="B28" s="30">
        <v>44750</v>
      </c>
      <c r="C28" s="31">
        <v>81</v>
      </c>
      <c r="D28" s="31">
        <v>81</v>
      </c>
      <c r="E28" s="31"/>
      <c r="F28" s="32" t="s">
        <v>71</v>
      </c>
    </row>
    <row r="29" spans="1:6" x14ac:dyDescent="0.3">
      <c r="A29" s="29" t="s">
        <v>96</v>
      </c>
      <c r="B29" s="30">
        <v>44771</v>
      </c>
      <c r="C29" s="31">
        <v>450</v>
      </c>
      <c r="D29" s="31">
        <v>450</v>
      </c>
      <c r="E29" s="31"/>
      <c r="F29" s="32" t="s">
        <v>97</v>
      </c>
    </row>
    <row r="30" spans="1:6" x14ac:dyDescent="0.3">
      <c r="A30" s="29" t="s">
        <v>94</v>
      </c>
      <c r="B30" s="30">
        <v>44765</v>
      </c>
      <c r="C30" s="31">
        <v>495</v>
      </c>
      <c r="D30" s="31">
        <v>495</v>
      </c>
      <c r="E30" s="31"/>
      <c r="F30" s="32" t="s">
        <v>95</v>
      </c>
    </row>
    <row r="31" spans="1:6" x14ac:dyDescent="0.3">
      <c r="A31" s="29" t="s">
        <v>74</v>
      </c>
      <c r="B31" s="30">
        <v>44743</v>
      </c>
      <c r="C31" s="31">
        <v>49</v>
      </c>
      <c r="D31" s="31">
        <v>49</v>
      </c>
      <c r="E31" s="31"/>
      <c r="F31" s="32" t="s">
        <v>75</v>
      </c>
    </row>
    <row r="32" spans="1:6" x14ac:dyDescent="0.3">
      <c r="A32" s="29" t="s">
        <v>72</v>
      </c>
      <c r="B32" s="30">
        <v>44754</v>
      </c>
      <c r="C32" s="31">
        <v>71</v>
      </c>
      <c r="D32" s="31">
        <v>71</v>
      </c>
      <c r="E32" s="31"/>
      <c r="F32" s="32" t="s">
        <v>77</v>
      </c>
    </row>
    <row r="33" spans="1:5" x14ac:dyDescent="0.3">
      <c r="A33" s="3" t="s">
        <v>13</v>
      </c>
      <c r="C33" s="2">
        <f>SUM(Table14[Budgeted])</f>
        <v>6695</v>
      </c>
      <c r="D33" s="2">
        <f>SUM(Table14[[Cost ]])</f>
        <v>6108</v>
      </c>
      <c r="E33" s="2">
        <f>SUM(Table14[Expense Cut/Reduced ])</f>
        <v>527</v>
      </c>
    </row>
    <row r="34" spans="1:5" x14ac:dyDescent="0.3">
      <c r="C34" s="2"/>
    </row>
    <row r="37" spans="1:5" x14ac:dyDescent="0.3">
      <c r="A37" s="6" t="s">
        <v>105</v>
      </c>
      <c r="B37" s="5">
        <v>2921</v>
      </c>
    </row>
    <row r="38" spans="1:5" x14ac:dyDescent="0.3">
      <c r="A38" s="6" t="s">
        <v>13</v>
      </c>
      <c r="B38" s="5">
        <f>SUM(B37:B37)</f>
        <v>2921</v>
      </c>
    </row>
    <row r="40" spans="1:5" x14ac:dyDescent="0.3">
      <c r="A40" s="8" t="s">
        <v>101</v>
      </c>
      <c r="B40" s="7">
        <f>Table14[[#Totals],[Cost ]]-B37</f>
        <v>3187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3D05-2408-499C-A478-42D30DA4E613}">
  <sheetPr>
    <tabColor rgb="FFFFFF00"/>
  </sheetPr>
  <dimension ref="A1:F43"/>
  <sheetViews>
    <sheetView topLeftCell="A23" workbookViewId="0">
      <selection activeCell="B42" sqref="B42"/>
    </sheetView>
  </sheetViews>
  <sheetFormatPr defaultRowHeight="14.4" x14ac:dyDescent="0.3"/>
  <cols>
    <col min="1" max="1" width="53.5546875" style="3" customWidth="1"/>
    <col min="2" max="2" width="11" style="1" customWidth="1"/>
    <col min="3" max="3" width="11" customWidth="1"/>
    <col min="4" max="4" width="11.33203125" style="2" bestFit="1" customWidth="1"/>
    <col min="5" max="5" width="16.33203125" style="2" customWidth="1"/>
    <col min="6" max="6" width="143.6640625" customWidth="1"/>
    <col min="10" max="10" width="9.33203125" customWidth="1"/>
  </cols>
  <sheetData>
    <row r="1" spans="1:6" x14ac:dyDescent="0.3">
      <c r="A1" s="3" t="s">
        <v>36</v>
      </c>
      <c r="B1" s="1" t="s">
        <v>0</v>
      </c>
      <c r="C1" t="s">
        <v>87</v>
      </c>
      <c r="D1" s="2" t="s">
        <v>1</v>
      </c>
      <c r="E1" s="2" t="s">
        <v>88</v>
      </c>
      <c r="F1" t="s">
        <v>34</v>
      </c>
    </row>
    <row r="2" spans="1:6" s="15" customFormat="1" x14ac:dyDescent="0.3">
      <c r="A2" s="11" t="s">
        <v>2</v>
      </c>
      <c r="B2" s="12">
        <v>44713</v>
      </c>
      <c r="C2" s="13">
        <v>1575</v>
      </c>
      <c r="D2" s="13">
        <v>1575</v>
      </c>
      <c r="E2" s="13"/>
      <c r="F2" s="14"/>
    </row>
    <row r="3" spans="1:6" x14ac:dyDescent="0.3">
      <c r="A3" s="3" t="s">
        <v>3</v>
      </c>
      <c r="B3" s="1">
        <v>44713</v>
      </c>
      <c r="C3" s="2">
        <v>1149</v>
      </c>
      <c r="D3" s="2">
        <v>1149</v>
      </c>
    </row>
    <row r="4" spans="1:6" s="14" customFormat="1" x14ac:dyDescent="0.3">
      <c r="A4" s="11" t="s">
        <v>4</v>
      </c>
      <c r="B4" s="12">
        <v>44709</v>
      </c>
      <c r="C4" s="13">
        <v>416</v>
      </c>
      <c r="D4" s="13">
        <v>416</v>
      </c>
      <c r="E4" s="13"/>
    </row>
    <row r="5" spans="1:6" s="27" customFormat="1" x14ac:dyDescent="0.3">
      <c r="A5" s="24" t="s">
        <v>86</v>
      </c>
      <c r="B5" s="25">
        <v>44713</v>
      </c>
      <c r="C5" s="26">
        <v>285</v>
      </c>
      <c r="D5" s="26">
        <v>0</v>
      </c>
      <c r="E5" s="26">
        <v>285</v>
      </c>
      <c r="F5" s="27" t="s">
        <v>78</v>
      </c>
    </row>
    <row r="6" spans="1:6" x14ac:dyDescent="0.3">
      <c r="A6" s="16" t="s">
        <v>10</v>
      </c>
      <c r="B6" s="17">
        <v>44713</v>
      </c>
      <c r="C6" s="18">
        <v>100</v>
      </c>
      <c r="D6" s="18">
        <v>62</v>
      </c>
      <c r="E6" s="18">
        <v>19</v>
      </c>
      <c r="F6" s="19" t="s">
        <v>79</v>
      </c>
    </row>
    <row r="7" spans="1:6" s="27" customFormat="1" x14ac:dyDescent="0.3">
      <c r="A7" s="24" t="s">
        <v>15</v>
      </c>
      <c r="B7" s="25">
        <v>44713</v>
      </c>
      <c r="C7" s="28">
        <v>109</v>
      </c>
      <c r="D7" s="26">
        <v>0</v>
      </c>
      <c r="E7" s="26">
        <v>109</v>
      </c>
      <c r="F7" s="27" t="s">
        <v>76</v>
      </c>
    </row>
    <row r="8" spans="1:6" x14ac:dyDescent="0.3">
      <c r="A8" s="3" t="s">
        <v>80</v>
      </c>
      <c r="B8" s="1">
        <v>44729</v>
      </c>
      <c r="C8" s="2">
        <v>24</v>
      </c>
      <c r="D8" s="2">
        <v>0</v>
      </c>
      <c r="F8" t="s">
        <v>39</v>
      </c>
    </row>
    <row r="9" spans="1:6" x14ac:dyDescent="0.3">
      <c r="A9" s="3" t="s">
        <v>21</v>
      </c>
      <c r="B9" s="1">
        <v>44713</v>
      </c>
      <c r="C9" s="2">
        <v>39</v>
      </c>
      <c r="D9" s="2">
        <v>39</v>
      </c>
      <c r="F9" t="s">
        <v>92</v>
      </c>
    </row>
    <row r="10" spans="1:6" s="19" customFormat="1" x14ac:dyDescent="0.3">
      <c r="A10" s="3" t="s">
        <v>18</v>
      </c>
      <c r="B10" s="1">
        <v>44727</v>
      </c>
      <c r="C10" s="2">
        <v>64</v>
      </c>
      <c r="D10" s="2">
        <v>64</v>
      </c>
      <c r="E10" s="2"/>
      <c r="F10"/>
    </row>
    <row r="11" spans="1:6" x14ac:dyDescent="0.3">
      <c r="A11" s="3" t="s">
        <v>19</v>
      </c>
      <c r="B11" s="1">
        <v>44713</v>
      </c>
      <c r="C11" s="2">
        <v>71</v>
      </c>
      <c r="D11" s="2">
        <v>71</v>
      </c>
      <c r="F11" t="s">
        <v>41</v>
      </c>
    </row>
    <row r="12" spans="1:6" x14ac:dyDescent="0.3">
      <c r="A12" s="3" t="s">
        <v>20</v>
      </c>
      <c r="B12" s="1">
        <v>44728</v>
      </c>
      <c r="C12" s="2">
        <v>71</v>
      </c>
      <c r="D12" s="2">
        <v>51</v>
      </c>
      <c r="F12" t="s">
        <v>81</v>
      </c>
    </row>
    <row r="13" spans="1:6" x14ac:dyDescent="0.3">
      <c r="A13" s="3" t="s">
        <v>23</v>
      </c>
      <c r="B13" s="1">
        <v>44713</v>
      </c>
      <c r="C13" s="2">
        <v>102</v>
      </c>
      <c r="D13" s="2">
        <v>102</v>
      </c>
      <c r="F13" t="s">
        <v>43</v>
      </c>
    </row>
    <row r="14" spans="1:6" x14ac:dyDescent="0.3">
      <c r="A14" s="3" t="s">
        <v>24</v>
      </c>
      <c r="B14" s="1">
        <v>44724</v>
      </c>
      <c r="C14" s="2">
        <v>14</v>
      </c>
      <c r="D14" s="2">
        <v>14</v>
      </c>
    </row>
    <row r="15" spans="1:6" s="23" customFormat="1" x14ac:dyDescent="0.3">
      <c r="A15" s="20" t="s">
        <v>25</v>
      </c>
      <c r="B15" s="21">
        <v>44714</v>
      </c>
      <c r="C15" s="22">
        <v>200</v>
      </c>
      <c r="D15" s="22">
        <v>202</v>
      </c>
      <c r="E15" s="22">
        <v>48</v>
      </c>
      <c r="F15" s="23" t="s">
        <v>83</v>
      </c>
    </row>
    <row r="16" spans="1:6" x14ac:dyDescent="0.3">
      <c r="A16" s="3" t="s">
        <v>25</v>
      </c>
      <c r="B16" s="1">
        <v>44733</v>
      </c>
      <c r="C16" s="2">
        <v>200</v>
      </c>
      <c r="D16" s="2">
        <v>221</v>
      </c>
    </row>
    <row r="17" spans="1:6" s="23" customFormat="1" x14ac:dyDescent="0.3">
      <c r="A17" s="20" t="s">
        <v>26</v>
      </c>
      <c r="B17" s="21">
        <v>44713</v>
      </c>
      <c r="C17" s="22">
        <v>200</v>
      </c>
      <c r="D17" s="22">
        <v>194</v>
      </c>
      <c r="E17" s="22">
        <v>64</v>
      </c>
      <c r="F17" s="23" t="s">
        <v>84</v>
      </c>
    </row>
    <row r="18" spans="1:6" x14ac:dyDescent="0.3">
      <c r="A18" s="3" t="s">
        <v>27</v>
      </c>
      <c r="B18" s="1">
        <v>44720</v>
      </c>
      <c r="C18" s="2">
        <v>200</v>
      </c>
      <c r="D18" s="2">
        <v>97</v>
      </c>
      <c r="F18" t="s">
        <v>82</v>
      </c>
    </row>
    <row r="19" spans="1:6" x14ac:dyDescent="0.3">
      <c r="A19" s="3" t="s">
        <v>28</v>
      </c>
      <c r="B19" s="1">
        <v>44728</v>
      </c>
      <c r="C19" s="2">
        <v>200</v>
      </c>
      <c r="D19" s="2">
        <v>198</v>
      </c>
    </row>
    <row r="20" spans="1:6" x14ac:dyDescent="0.3">
      <c r="A20" s="3" t="s">
        <v>29</v>
      </c>
      <c r="B20" s="1">
        <v>44736</v>
      </c>
      <c r="C20" s="2">
        <v>200</v>
      </c>
      <c r="D20" s="2">
        <v>184</v>
      </c>
    </row>
    <row r="21" spans="1:6" x14ac:dyDescent="0.3">
      <c r="A21" s="3" t="s">
        <v>31</v>
      </c>
      <c r="B21" s="1">
        <v>44719</v>
      </c>
      <c r="C21" s="2">
        <v>18</v>
      </c>
      <c r="D21" s="2">
        <v>18</v>
      </c>
    </row>
    <row r="22" spans="1:6" x14ac:dyDescent="0.3">
      <c r="A22" s="3" t="s">
        <v>30</v>
      </c>
      <c r="B22" s="1">
        <v>44719</v>
      </c>
      <c r="C22" s="2">
        <v>15</v>
      </c>
      <c r="D22" s="2">
        <v>15</v>
      </c>
    </row>
    <row r="23" spans="1:6" x14ac:dyDescent="0.3">
      <c r="A23" s="3" t="s">
        <v>44</v>
      </c>
      <c r="B23" s="1">
        <v>44737</v>
      </c>
      <c r="C23" s="2">
        <v>100</v>
      </c>
      <c r="D23" s="2">
        <v>95</v>
      </c>
      <c r="F23" t="s">
        <v>90</v>
      </c>
    </row>
    <row r="24" spans="1:6" x14ac:dyDescent="0.3">
      <c r="A24" s="3" t="s">
        <v>32</v>
      </c>
      <c r="B24" s="1">
        <v>44733</v>
      </c>
      <c r="C24" s="2">
        <v>12</v>
      </c>
      <c r="D24" s="2">
        <v>12</v>
      </c>
    </row>
    <row r="25" spans="1:6" x14ac:dyDescent="0.3">
      <c r="A25" s="3" t="s">
        <v>33</v>
      </c>
      <c r="B25" s="1">
        <v>44729</v>
      </c>
      <c r="C25" s="2">
        <v>17</v>
      </c>
      <c r="D25" s="2">
        <v>17</v>
      </c>
    </row>
    <row r="26" spans="1:6" x14ac:dyDescent="0.3">
      <c r="A26" s="29" t="s">
        <v>89</v>
      </c>
      <c r="B26" s="30">
        <v>44720</v>
      </c>
      <c r="C26" s="31">
        <v>48</v>
      </c>
      <c r="D26" s="31">
        <v>48</v>
      </c>
      <c r="E26" s="31"/>
      <c r="F26" s="32" t="s">
        <v>91</v>
      </c>
    </row>
    <row r="27" spans="1:6" x14ac:dyDescent="0.3">
      <c r="A27" s="29" t="s">
        <v>73</v>
      </c>
      <c r="B27" s="30">
        <v>44723</v>
      </c>
      <c r="C27" s="31">
        <v>120</v>
      </c>
      <c r="D27" s="31">
        <v>120</v>
      </c>
      <c r="E27" s="31"/>
      <c r="F27" s="32"/>
    </row>
    <row r="28" spans="1:6" x14ac:dyDescent="0.3">
      <c r="A28" s="29" t="s">
        <v>70</v>
      </c>
      <c r="B28" s="30">
        <v>44720</v>
      </c>
      <c r="C28" s="31">
        <v>81</v>
      </c>
      <c r="D28" s="31">
        <v>81</v>
      </c>
      <c r="E28" s="31"/>
      <c r="F28" s="32" t="s">
        <v>71</v>
      </c>
    </row>
    <row r="29" spans="1:6" x14ac:dyDescent="0.3">
      <c r="A29" s="29" t="s">
        <v>96</v>
      </c>
      <c r="B29" s="30">
        <v>44741</v>
      </c>
      <c r="C29" s="31">
        <v>450</v>
      </c>
      <c r="D29" s="31">
        <v>450</v>
      </c>
      <c r="E29" s="31"/>
      <c r="F29" s="32" t="s">
        <v>97</v>
      </c>
    </row>
    <row r="30" spans="1:6" x14ac:dyDescent="0.3">
      <c r="A30" s="29" t="s">
        <v>94</v>
      </c>
      <c r="B30" s="30">
        <v>44735</v>
      </c>
      <c r="C30" s="31">
        <v>495</v>
      </c>
      <c r="D30" s="31">
        <v>495</v>
      </c>
      <c r="E30" s="31"/>
      <c r="F30" s="32" t="s">
        <v>95</v>
      </c>
    </row>
    <row r="31" spans="1:6" x14ac:dyDescent="0.3">
      <c r="A31" s="29" t="s">
        <v>74</v>
      </c>
      <c r="B31" s="30">
        <v>44713</v>
      </c>
      <c r="C31" s="31">
        <v>49</v>
      </c>
      <c r="D31" s="31">
        <v>49</v>
      </c>
      <c r="E31" s="31"/>
      <c r="F31" s="32" t="s">
        <v>75</v>
      </c>
    </row>
    <row r="32" spans="1:6" x14ac:dyDescent="0.3">
      <c r="A32" s="29" t="s">
        <v>72</v>
      </c>
      <c r="B32" s="30">
        <v>44724</v>
      </c>
      <c r="C32" s="31">
        <v>71</v>
      </c>
      <c r="D32" s="31">
        <v>71</v>
      </c>
      <c r="E32" s="31"/>
      <c r="F32" s="32" t="s">
        <v>77</v>
      </c>
    </row>
    <row r="33" spans="1:5" x14ac:dyDescent="0.3">
      <c r="A33" s="3" t="s">
        <v>13</v>
      </c>
      <c r="C33" s="2">
        <f>SUM(Table1[Budgeted])</f>
        <v>6695</v>
      </c>
      <c r="D33" s="2">
        <f>SUM(Table1[[Cost ]])</f>
        <v>6110</v>
      </c>
      <c r="E33" s="2">
        <f>SUM(Table1[Expense Cut/Reduced ])</f>
        <v>525</v>
      </c>
    </row>
    <row r="34" spans="1:5" x14ac:dyDescent="0.3">
      <c r="C34" s="2"/>
    </row>
    <row r="37" spans="1:5" x14ac:dyDescent="0.3">
      <c r="A37" s="6" t="s">
        <v>85</v>
      </c>
      <c r="B37" s="5">
        <v>4371</v>
      </c>
    </row>
    <row r="38" spans="1:5" x14ac:dyDescent="0.3">
      <c r="A38" s="6" t="s">
        <v>98</v>
      </c>
      <c r="B38" s="5">
        <v>300</v>
      </c>
    </row>
    <row r="39" spans="1:5" x14ac:dyDescent="0.3">
      <c r="A39" s="6" t="s">
        <v>99</v>
      </c>
      <c r="B39" s="5">
        <v>450</v>
      </c>
    </row>
    <row r="40" spans="1:5" x14ac:dyDescent="0.3">
      <c r="A40" s="6" t="s">
        <v>100</v>
      </c>
      <c r="B40" s="5">
        <v>1000</v>
      </c>
    </row>
    <row r="41" spans="1:5" x14ac:dyDescent="0.3">
      <c r="A41" s="6" t="s">
        <v>13</v>
      </c>
      <c r="B41" s="5">
        <f>SUM(B37:B40)</f>
        <v>6121</v>
      </c>
    </row>
    <row r="43" spans="1:5" x14ac:dyDescent="0.3">
      <c r="A43" s="8" t="s">
        <v>101</v>
      </c>
      <c r="B43" s="7">
        <f>Table1[[#Totals],[Cost ]]-B37</f>
        <v>1739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9D55-3519-9043-B018-29766CE6E05F}">
  <sheetPr>
    <tabColor rgb="FFFFC000"/>
  </sheetPr>
  <dimension ref="A1:F38"/>
  <sheetViews>
    <sheetView topLeftCell="A13" workbookViewId="0">
      <selection activeCell="F49" sqref="F49"/>
    </sheetView>
  </sheetViews>
  <sheetFormatPr defaultRowHeight="14.4" x14ac:dyDescent="0.3"/>
  <cols>
    <col min="1" max="1" width="28.33203125" style="3" customWidth="1"/>
    <col min="2" max="2" width="11" style="1" customWidth="1"/>
    <col min="3" max="3" width="11" customWidth="1"/>
    <col min="4" max="4" width="10.6640625" style="2" bestFit="1" customWidth="1"/>
    <col min="5" max="5" width="17.88671875" hidden="1" customWidth="1"/>
    <col min="6" max="6" width="58.88671875" customWidth="1"/>
    <col min="7" max="9" width="8.5546875" bestFit="1" customWidth="1"/>
    <col min="10" max="10" width="9.33203125" customWidth="1"/>
  </cols>
  <sheetData>
    <row r="1" spans="1:6" x14ac:dyDescent="0.3">
      <c r="A1" s="3" t="s">
        <v>36</v>
      </c>
      <c r="B1" s="1" t="s">
        <v>0</v>
      </c>
      <c r="C1" t="s">
        <v>1</v>
      </c>
      <c r="D1" s="2" t="s">
        <v>17</v>
      </c>
      <c r="E1" t="s">
        <v>37</v>
      </c>
      <c r="F1" t="s">
        <v>34</v>
      </c>
    </row>
    <row r="2" spans="1:6" x14ac:dyDescent="0.3">
      <c r="A2" t="s">
        <v>2</v>
      </c>
      <c r="B2" s="1">
        <v>44682</v>
      </c>
      <c r="C2" s="2">
        <v>1575</v>
      </c>
      <c r="D2" s="2">
        <v>1575</v>
      </c>
    </row>
    <row r="3" spans="1:6" x14ac:dyDescent="0.3">
      <c r="A3" s="3" t="s">
        <v>3</v>
      </c>
      <c r="B3" s="1">
        <v>44682</v>
      </c>
      <c r="C3" s="2">
        <v>1149</v>
      </c>
      <c r="D3" s="2">
        <v>1149</v>
      </c>
      <c r="E3" s="2">
        <v>0</v>
      </c>
    </row>
    <row r="4" spans="1:6" x14ac:dyDescent="0.3">
      <c r="A4" t="s">
        <v>4</v>
      </c>
      <c r="B4" s="1">
        <v>44679</v>
      </c>
      <c r="C4" s="2">
        <v>395</v>
      </c>
      <c r="D4" s="2">
        <v>395</v>
      </c>
    </row>
    <row r="5" spans="1:6" x14ac:dyDescent="0.3">
      <c r="A5" s="3" t="s">
        <v>5</v>
      </c>
      <c r="B5" s="1">
        <v>44682</v>
      </c>
      <c r="C5" s="2">
        <v>285</v>
      </c>
      <c r="D5" s="2">
        <v>285</v>
      </c>
      <c r="E5" s="2">
        <v>0</v>
      </c>
    </row>
    <row r="6" spans="1:6" x14ac:dyDescent="0.3">
      <c r="A6" s="3" t="s">
        <v>6</v>
      </c>
      <c r="B6" s="1">
        <v>44689</v>
      </c>
      <c r="C6" s="2">
        <v>100</v>
      </c>
      <c r="D6" s="2">
        <v>98</v>
      </c>
      <c r="E6" s="2">
        <v>0</v>
      </c>
    </row>
    <row r="7" spans="1:6" x14ac:dyDescent="0.3">
      <c r="A7" s="3" t="s">
        <v>7</v>
      </c>
      <c r="B7" s="1">
        <v>44709</v>
      </c>
      <c r="C7" s="2">
        <v>150</v>
      </c>
      <c r="D7" s="2">
        <v>0</v>
      </c>
      <c r="E7" s="2">
        <v>0</v>
      </c>
    </row>
    <row r="8" spans="1:6" x14ac:dyDescent="0.3">
      <c r="A8" s="3" t="s">
        <v>8</v>
      </c>
      <c r="B8" s="1">
        <v>44688</v>
      </c>
      <c r="C8" s="2">
        <v>100</v>
      </c>
      <c r="D8" s="2">
        <v>83</v>
      </c>
      <c r="E8" s="2">
        <v>0</v>
      </c>
      <c r="F8" t="s">
        <v>67</v>
      </c>
    </row>
    <row r="9" spans="1:6" x14ac:dyDescent="0.3">
      <c r="A9" s="3" t="s">
        <v>9</v>
      </c>
      <c r="B9" s="1">
        <v>44682</v>
      </c>
      <c r="C9" s="2">
        <v>25</v>
      </c>
      <c r="D9" s="2">
        <v>25</v>
      </c>
      <c r="E9" s="2">
        <v>0</v>
      </c>
    </row>
    <row r="10" spans="1:6" x14ac:dyDescent="0.3">
      <c r="A10" s="3" t="s">
        <v>21</v>
      </c>
      <c r="B10" s="1">
        <v>44682</v>
      </c>
      <c r="C10" s="2">
        <v>39</v>
      </c>
      <c r="D10" s="2">
        <v>39</v>
      </c>
      <c r="E10" s="2">
        <v>0</v>
      </c>
    </row>
    <row r="11" spans="1:6" x14ac:dyDescent="0.3">
      <c r="A11" s="3" t="s">
        <v>10</v>
      </c>
      <c r="B11" s="1">
        <v>44682</v>
      </c>
      <c r="C11" s="2">
        <v>100</v>
      </c>
      <c r="D11" s="2">
        <v>79</v>
      </c>
      <c r="E11" s="2">
        <v>0</v>
      </c>
    </row>
    <row r="12" spans="1:6" x14ac:dyDescent="0.3">
      <c r="A12" s="3" t="s">
        <v>14</v>
      </c>
      <c r="B12" s="1">
        <v>44682</v>
      </c>
      <c r="C12" s="2">
        <v>129</v>
      </c>
      <c r="D12" s="2">
        <v>129</v>
      </c>
      <c r="E12" s="2">
        <v>0</v>
      </c>
      <c r="F12" t="s">
        <v>50</v>
      </c>
    </row>
    <row r="13" spans="1:6" x14ac:dyDescent="0.3">
      <c r="A13" s="3" t="s">
        <v>15</v>
      </c>
      <c r="B13" s="1">
        <v>44682</v>
      </c>
      <c r="C13" s="2">
        <v>109</v>
      </c>
      <c r="D13" s="2">
        <v>109</v>
      </c>
      <c r="E13" s="2">
        <v>0</v>
      </c>
      <c r="F13" t="s">
        <v>39</v>
      </c>
    </row>
    <row r="14" spans="1:6" x14ac:dyDescent="0.3">
      <c r="A14" s="3" t="s">
        <v>16</v>
      </c>
      <c r="B14" s="1">
        <v>44682</v>
      </c>
      <c r="C14" s="2">
        <v>153</v>
      </c>
      <c r="D14" s="2">
        <v>153</v>
      </c>
      <c r="E14" s="2">
        <v>0</v>
      </c>
      <c r="F14" t="s">
        <v>38</v>
      </c>
    </row>
    <row r="15" spans="1:6" x14ac:dyDescent="0.3">
      <c r="A15" s="3" t="s">
        <v>11</v>
      </c>
      <c r="B15" s="1">
        <v>44698</v>
      </c>
      <c r="C15" s="2">
        <v>24</v>
      </c>
      <c r="D15" s="2">
        <v>24</v>
      </c>
      <c r="E15" s="2">
        <v>0</v>
      </c>
      <c r="F15" t="s">
        <v>39</v>
      </c>
    </row>
    <row r="16" spans="1:6" x14ac:dyDescent="0.3">
      <c r="A16" s="3" t="s">
        <v>22</v>
      </c>
      <c r="B16" s="1">
        <v>44682</v>
      </c>
      <c r="C16" s="2">
        <v>150</v>
      </c>
      <c r="D16" s="2">
        <v>20</v>
      </c>
      <c r="E16" s="2">
        <v>0</v>
      </c>
      <c r="F16" t="s">
        <v>40</v>
      </c>
    </row>
    <row r="17" spans="1:6" x14ac:dyDescent="0.3">
      <c r="A17" s="3" t="s">
        <v>12</v>
      </c>
      <c r="B17" s="1">
        <v>44682</v>
      </c>
      <c r="C17" s="2">
        <v>200</v>
      </c>
      <c r="D17" s="2">
        <v>0</v>
      </c>
      <c r="E17" s="2">
        <v>0</v>
      </c>
      <c r="F17" t="s">
        <v>93</v>
      </c>
    </row>
    <row r="18" spans="1:6" x14ac:dyDescent="0.3">
      <c r="A18" s="3" t="s">
        <v>18</v>
      </c>
      <c r="B18" s="1">
        <v>44696</v>
      </c>
      <c r="C18" s="2">
        <v>64</v>
      </c>
      <c r="D18" s="2">
        <v>64</v>
      </c>
      <c r="E18" s="2">
        <v>0</v>
      </c>
    </row>
    <row r="19" spans="1:6" x14ac:dyDescent="0.3">
      <c r="A19" s="3" t="s">
        <v>19</v>
      </c>
      <c r="B19" s="1">
        <v>44681</v>
      </c>
      <c r="C19" s="2">
        <v>71</v>
      </c>
      <c r="D19" s="2">
        <v>71</v>
      </c>
      <c r="E19" s="2">
        <v>0</v>
      </c>
      <c r="F19" t="s">
        <v>41</v>
      </c>
    </row>
    <row r="20" spans="1:6" x14ac:dyDescent="0.3">
      <c r="A20" s="3" t="s">
        <v>20</v>
      </c>
      <c r="B20" s="1">
        <v>44694</v>
      </c>
      <c r="C20" s="2">
        <v>71</v>
      </c>
      <c r="D20" s="2">
        <v>50</v>
      </c>
      <c r="E20" s="2">
        <v>0</v>
      </c>
      <c r="F20" t="s">
        <v>42</v>
      </c>
    </row>
    <row r="21" spans="1:6" x14ac:dyDescent="0.3">
      <c r="A21" s="3" t="s">
        <v>23</v>
      </c>
      <c r="B21" s="1">
        <v>44682</v>
      </c>
      <c r="C21" s="2">
        <v>102</v>
      </c>
      <c r="D21" s="2">
        <v>102</v>
      </c>
      <c r="E21" s="2">
        <v>0</v>
      </c>
      <c r="F21" t="s">
        <v>43</v>
      </c>
    </row>
    <row r="22" spans="1:6" x14ac:dyDescent="0.3">
      <c r="A22" s="3" t="s">
        <v>24</v>
      </c>
      <c r="B22" s="1">
        <v>44693</v>
      </c>
      <c r="C22" s="2">
        <v>14</v>
      </c>
      <c r="D22" s="2">
        <v>14</v>
      </c>
      <c r="E22" s="2">
        <v>0</v>
      </c>
    </row>
    <row r="23" spans="1:6" x14ac:dyDescent="0.3">
      <c r="A23" s="3" t="s">
        <v>25</v>
      </c>
      <c r="B23" s="1">
        <v>44683</v>
      </c>
      <c r="C23" s="2">
        <v>250</v>
      </c>
      <c r="D23" s="2">
        <v>251</v>
      </c>
      <c r="E23" s="2">
        <v>0</v>
      </c>
    </row>
    <row r="24" spans="1:6" x14ac:dyDescent="0.3">
      <c r="A24" s="3" t="s">
        <v>25</v>
      </c>
      <c r="B24" s="1">
        <v>44702</v>
      </c>
      <c r="C24" s="2">
        <v>250</v>
      </c>
      <c r="D24" s="2">
        <v>256</v>
      </c>
      <c r="E24" s="2">
        <v>0</v>
      </c>
      <c r="F24" t="s">
        <v>45</v>
      </c>
    </row>
    <row r="25" spans="1:6" x14ac:dyDescent="0.3">
      <c r="A25" s="3" t="s">
        <v>26</v>
      </c>
      <c r="B25" s="1">
        <v>44682</v>
      </c>
      <c r="C25" s="2">
        <v>250</v>
      </c>
      <c r="D25" s="2">
        <v>203</v>
      </c>
      <c r="E25" s="2">
        <v>0</v>
      </c>
      <c r="F25" t="s">
        <v>68</v>
      </c>
    </row>
    <row r="26" spans="1:6" x14ac:dyDescent="0.3">
      <c r="A26" s="3" t="s">
        <v>27</v>
      </c>
      <c r="B26" s="1">
        <v>44689</v>
      </c>
      <c r="C26" s="2">
        <v>250</v>
      </c>
      <c r="D26" s="2">
        <v>0</v>
      </c>
      <c r="E26" s="2">
        <v>0</v>
      </c>
      <c r="F26" t="s">
        <v>46</v>
      </c>
    </row>
    <row r="27" spans="1:6" x14ac:dyDescent="0.3">
      <c r="A27" s="3" t="s">
        <v>28</v>
      </c>
      <c r="B27" s="1">
        <v>44697</v>
      </c>
      <c r="C27" s="2">
        <v>250</v>
      </c>
      <c r="D27" s="2">
        <v>0</v>
      </c>
      <c r="E27" s="2">
        <v>0</v>
      </c>
      <c r="F27" t="s">
        <v>47</v>
      </c>
    </row>
    <row r="28" spans="1:6" x14ac:dyDescent="0.3">
      <c r="A28" s="3" t="s">
        <v>29</v>
      </c>
      <c r="B28" s="1">
        <v>44705</v>
      </c>
      <c r="C28" s="2">
        <v>250</v>
      </c>
      <c r="D28" s="2">
        <v>239</v>
      </c>
      <c r="E28" s="2">
        <v>0</v>
      </c>
    </row>
    <row r="29" spans="1:6" x14ac:dyDescent="0.3">
      <c r="A29" s="3" t="s">
        <v>31</v>
      </c>
      <c r="B29" s="1">
        <v>44688</v>
      </c>
      <c r="C29" s="2">
        <v>18</v>
      </c>
      <c r="D29" s="2">
        <v>18</v>
      </c>
      <c r="E29" s="2">
        <v>0</v>
      </c>
    </row>
    <row r="30" spans="1:6" x14ac:dyDescent="0.3">
      <c r="A30" s="3" t="s">
        <v>30</v>
      </c>
      <c r="B30" s="1">
        <v>44688</v>
      </c>
      <c r="C30" s="2">
        <v>15</v>
      </c>
      <c r="D30" s="2">
        <v>15</v>
      </c>
      <c r="E30" s="2">
        <v>0</v>
      </c>
    </row>
    <row r="31" spans="1:6" x14ac:dyDescent="0.3">
      <c r="A31" s="3" t="s">
        <v>32</v>
      </c>
      <c r="B31" s="1">
        <v>44702</v>
      </c>
      <c r="C31" s="2">
        <v>12</v>
      </c>
      <c r="D31" s="2">
        <v>12</v>
      </c>
      <c r="E31" s="2">
        <v>0</v>
      </c>
    </row>
    <row r="32" spans="1:6" x14ac:dyDescent="0.3">
      <c r="A32" s="3" t="s">
        <v>33</v>
      </c>
      <c r="B32" s="1">
        <v>44698</v>
      </c>
      <c r="C32" s="2">
        <v>17</v>
      </c>
      <c r="D32" s="2">
        <v>17</v>
      </c>
      <c r="E32" s="2">
        <v>0</v>
      </c>
    </row>
    <row r="33" spans="1:6" x14ac:dyDescent="0.3">
      <c r="A33" s="3" t="s">
        <v>44</v>
      </c>
      <c r="B33" s="1">
        <v>44706</v>
      </c>
      <c r="C33" s="2">
        <v>100</v>
      </c>
      <c r="D33" s="2">
        <v>103</v>
      </c>
      <c r="E33" s="2">
        <v>0</v>
      </c>
      <c r="F33" t="s">
        <v>48</v>
      </c>
    </row>
    <row r="34" spans="1:6" x14ac:dyDescent="0.3">
      <c r="A34" s="3" t="s">
        <v>13</v>
      </c>
      <c r="C34" s="2">
        <f>SUM(Table13[[Cost ]])</f>
        <v>6667</v>
      </c>
      <c r="D34" s="2">
        <f>SUM(Table13[Spent])</f>
        <v>5578</v>
      </c>
      <c r="E34" s="2">
        <f>SUM(Table13[Overdrafted TD Acc])</f>
        <v>0</v>
      </c>
    </row>
    <row r="35" spans="1:6" x14ac:dyDescent="0.3">
      <c r="C35" s="2"/>
    </row>
    <row r="38" spans="1:6" x14ac:dyDescent="0.3">
      <c r="A38" s="6" t="s">
        <v>35</v>
      </c>
      <c r="B38" s="5">
        <v>2771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9A37-85E3-4C40-B4A1-93A5585D4C18}">
  <sheetPr>
    <tabColor rgb="FF92D050"/>
  </sheetPr>
  <dimension ref="A1:D39"/>
  <sheetViews>
    <sheetView workbookViewId="0">
      <selection activeCell="D38" sqref="D38"/>
    </sheetView>
  </sheetViews>
  <sheetFormatPr defaultRowHeight="14.4" x14ac:dyDescent="0.3"/>
  <cols>
    <col min="1" max="1" width="29.33203125" customWidth="1"/>
    <col min="2" max="2" width="17.6640625" customWidth="1"/>
    <col min="3" max="3" width="15.6640625" customWidth="1"/>
    <col min="4" max="4" width="56.33203125" customWidth="1"/>
  </cols>
  <sheetData>
    <row r="1" spans="1:4" x14ac:dyDescent="0.3">
      <c r="A1" s="3" t="s">
        <v>36</v>
      </c>
      <c r="B1" s="1" t="s">
        <v>0</v>
      </c>
      <c r="C1" t="s">
        <v>66</v>
      </c>
      <c r="D1" t="s">
        <v>34</v>
      </c>
    </row>
    <row r="2" spans="1:4" x14ac:dyDescent="0.3">
      <c r="A2" s="3" t="s">
        <v>2</v>
      </c>
      <c r="B2" s="1">
        <v>44682</v>
      </c>
      <c r="C2" s="2">
        <v>1150</v>
      </c>
      <c r="D2" t="s">
        <v>55</v>
      </c>
    </row>
    <row r="3" spans="1:4" x14ac:dyDescent="0.3">
      <c r="A3" s="3" t="s">
        <v>3</v>
      </c>
      <c r="B3" s="1">
        <v>44682</v>
      </c>
      <c r="C3" s="2">
        <v>1049</v>
      </c>
      <c r="D3" t="s">
        <v>53</v>
      </c>
    </row>
    <row r="4" spans="1:4" x14ac:dyDescent="0.3">
      <c r="A4" s="3" t="s">
        <v>4</v>
      </c>
      <c r="B4" s="1">
        <v>44679</v>
      </c>
      <c r="C4" s="2">
        <f>395*0.41</f>
        <v>161.94999999999999</v>
      </c>
      <c r="D4" t="s">
        <v>52</v>
      </c>
    </row>
    <row r="5" spans="1:4" x14ac:dyDescent="0.3">
      <c r="A5" s="3" t="s">
        <v>5</v>
      </c>
      <c r="B5" s="1">
        <v>44682</v>
      </c>
      <c r="C5" s="2">
        <v>100</v>
      </c>
      <c r="D5" t="s">
        <v>54</v>
      </c>
    </row>
    <row r="6" spans="1:4" x14ac:dyDescent="0.3">
      <c r="A6" s="3" t="s">
        <v>6</v>
      </c>
      <c r="B6" s="1">
        <v>44689</v>
      </c>
      <c r="C6" s="2">
        <v>100</v>
      </c>
    </row>
    <row r="7" spans="1:4" x14ac:dyDescent="0.3">
      <c r="A7" s="3" t="s">
        <v>7</v>
      </c>
      <c r="B7" s="1">
        <v>44709</v>
      </c>
      <c r="C7" s="2">
        <v>150</v>
      </c>
    </row>
    <row r="8" spans="1:4" x14ac:dyDescent="0.3">
      <c r="A8" s="3" t="s">
        <v>8</v>
      </c>
      <c r="B8" s="1">
        <v>44688</v>
      </c>
      <c r="C8" s="2">
        <v>200</v>
      </c>
      <c r="D8" t="s">
        <v>64</v>
      </c>
    </row>
    <row r="9" spans="1:4" x14ac:dyDescent="0.3">
      <c r="A9" s="3" t="s">
        <v>9</v>
      </c>
      <c r="B9" s="1">
        <v>44682</v>
      </c>
      <c r="C9" s="2">
        <v>25</v>
      </c>
    </row>
    <row r="10" spans="1:4" x14ac:dyDescent="0.3">
      <c r="A10" s="3" t="s">
        <v>21</v>
      </c>
      <c r="B10" s="1">
        <v>44682</v>
      </c>
      <c r="C10" s="2">
        <v>39</v>
      </c>
    </row>
    <row r="11" spans="1:4" x14ac:dyDescent="0.3">
      <c r="A11" s="3" t="s">
        <v>10</v>
      </c>
      <c r="B11" s="1">
        <v>44682</v>
      </c>
      <c r="C11" s="2">
        <v>80</v>
      </c>
      <c r="D11" t="s">
        <v>56</v>
      </c>
    </row>
    <row r="12" spans="1:4" x14ac:dyDescent="0.3">
      <c r="A12" s="3" t="s">
        <v>14</v>
      </c>
      <c r="B12" s="1">
        <v>44682</v>
      </c>
      <c r="C12" s="2">
        <v>129</v>
      </c>
      <c r="D12" t="s">
        <v>50</v>
      </c>
    </row>
    <row r="13" spans="1:4" x14ac:dyDescent="0.3">
      <c r="A13" s="3" t="s">
        <v>58</v>
      </c>
      <c r="B13" s="1">
        <v>44682</v>
      </c>
      <c r="C13" s="4">
        <v>40</v>
      </c>
      <c r="D13" t="s">
        <v>57</v>
      </c>
    </row>
    <row r="14" spans="1:4" x14ac:dyDescent="0.3">
      <c r="A14" s="3" t="s">
        <v>59</v>
      </c>
      <c r="B14" s="1">
        <v>44682</v>
      </c>
      <c r="C14" s="2">
        <v>20</v>
      </c>
      <c r="D14" t="s">
        <v>38</v>
      </c>
    </row>
    <row r="15" spans="1:4" x14ac:dyDescent="0.3">
      <c r="A15" s="3" t="s">
        <v>11</v>
      </c>
      <c r="B15" s="1">
        <v>44698</v>
      </c>
      <c r="C15" s="2">
        <v>0</v>
      </c>
      <c r="D15" t="s">
        <v>65</v>
      </c>
    </row>
    <row r="16" spans="1:4" x14ac:dyDescent="0.3">
      <c r="A16" s="3" t="s">
        <v>22</v>
      </c>
      <c r="B16" s="1">
        <v>44682</v>
      </c>
      <c r="C16" s="2">
        <v>20</v>
      </c>
      <c r="D16" t="s">
        <v>40</v>
      </c>
    </row>
    <row r="17" spans="1:4" x14ac:dyDescent="0.3">
      <c r="A17" s="3" t="s">
        <v>12</v>
      </c>
      <c r="B17" s="1">
        <v>44682</v>
      </c>
      <c r="C17" s="2">
        <v>200</v>
      </c>
      <c r="D17" t="s">
        <v>49</v>
      </c>
    </row>
    <row r="18" spans="1:4" x14ac:dyDescent="0.3">
      <c r="A18" s="3" t="s">
        <v>18</v>
      </c>
      <c r="B18" s="1">
        <v>44696</v>
      </c>
      <c r="C18" s="2">
        <v>64</v>
      </c>
      <c r="D18" t="s">
        <v>60</v>
      </c>
    </row>
    <row r="19" spans="1:4" x14ac:dyDescent="0.3">
      <c r="A19" s="3" t="s">
        <v>19</v>
      </c>
      <c r="B19" s="1">
        <v>44681</v>
      </c>
      <c r="C19" s="2">
        <v>50</v>
      </c>
      <c r="D19" t="s">
        <v>61</v>
      </c>
    </row>
    <row r="20" spans="1:4" x14ac:dyDescent="0.3">
      <c r="A20" s="3" t="s">
        <v>20</v>
      </c>
      <c r="B20" s="1">
        <v>44694</v>
      </c>
      <c r="C20" s="2">
        <v>50</v>
      </c>
      <c r="D20" t="s">
        <v>61</v>
      </c>
    </row>
    <row r="21" spans="1:4" x14ac:dyDescent="0.3">
      <c r="A21" s="3" t="s">
        <v>23</v>
      </c>
      <c r="B21" s="1">
        <v>44682</v>
      </c>
      <c r="C21" s="2">
        <v>0</v>
      </c>
      <c r="D21" t="s">
        <v>62</v>
      </c>
    </row>
    <row r="22" spans="1:4" x14ac:dyDescent="0.3">
      <c r="A22" s="3" t="s">
        <v>24</v>
      </c>
      <c r="B22" s="1">
        <v>44693</v>
      </c>
      <c r="C22" s="2">
        <v>14</v>
      </c>
    </row>
    <row r="23" spans="1:4" x14ac:dyDescent="0.3">
      <c r="A23" s="3" t="s">
        <v>25</v>
      </c>
      <c r="B23" s="1">
        <v>44683</v>
      </c>
      <c r="C23" s="2">
        <f>250*0.76</f>
        <v>190</v>
      </c>
      <c r="D23" t="s">
        <v>63</v>
      </c>
    </row>
    <row r="24" spans="1:4" x14ac:dyDescent="0.3">
      <c r="A24" s="3" t="s">
        <v>25</v>
      </c>
      <c r="B24" s="1">
        <v>44702</v>
      </c>
      <c r="C24" s="2">
        <f t="shared" ref="C24:C28" si="0">250*0.76</f>
        <v>190</v>
      </c>
      <c r="D24" t="s">
        <v>63</v>
      </c>
    </row>
    <row r="25" spans="1:4" x14ac:dyDescent="0.3">
      <c r="A25" s="3" t="s">
        <v>26</v>
      </c>
      <c r="B25" s="1">
        <v>44682</v>
      </c>
      <c r="C25" s="2">
        <f t="shared" si="0"/>
        <v>190</v>
      </c>
      <c r="D25" t="s">
        <v>63</v>
      </c>
    </row>
    <row r="26" spans="1:4" x14ac:dyDescent="0.3">
      <c r="A26" s="3" t="s">
        <v>27</v>
      </c>
      <c r="B26" s="1">
        <v>44689</v>
      </c>
      <c r="C26" s="2">
        <f t="shared" si="0"/>
        <v>190</v>
      </c>
      <c r="D26" t="s">
        <v>63</v>
      </c>
    </row>
    <row r="27" spans="1:4" x14ac:dyDescent="0.3">
      <c r="A27" s="3" t="s">
        <v>28</v>
      </c>
      <c r="B27" s="1">
        <v>44697</v>
      </c>
      <c r="C27" s="2">
        <f t="shared" si="0"/>
        <v>190</v>
      </c>
      <c r="D27" t="s">
        <v>63</v>
      </c>
    </row>
    <row r="28" spans="1:4" x14ac:dyDescent="0.3">
      <c r="A28" s="3" t="s">
        <v>29</v>
      </c>
      <c r="B28" s="1">
        <v>44705</v>
      </c>
      <c r="C28" s="2">
        <f t="shared" si="0"/>
        <v>190</v>
      </c>
      <c r="D28" t="s">
        <v>63</v>
      </c>
    </row>
    <row r="29" spans="1:4" x14ac:dyDescent="0.3">
      <c r="A29" s="3" t="s">
        <v>31</v>
      </c>
      <c r="B29" s="1">
        <v>44688</v>
      </c>
      <c r="C29" s="2">
        <v>18</v>
      </c>
    </row>
    <row r="30" spans="1:4" x14ac:dyDescent="0.3">
      <c r="A30" s="3" t="s">
        <v>30</v>
      </c>
      <c r="B30" s="1">
        <v>44688</v>
      </c>
      <c r="C30" s="2">
        <v>15</v>
      </c>
    </row>
    <row r="31" spans="1:4" x14ac:dyDescent="0.3">
      <c r="A31" s="3" t="s">
        <v>32</v>
      </c>
      <c r="B31" s="1">
        <v>44702</v>
      </c>
      <c r="C31" s="2">
        <v>12</v>
      </c>
    </row>
    <row r="32" spans="1:4" x14ac:dyDescent="0.3">
      <c r="A32" s="3" t="s">
        <v>33</v>
      </c>
      <c r="B32" s="1">
        <v>44698</v>
      </c>
      <c r="C32" s="2">
        <v>17</v>
      </c>
    </row>
    <row r="33" spans="1:4" x14ac:dyDescent="0.3">
      <c r="A33" s="3" t="s">
        <v>44</v>
      </c>
      <c r="B33" s="1">
        <v>44706</v>
      </c>
      <c r="C33" s="2">
        <v>100</v>
      </c>
      <c r="D33" t="s">
        <v>48</v>
      </c>
    </row>
    <row r="34" spans="1:4" x14ac:dyDescent="0.3">
      <c r="A34" s="3" t="s">
        <v>13</v>
      </c>
      <c r="B34" s="1"/>
      <c r="C34" s="2">
        <f>SUM(Table15[[Projected Costs ]])</f>
        <v>4943.95</v>
      </c>
    </row>
    <row r="35" spans="1:4" x14ac:dyDescent="0.3">
      <c r="A35" s="9" t="s">
        <v>69</v>
      </c>
      <c r="B35" s="9"/>
      <c r="C35" s="10">
        <f>(Table15[[#Totals],[Projected Costs ]])*12</f>
        <v>59327.399999999994</v>
      </c>
      <c r="D35" s="9"/>
    </row>
    <row r="39" spans="1:4" x14ac:dyDescent="0.3">
      <c r="A39" s="6" t="s">
        <v>51</v>
      </c>
      <c r="B39" s="5">
        <f>2771*0.07+2771</f>
        <v>2964.9700000000003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NYC (JULY 2022)</vt:lpstr>
      <vt:lpstr>NYC (June 2022)</vt:lpstr>
      <vt:lpstr>NYC MAY 2022 </vt:lpstr>
      <vt:lpstr>Projected May 2023 (New Jersey)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</dc:creator>
  <cp:keywords/>
  <dc:description/>
  <cp:lastModifiedBy>Bryan Blair</cp:lastModifiedBy>
  <cp:revision/>
  <dcterms:created xsi:type="dcterms:W3CDTF">2022-04-21T12:39:10Z</dcterms:created>
  <dcterms:modified xsi:type="dcterms:W3CDTF">2022-07-10T22:43:22Z</dcterms:modified>
  <cp:category/>
  <cp:contentStatus/>
</cp:coreProperties>
</file>