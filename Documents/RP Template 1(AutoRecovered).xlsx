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drawings/drawing4.xml" ContentType="application/vnd.openxmlformats-officedocument.drawing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filterPrivacy="1" defaultThemeVersion="124226"/>
  <xr:revisionPtr revIDLastSave="0" documentId="8_{53B057B1-5DA8-40EB-B0B7-CAC36647E92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Mesocycle 1 Basic Hypertrophy" sheetId="1" r:id="rId1"/>
    <sheet name="Mesocycle 2 Basic Hypertrophy" sheetId="4" r:id="rId2"/>
    <sheet name="Mesocycle 3 Metabolite Focus" sheetId="2" r:id="rId3"/>
    <sheet name="Mesocycle 4 Resensitization" sheetId="3" r:id="rId4"/>
  </sheets>
  <definedNames>
    <definedName name="_xlnm.Print_Area" localSheetId="0">'Mesocycle 1 Basic Hypertrophy'!$H$10:$AU$52</definedName>
    <definedName name="_xlnm.Print_Area" localSheetId="1">'Mesocycle 2 Basic Hypertrophy'!$H$10:$AU$52</definedName>
    <definedName name="_xlnm.Print_Area" localSheetId="2">'Mesocycle 3 Metabolite Focus'!$H$8:$AI$54</definedName>
    <definedName name="_xlnm.Print_Area" localSheetId="3">'Mesocycle 4 Resensitization'!$H$8:$W$46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2" i="4" l="1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AR52" i="4"/>
  <c r="AL52" i="4"/>
  <c r="AF52" i="4"/>
  <c r="Z52" i="4"/>
  <c r="T52" i="4"/>
  <c r="O52" i="4"/>
  <c r="U52" i="4" s="1"/>
  <c r="AA52" i="4" s="1"/>
  <c r="AG52" i="4" s="1"/>
  <c r="AM52" i="4" s="1"/>
  <c r="N52" i="4"/>
  <c r="J52" i="4"/>
  <c r="H52" i="4"/>
  <c r="E52" i="4" a="1"/>
  <c r="E52" i="4" s="1"/>
  <c r="F52" i="4" s="1"/>
  <c r="D52" i="4" a="1"/>
  <c r="D52" i="4" s="1"/>
  <c r="AR51" i="4"/>
  <c r="AL51" i="4"/>
  <c r="AF51" i="4"/>
  <c r="Z51" i="4"/>
  <c r="T51" i="4"/>
  <c r="O51" i="4"/>
  <c r="U51" i="4" s="1"/>
  <c r="AA51" i="4" s="1"/>
  <c r="AG51" i="4" s="1"/>
  <c r="AM51" i="4" s="1"/>
  <c r="N51" i="4"/>
  <c r="J51" i="4"/>
  <c r="H51" i="4"/>
  <c r="E51" i="4" a="1"/>
  <c r="E51" i="4" s="1"/>
  <c r="F51" i="4" s="1"/>
  <c r="D51" i="4" a="1"/>
  <c r="D51" i="4" s="1"/>
  <c r="AR50" i="4"/>
  <c r="AL50" i="4"/>
  <c r="AF50" i="4"/>
  <c r="Z50" i="4"/>
  <c r="T50" i="4"/>
  <c r="O50" i="4"/>
  <c r="U50" i="4" s="1"/>
  <c r="AA50" i="4" s="1"/>
  <c r="AG50" i="4" s="1"/>
  <c r="AM50" i="4" s="1"/>
  <c r="N50" i="4"/>
  <c r="J50" i="4"/>
  <c r="H50" i="4"/>
  <c r="E50" i="4" a="1"/>
  <c r="E50" i="4" s="1"/>
  <c r="F50" i="4" s="1"/>
  <c r="D50" i="4" a="1"/>
  <c r="D50" i="4" s="1"/>
  <c r="AR49" i="4"/>
  <c r="AL49" i="4"/>
  <c r="AF49" i="4"/>
  <c r="Z49" i="4"/>
  <c r="T49" i="4"/>
  <c r="O49" i="4"/>
  <c r="U49" i="4" s="1"/>
  <c r="AA49" i="4" s="1"/>
  <c r="AG49" i="4" s="1"/>
  <c r="AM49" i="4" s="1"/>
  <c r="N49" i="4"/>
  <c r="J49" i="4"/>
  <c r="H49" i="4"/>
  <c r="E49" i="4" a="1"/>
  <c r="E49" i="4" s="1"/>
  <c r="F49" i="4" s="1"/>
  <c r="D49" i="4" a="1"/>
  <c r="D49" i="4" s="1"/>
  <c r="AR48" i="4"/>
  <c r="AL48" i="4"/>
  <c r="AF48" i="4"/>
  <c r="Z48" i="4"/>
  <c r="T48" i="4"/>
  <c r="O48" i="4"/>
  <c r="U48" i="4" s="1"/>
  <c r="AA48" i="4" s="1"/>
  <c r="AG48" i="4" s="1"/>
  <c r="AM48" i="4" s="1"/>
  <c r="N48" i="4"/>
  <c r="J48" i="4"/>
  <c r="AT48" i="4" s="1"/>
  <c r="H48" i="4"/>
  <c r="E48" i="4" a="1"/>
  <c r="E48" i="4" s="1"/>
  <c r="F48" i="4" s="1"/>
  <c r="D48" i="4" a="1"/>
  <c r="D48" i="4" s="1"/>
  <c r="AR47" i="4"/>
  <c r="AL47" i="4"/>
  <c r="AF47" i="4"/>
  <c r="Z47" i="4"/>
  <c r="U47" i="4"/>
  <c r="AA47" i="4" s="1"/>
  <c r="AG47" i="4" s="1"/>
  <c r="AM47" i="4" s="1"/>
  <c r="T47" i="4"/>
  <c r="O47" i="4"/>
  <c r="N47" i="4"/>
  <c r="J47" i="4"/>
  <c r="H47" i="4"/>
  <c r="E47" i="4" a="1"/>
  <c r="E47" i="4" s="1"/>
  <c r="F47" i="4" s="1"/>
  <c r="D47" i="4" a="1"/>
  <c r="D47" i="4" s="1"/>
  <c r="AR46" i="4"/>
  <c r="AL46" i="4"/>
  <c r="AF46" i="4"/>
  <c r="Z46" i="4"/>
  <c r="U46" i="4"/>
  <c r="AA46" i="4" s="1"/>
  <c r="AG46" i="4" s="1"/>
  <c r="AM46" i="4" s="1"/>
  <c r="T46" i="4"/>
  <c r="O46" i="4"/>
  <c r="N46" i="4"/>
  <c r="J46" i="4"/>
  <c r="H46" i="4"/>
  <c r="E46" i="4" a="1"/>
  <c r="E46" i="4" s="1"/>
  <c r="F46" i="4" s="1"/>
  <c r="D46" i="4" a="1"/>
  <c r="D46" i="4" s="1"/>
  <c r="AR42" i="4"/>
  <c r="AL42" i="4"/>
  <c r="AF42" i="4"/>
  <c r="Z42" i="4"/>
  <c r="T42" i="4"/>
  <c r="O42" i="4"/>
  <c r="U42" i="4" s="1"/>
  <c r="AA42" i="4" s="1"/>
  <c r="AG42" i="4" s="1"/>
  <c r="AM42" i="4" s="1"/>
  <c r="N42" i="4"/>
  <c r="J42" i="4"/>
  <c r="H42" i="4"/>
  <c r="E42" i="4" a="1"/>
  <c r="E42" i="4" s="1"/>
  <c r="F42" i="4" s="1"/>
  <c r="D42" i="4" a="1"/>
  <c r="D42" i="4" s="1"/>
  <c r="AR41" i="4"/>
  <c r="AL41" i="4"/>
  <c r="AF41" i="4"/>
  <c r="Z41" i="4"/>
  <c r="T41" i="4"/>
  <c r="O41" i="4"/>
  <c r="U41" i="4" s="1"/>
  <c r="AA41" i="4" s="1"/>
  <c r="AG41" i="4" s="1"/>
  <c r="AM41" i="4" s="1"/>
  <c r="N41" i="4"/>
  <c r="J41" i="4"/>
  <c r="H41" i="4"/>
  <c r="E41" i="4" a="1"/>
  <c r="E41" i="4" s="1"/>
  <c r="F41" i="4" s="1"/>
  <c r="D41" i="4" a="1"/>
  <c r="D41" i="4" s="1"/>
  <c r="AR40" i="4"/>
  <c r="AL40" i="4"/>
  <c r="AF40" i="4"/>
  <c r="Z40" i="4"/>
  <c r="U40" i="4"/>
  <c r="AA40" i="4" s="1"/>
  <c r="AG40" i="4" s="1"/>
  <c r="AM40" i="4" s="1"/>
  <c r="T40" i="4"/>
  <c r="O40" i="4"/>
  <c r="N40" i="4"/>
  <c r="J40" i="4"/>
  <c r="H40" i="4"/>
  <c r="E40" i="4" a="1"/>
  <c r="E40" i="4" s="1"/>
  <c r="F40" i="4" s="1"/>
  <c r="D40" i="4" a="1"/>
  <c r="D40" i="4" s="1"/>
  <c r="AR39" i="4"/>
  <c r="AL39" i="4"/>
  <c r="AF39" i="4"/>
  <c r="Z39" i="4"/>
  <c r="U39" i="4"/>
  <c r="AA39" i="4" s="1"/>
  <c r="AG39" i="4" s="1"/>
  <c r="AM39" i="4" s="1"/>
  <c r="T39" i="4"/>
  <c r="O39" i="4"/>
  <c r="N39" i="4"/>
  <c r="J39" i="4"/>
  <c r="H39" i="4"/>
  <c r="E39" i="4" a="1"/>
  <c r="E39" i="4" s="1"/>
  <c r="F39" i="4" s="1"/>
  <c r="D39" i="4" a="1"/>
  <c r="D39" i="4" s="1"/>
  <c r="AR38" i="4"/>
  <c r="AL38" i="4"/>
  <c r="AF38" i="4"/>
  <c r="Z38" i="4"/>
  <c r="T38" i="4"/>
  <c r="O38" i="4"/>
  <c r="U38" i="4" s="1"/>
  <c r="AA38" i="4" s="1"/>
  <c r="AG38" i="4" s="1"/>
  <c r="AM38" i="4" s="1"/>
  <c r="N38" i="4"/>
  <c r="J38" i="4"/>
  <c r="H38" i="4"/>
  <c r="E38" i="4" a="1"/>
  <c r="E38" i="4" s="1"/>
  <c r="F38" i="4" s="1"/>
  <c r="D38" i="4" a="1"/>
  <c r="D38" i="4" s="1"/>
  <c r="AR34" i="4"/>
  <c r="AL34" i="4"/>
  <c r="AF34" i="4"/>
  <c r="Z34" i="4"/>
  <c r="T34" i="4"/>
  <c r="O34" i="4"/>
  <c r="U34" i="4" s="1"/>
  <c r="AA34" i="4" s="1"/>
  <c r="AG34" i="4" s="1"/>
  <c r="AM34" i="4" s="1"/>
  <c r="N34" i="4"/>
  <c r="J34" i="4"/>
  <c r="V34" i="4" s="1"/>
  <c r="AH34" i="4" s="1"/>
  <c r="H34" i="4"/>
  <c r="E34" i="4" a="1"/>
  <c r="E34" i="4" s="1"/>
  <c r="F34" i="4" s="1"/>
  <c r="D34" i="4" a="1"/>
  <c r="D34" i="4" s="1"/>
  <c r="AR33" i="4"/>
  <c r="AL33" i="4"/>
  <c r="AF33" i="4"/>
  <c r="Z33" i="4"/>
  <c r="U33" i="4"/>
  <c r="AA33" i="4" s="1"/>
  <c r="AG33" i="4" s="1"/>
  <c r="AM33" i="4" s="1"/>
  <c r="T33" i="4"/>
  <c r="O33" i="4"/>
  <c r="N33" i="4"/>
  <c r="J33" i="4"/>
  <c r="H33" i="4"/>
  <c r="E33" i="4" a="1"/>
  <c r="E33" i="4" s="1"/>
  <c r="F33" i="4" s="1"/>
  <c r="D33" i="4" a="1"/>
  <c r="D33" i="4" s="1"/>
  <c r="AR32" i="4"/>
  <c r="AL32" i="4"/>
  <c r="AF32" i="4"/>
  <c r="Z32" i="4"/>
  <c r="U32" i="4"/>
  <c r="AA32" i="4" s="1"/>
  <c r="AG32" i="4" s="1"/>
  <c r="AM32" i="4" s="1"/>
  <c r="T32" i="4"/>
  <c r="O32" i="4"/>
  <c r="N32" i="4"/>
  <c r="J32" i="4"/>
  <c r="H32" i="4"/>
  <c r="E32" i="4" a="1"/>
  <c r="E32" i="4" s="1"/>
  <c r="F32" i="4" s="1"/>
  <c r="D32" i="4" a="1"/>
  <c r="D32" i="4" s="1"/>
  <c r="AR31" i="4"/>
  <c r="AL31" i="4"/>
  <c r="AF31" i="4"/>
  <c r="Z31" i="4"/>
  <c r="T31" i="4"/>
  <c r="O31" i="4"/>
  <c r="U31" i="4" s="1"/>
  <c r="AA31" i="4" s="1"/>
  <c r="AG31" i="4" s="1"/>
  <c r="AM31" i="4" s="1"/>
  <c r="N31" i="4"/>
  <c r="J31" i="4"/>
  <c r="V31" i="4" s="1"/>
  <c r="AH31" i="4" s="1"/>
  <c r="H31" i="4"/>
  <c r="E31" i="4" a="1"/>
  <c r="E31" i="4" s="1"/>
  <c r="F31" i="4" s="1"/>
  <c r="D31" i="4" a="1"/>
  <c r="D31" i="4" s="1"/>
  <c r="AR30" i="4"/>
  <c r="AL30" i="4"/>
  <c r="AF30" i="4"/>
  <c r="Z30" i="4"/>
  <c r="T30" i="4"/>
  <c r="O30" i="4"/>
  <c r="U30" i="4" s="1"/>
  <c r="AA30" i="4" s="1"/>
  <c r="AG30" i="4" s="1"/>
  <c r="AM30" i="4" s="1"/>
  <c r="N30" i="4"/>
  <c r="J30" i="4"/>
  <c r="H30" i="4"/>
  <c r="E30" i="4" a="1"/>
  <c r="E30" i="4" s="1"/>
  <c r="F30" i="4" s="1"/>
  <c r="D30" i="4" a="1"/>
  <c r="D30" i="4" s="1"/>
  <c r="AR29" i="4"/>
  <c r="AL29" i="4"/>
  <c r="AF29" i="4"/>
  <c r="Z29" i="4"/>
  <c r="U29" i="4"/>
  <c r="AA29" i="4" s="1"/>
  <c r="AG29" i="4" s="1"/>
  <c r="AM29" i="4" s="1"/>
  <c r="T29" i="4"/>
  <c r="O29" i="4"/>
  <c r="N29" i="4"/>
  <c r="J29" i="4"/>
  <c r="H29" i="4"/>
  <c r="E29" i="4" a="1"/>
  <c r="E29" i="4" s="1"/>
  <c r="F29" i="4" s="1"/>
  <c r="D29" i="4" a="1"/>
  <c r="D29" i="4" s="1"/>
  <c r="AR25" i="4"/>
  <c r="AL25" i="4"/>
  <c r="AF25" i="4"/>
  <c r="Z25" i="4"/>
  <c r="U25" i="4"/>
  <c r="AA25" i="4" s="1"/>
  <c r="AG25" i="4" s="1"/>
  <c r="AM25" i="4" s="1"/>
  <c r="T25" i="4"/>
  <c r="O25" i="4"/>
  <c r="N25" i="4"/>
  <c r="J25" i="4"/>
  <c r="V25" i="4" s="1"/>
  <c r="AH25" i="4" s="1"/>
  <c r="H25" i="4"/>
  <c r="E25" i="4" a="1"/>
  <c r="E25" i="4" s="1"/>
  <c r="F25" i="4" s="1"/>
  <c r="D25" i="4" a="1"/>
  <c r="D25" i="4" s="1"/>
  <c r="AR24" i="4"/>
  <c r="AL24" i="4"/>
  <c r="AF24" i="4"/>
  <c r="Z24" i="4"/>
  <c r="T24" i="4"/>
  <c r="O24" i="4"/>
  <c r="U24" i="4" s="1"/>
  <c r="AA24" i="4" s="1"/>
  <c r="AG24" i="4" s="1"/>
  <c r="AM24" i="4" s="1"/>
  <c r="N24" i="4"/>
  <c r="J24" i="4"/>
  <c r="V24" i="4" s="1"/>
  <c r="AH24" i="4" s="1"/>
  <c r="H24" i="4"/>
  <c r="E24" i="4" a="1"/>
  <c r="E24" i="4" s="1"/>
  <c r="F24" i="4" s="1"/>
  <c r="D24" i="4" a="1"/>
  <c r="D24" i="4" s="1"/>
  <c r="AR23" i="4"/>
  <c r="AL23" i="4"/>
  <c r="AF23" i="4"/>
  <c r="Z23" i="4"/>
  <c r="T23" i="4"/>
  <c r="O23" i="4"/>
  <c r="U23" i="4" s="1"/>
  <c r="AA23" i="4" s="1"/>
  <c r="AG23" i="4" s="1"/>
  <c r="AM23" i="4" s="1"/>
  <c r="N23" i="4"/>
  <c r="J23" i="4"/>
  <c r="V23" i="4" s="1"/>
  <c r="AH23" i="4" s="1"/>
  <c r="H23" i="4"/>
  <c r="E23" i="4" a="1"/>
  <c r="E23" i="4" s="1"/>
  <c r="F23" i="4" s="1"/>
  <c r="D23" i="4" a="1"/>
  <c r="D23" i="4" s="1"/>
  <c r="AR22" i="4"/>
  <c r="AL22" i="4"/>
  <c r="AF22" i="4"/>
  <c r="Z22" i="4"/>
  <c r="U22" i="4"/>
  <c r="AA22" i="4" s="1"/>
  <c r="AG22" i="4" s="1"/>
  <c r="AM22" i="4" s="1"/>
  <c r="T22" i="4"/>
  <c r="O22" i="4"/>
  <c r="N22" i="4"/>
  <c r="J22" i="4"/>
  <c r="AN22" i="4" s="1"/>
  <c r="H22" i="4"/>
  <c r="E22" i="4" a="1"/>
  <c r="E22" i="4" s="1"/>
  <c r="F22" i="4" s="1"/>
  <c r="D22" i="4" a="1"/>
  <c r="D22" i="4" s="1"/>
  <c r="AR18" i="4"/>
  <c r="AN18" i="4"/>
  <c r="AL18" i="4"/>
  <c r="AF18" i="4"/>
  <c r="Z18" i="4"/>
  <c r="V18" i="4"/>
  <c r="AH18" i="4" s="1"/>
  <c r="U18" i="4"/>
  <c r="AA18" i="4" s="1"/>
  <c r="AG18" i="4" s="1"/>
  <c r="AM18" i="4" s="1"/>
  <c r="T18" i="4"/>
  <c r="O18" i="4"/>
  <c r="N18" i="4"/>
  <c r="J18" i="4"/>
  <c r="AT18" i="4" s="1"/>
  <c r="H18" i="4"/>
  <c r="E18" i="4" a="1"/>
  <c r="E18" i="4" s="1"/>
  <c r="F18" i="4" s="1"/>
  <c r="D18" i="4" a="1"/>
  <c r="D18" i="4" s="1"/>
  <c r="AR17" i="4"/>
  <c r="AN17" i="4"/>
  <c r="AL17" i="4"/>
  <c r="AF17" i="4"/>
  <c r="Z17" i="4"/>
  <c r="V17" i="4"/>
  <c r="AH17" i="4" s="1"/>
  <c r="T17" i="4"/>
  <c r="P17" i="4"/>
  <c r="AB17" i="4" s="1"/>
  <c r="O17" i="4"/>
  <c r="U17" i="4" s="1"/>
  <c r="AA17" i="4" s="1"/>
  <c r="AG17" i="4" s="1"/>
  <c r="AM17" i="4" s="1"/>
  <c r="N17" i="4"/>
  <c r="J17" i="4"/>
  <c r="AT17" i="4" s="1"/>
  <c r="H17" i="4"/>
  <c r="E17" i="4"/>
  <c r="F17" i="4" s="1"/>
  <c r="E17" i="4" a="1"/>
  <c r="D17" i="4" a="1"/>
  <c r="D17" i="4" s="1"/>
  <c r="AR16" i="4"/>
  <c r="AL16" i="4"/>
  <c r="AF16" i="4"/>
  <c r="Z16" i="4"/>
  <c r="T16" i="4"/>
  <c r="P16" i="4"/>
  <c r="AB16" i="4" s="1"/>
  <c r="O16" i="4"/>
  <c r="U16" i="4" s="1"/>
  <c r="AA16" i="4" s="1"/>
  <c r="AG16" i="4" s="1"/>
  <c r="AM16" i="4" s="1"/>
  <c r="N16" i="4"/>
  <c r="J16" i="4"/>
  <c r="AN16" i="4" s="1"/>
  <c r="H16" i="4"/>
  <c r="E16" i="4" a="1"/>
  <c r="E16" i="4" s="1"/>
  <c r="F16" i="4" s="1"/>
  <c r="D16" i="4" a="1"/>
  <c r="D16" i="4" s="1"/>
  <c r="AT15" i="4"/>
  <c r="AR15" i="4"/>
  <c r="AL15" i="4"/>
  <c r="AF15" i="4"/>
  <c r="Z15" i="4"/>
  <c r="T15" i="4"/>
  <c r="P15" i="4"/>
  <c r="AB15" i="4" s="1"/>
  <c r="O15" i="4"/>
  <c r="U15" i="4" s="1"/>
  <c r="AA15" i="4" s="1"/>
  <c r="AG15" i="4" s="1"/>
  <c r="AM15" i="4" s="1"/>
  <c r="N15" i="4"/>
  <c r="J15" i="4"/>
  <c r="AN15" i="4" s="1"/>
  <c r="H15" i="4"/>
  <c r="E15" i="4" a="1"/>
  <c r="E15" i="4" s="1"/>
  <c r="F15" i="4" s="1"/>
  <c r="D15" i="4" a="1"/>
  <c r="D15" i="4" s="1"/>
  <c r="AT14" i="4"/>
  <c r="AR14" i="4"/>
  <c r="AL14" i="4"/>
  <c r="AF14" i="4"/>
  <c r="Z14" i="4"/>
  <c r="T14" i="4"/>
  <c r="O14" i="4"/>
  <c r="U14" i="4" s="1"/>
  <c r="AA14" i="4" s="1"/>
  <c r="AG14" i="4" s="1"/>
  <c r="AM14" i="4" s="1"/>
  <c r="N14" i="4"/>
  <c r="J14" i="4"/>
  <c r="AN14" i="4" s="1"/>
  <c r="H14" i="4"/>
  <c r="E14" i="4" a="1"/>
  <c r="E14" i="4" s="1"/>
  <c r="F14" i="4" s="1"/>
  <c r="D14" i="4" a="1"/>
  <c r="D14" i="4" s="1"/>
  <c r="AT13" i="4"/>
  <c r="AR13" i="4"/>
  <c r="AL13" i="4"/>
  <c r="AF13" i="4"/>
  <c r="Z13" i="4"/>
  <c r="V13" i="4"/>
  <c r="AH13" i="4" s="1"/>
  <c r="T13" i="4"/>
  <c r="O13" i="4"/>
  <c r="U13" i="4" s="1"/>
  <c r="AA13" i="4" s="1"/>
  <c r="AG13" i="4" s="1"/>
  <c r="AM13" i="4" s="1"/>
  <c r="N13" i="4"/>
  <c r="J13" i="4"/>
  <c r="AN13" i="4" s="1"/>
  <c r="H13" i="4"/>
  <c r="E13" i="4" a="1"/>
  <c r="E13" i="4" s="1"/>
  <c r="F13" i="4" s="1"/>
  <c r="D13" i="4" a="1"/>
  <c r="D13" i="4" s="1"/>
  <c r="AT16" i="4" l="1"/>
  <c r="P18" i="4"/>
  <c r="AB18" i="4" s="1"/>
  <c r="V22" i="4"/>
  <c r="AH22" i="4" s="1"/>
  <c r="V14" i="4"/>
  <c r="AH14" i="4" s="1"/>
  <c r="V15" i="4"/>
  <c r="AH15" i="4" s="1"/>
  <c r="V16" i="4"/>
  <c r="AH16" i="4" s="1"/>
  <c r="P22" i="4"/>
  <c r="AB22" i="4" s="1"/>
  <c r="AN40" i="4"/>
  <c r="P40" i="4"/>
  <c r="AB40" i="4" s="1"/>
  <c r="AN42" i="4"/>
  <c r="P42" i="4"/>
  <c r="AB42" i="4" s="1"/>
  <c r="AN46" i="4"/>
  <c r="P46" i="4"/>
  <c r="AB46" i="4" s="1"/>
  <c r="AN52" i="4"/>
  <c r="P52" i="4"/>
  <c r="AB52" i="4" s="1"/>
  <c r="V52" i="4"/>
  <c r="AH52" i="4" s="1"/>
  <c r="AT52" i="4"/>
  <c r="AN51" i="4"/>
  <c r="P51" i="4"/>
  <c r="AB51" i="4" s="1"/>
  <c r="V51" i="4"/>
  <c r="AH51" i="4" s="1"/>
  <c r="AT51" i="4"/>
  <c r="AN29" i="4"/>
  <c r="P29" i="4"/>
  <c r="AB29" i="4" s="1"/>
  <c r="AN30" i="4"/>
  <c r="P30" i="4"/>
  <c r="AB30" i="4" s="1"/>
  <c r="AN32" i="4"/>
  <c r="P32" i="4"/>
  <c r="AB32" i="4" s="1"/>
  <c r="AN33" i="4"/>
  <c r="P33" i="4"/>
  <c r="AB33" i="4" s="1"/>
  <c r="AN38" i="4"/>
  <c r="P38" i="4"/>
  <c r="AB38" i="4" s="1"/>
  <c r="AN39" i="4"/>
  <c r="P39" i="4"/>
  <c r="AB39" i="4" s="1"/>
  <c r="AN41" i="4"/>
  <c r="P41" i="4"/>
  <c r="AB41" i="4" s="1"/>
  <c r="AN47" i="4"/>
  <c r="P47" i="4"/>
  <c r="AB47" i="4" s="1"/>
  <c r="AN48" i="4"/>
  <c r="P48" i="4"/>
  <c r="AB48" i="4" s="1"/>
  <c r="V48" i="4"/>
  <c r="AH48" i="4" s="1"/>
  <c r="P13" i="4"/>
  <c r="AB13" i="4" s="1"/>
  <c r="P14" i="4"/>
  <c r="AB14" i="4" s="1"/>
  <c r="V29" i="4"/>
  <c r="AH29" i="4" s="1"/>
  <c r="V30" i="4"/>
  <c r="AH30" i="4" s="1"/>
  <c r="V32" i="4"/>
  <c r="AH32" i="4" s="1"/>
  <c r="V33" i="4"/>
  <c r="AH33" i="4" s="1"/>
  <c r="V38" i="4"/>
  <c r="AH38" i="4" s="1"/>
  <c r="V39" i="4"/>
  <c r="AH39" i="4" s="1"/>
  <c r="V40" i="4"/>
  <c r="AH40" i="4" s="1"/>
  <c r="V41" i="4"/>
  <c r="AH41" i="4" s="1"/>
  <c r="V42" i="4"/>
  <c r="AH42" i="4" s="1"/>
  <c r="V46" i="4"/>
  <c r="AH46" i="4" s="1"/>
  <c r="V47" i="4"/>
  <c r="AH47" i="4" s="1"/>
  <c r="AN49" i="4"/>
  <c r="P49" i="4"/>
  <c r="AB49" i="4" s="1"/>
  <c r="V49" i="4"/>
  <c r="AH49" i="4" s="1"/>
  <c r="AT49" i="4"/>
  <c r="AN23" i="4"/>
  <c r="P23" i="4"/>
  <c r="AB23" i="4" s="1"/>
  <c r="AN24" i="4"/>
  <c r="P24" i="4"/>
  <c r="AB24" i="4" s="1"/>
  <c r="AN25" i="4"/>
  <c r="P25" i="4"/>
  <c r="AB25" i="4" s="1"/>
  <c r="AN31" i="4"/>
  <c r="P31" i="4"/>
  <c r="AB31" i="4" s="1"/>
  <c r="AN34" i="4"/>
  <c r="P34" i="4"/>
  <c r="AB34" i="4" s="1"/>
  <c r="AT22" i="4"/>
  <c r="AT23" i="4"/>
  <c r="AT24" i="4"/>
  <c r="AT25" i="4"/>
  <c r="AT29" i="4"/>
  <c r="AT30" i="4"/>
  <c r="AT31" i="4"/>
  <c r="AT32" i="4"/>
  <c r="AT33" i="4"/>
  <c r="AT34" i="4"/>
  <c r="AT38" i="4"/>
  <c r="AT39" i="4"/>
  <c r="AT40" i="4"/>
  <c r="AT41" i="4"/>
  <c r="AT42" i="4"/>
  <c r="AT46" i="4"/>
  <c r="AT47" i="4"/>
  <c r="AN50" i="4"/>
  <c r="P50" i="4"/>
  <c r="AB50" i="4" s="1"/>
  <c r="V50" i="4"/>
  <c r="AH50" i="4" s="1"/>
  <c r="AT50" i="4"/>
  <c r="Z47" i="1"/>
  <c r="Z48" i="1"/>
  <c r="Z49" i="1"/>
  <c r="Z50" i="1"/>
  <c r="Z51" i="1"/>
  <c r="Z52" i="1"/>
  <c r="Z39" i="1"/>
  <c r="Z40" i="1"/>
  <c r="Z41" i="1"/>
  <c r="Z42" i="1"/>
  <c r="Z30" i="1"/>
  <c r="Z31" i="1"/>
  <c r="Z32" i="1"/>
  <c r="Z33" i="1"/>
  <c r="Z34" i="1"/>
  <c r="Z23" i="1"/>
  <c r="Z24" i="1"/>
  <c r="Z25" i="1"/>
  <c r="Z14" i="1"/>
  <c r="Z15" i="1"/>
  <c r="Z16" i="1"/>
  <c r="Z17" i="1"/>
  <c r="Z18" i="1"/>
  <c r="AF14" i="1"/>
  <c r="AF15" i="1"/>
  <c r="AF16" i="1"/>
  <c r="AF17" i="1"/>
  <c r="AF18" i="1"/>
  <c r="AF23" i="1"/>
  <c r="AF24" i="1"/>
  <c r="AF25" i="1"/>
  <c r="AF30" i="1"/>
  <c r="AF31" i="1"/>
  <c r="AF32" i="1"/>
  <c r="AF33" i="1"/>
  <c r="AF34" i="1"/>
  <c r="AF39" i="1"/>
  <c r="AF40" i="1"/>
  <c r="AF41" i="1"/>
  <c r="AF42" i="1"/>
  <c r="AF47" i="1"/>
  <c r="AF48" i="1"/>
  <c r="AF49" i="1"/>
  <c r="AF50" i="1"/>
  <c r="AF51" i="1"/>
  <c r="AF52" i="1"/>
  <c r="AF46" i="1"/>
  <c r="AF38" i="1"/>
  <c r="AF29" i="1"/>
  <c r="AF22" i="1"/>
  <c r="Z46" i="1"/>
  <c r="Z38" i="1"/>
  <c r="Z29" i="1"/>
  <c r="Z22" i="1"/>
  <c r="AF13" i="1"/>
  <c r="Z13" i="1"/>
  <c r="AL13" i="1"/>
  <c r="AL14" i="1"/>
  <c r="AL15" i="1"/>
  <c r="AL16" i="1"/>
  <c r="AL17" i="1"/>
  <c r="AL18" i="1"/>
  <c r="AL22" i="1"/>
  <c r="AL23" i="1"/>
  <c r="AL24" i="1"/>
  <c r="AL25" i="1"/>
  <c r="AL29" i="1"/>
  <c r="AL30" i="1"/>
  <c r="AL31" i="1"/>
  <c r="AL32" i="1"/>
  <c r="AL33" i="1"/>
  <c r="AL34" i="1"/>
  <c r="AL38" i="1"/>
  <c r="AL39" i="1"/>
  <c r="AL40" i="1"/>
  <c r="AL41" i="1"/>
  <c r="AL42" i="1"/>
  <c r="AL46" i="1"/>
  <c r="AL47" i="1"/>
  <c r="AL48" i="1"/>
  <c r="AL49" i="1"/>
  <c r="AL50" i="1"/>
  <c r="AL51" i="1"/>
  <c r="AL52" i="1"/>
  <c r="H16" i="2" l="1"/>
  <c r="J49" i="2"/>
  <c r="J47" i="2"/>
  <c r="J33" i="2"/>
  <c r="J13" i="2"/>
  <c r="J17" i="2"/>
  <c r="J24" i="2"/>
  <c r="J34" i="2"/>
  <c r="J42" i="2"/>
  <c r="J54" i="2"/>
  <c r="J53" i="2"/>
  <c r="J52" i="2"/>
  <c r="J51" i="2"/>
  <c r="J50" i="2"/>
  <c r="J48" i="2"/>
  <c r="J46" i="2"/>
  <c r="J41" i="2"/>
  <c r="J40" i="2"/>
  <c r="J39" i="2"/>
  <c r="J38" i="2"/>
  <c r="J32" i="2"/>
  <c r="J31" i="2"/>
  <c r="J30" i="2"/>
  <c r="J29" i="2"/>
  <c r="J28" i="2"/>
  <c r="J23" i="2"/>
  <c r="J22" i="2"/>
  <c r="J21" i="2"/>
  <c r="J16" i="2"/>
  <c r="J15" i="2"/>
  <c r="J14" i="2"/>
  <c r="J12" i="2"/>
  <c r="J11" i="2"/>
  <c r="T25" i="1" l="1"/>
  <c r="J46" i="3" l="1"/>
  <c r="J36" i="3"/>
  <c r="J29" i="3"/>
  <c r="J21" i="3"/>
  <c r="J45" i="3"/>
  <c r="V45" i="3" s="1"/>
  <c r="J44" i="3"/>
  <c r="J43" i="3"/>
  <c r="V43" i="3" s="1"/>
  <c r="J42" i="3"/>
  <c r="J41" i="3"/>
  <c r="J40" i="3"/>
  <c r="J35" i="3"/>
  <c r="J34" i="3"/>
  <c r="V34" i="3" s="1"/>
  <c r="J33" i="3"/>
  <c r="J28" i="3"/>
  <c r="J27" i="3"/>
  <c r="J26" i="3"/>
  <c r="J25" i="3"/>
  <c r="J20" i="3"/>
  <c r="J19" i="3"/>
  <c r="J14" i="3"/>
  <c r="J13" i="3"/>
  <c r="J12" i="3"/>
  <c r="J15" i="3"/>
  <c r="J11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T46" i="3"/>
  <c r="O46" i="3"/>
  <c r="N46" i="3"/>
  <c r="H46" i="3"/>
  <c r="E46" i="3" a="1"/>
  <c r="E46" i="3" s="1"/>
  <c r="F46" i="3" s="1"/>
  <c r="D46" i="3" a="1"/>
  <c r="D46" i="3" s="1"/>
  <c r="T45" i="3"/>
  <c r="O45" i="3"/>
  <c r="N45" i="3"/>
  <c r="H45" i="3"/>
  <c r="E45" i="3" a="1"/>
  <c r="E45" i="3" s="1"/>
  <c r="F45" i="3" s="1"/>
  <c r="D45" i="3" a="1"/>
  <c r="D45" i="3" s="1"/>
  <c r="T44" i="3"/>
  <c r="O44" i="3"/>
  <c r="N44" i="3"/>
  <c r="H44" i="3"/>
  <c r="E44" i="3" a="1"/>
  <c r="E44" i="3" s="1"/>
  <c r="F44" i="3" s="1"/>
  <c r="D44" i="3" a="1"/>
  <c r="D44" i="3" s="1"/>
  <c r="T43" i="3"/>
  <c r="O43" i="3"/>
  <c r="N43" i="3"/>
  <c r="H43" i="3"/>
  <c r="E43" i="3" a="1"/>
  <c r="E43" i="3" s="1"/>
  <c r="F43" i="3" s="1"/>
  <c r="D43" i="3" a="1"/>
  <c r="D43" i="3" s="1"/>
  <c r="T42" i="3"/>
  <c r="O42" i="3"/>
  <c r="N42" i="3"/>
  <c r="H42" i="3"/>
  <c r="E42" i="3" a="1"/>
  <c r="E42" i="3" s="1"/>
  <c r="F42" i="3" s="1"/>
  <c r="D42" i="3" a="1"/>
  <c r="D42" i="3" s="1"/>
  <c r="T41" i="3"/>
  <c r="O41" i="3"/>
  <c r="N41" i="3"/>
  <c r="V41" i="3"/>
  <c r="H41" i="3"/>
  <c r="E41" i="3" a="1"/>
  <c r="E41" i="3" s="1"/>
  <c r="F41" i="3" s="1"/>
  <c r="D41" i="3" a="1"/>
  <c r="D41" i="3" s="1"/>
  <c r="T40" i="3"/>
  <c r="O40" i="3"/>
  <c r="N40" i="3"/>
  <c r="H40" i="3"/>
  <c r="E40" i="3" a="1"/>
  <c r="E40" i="3" s="1"/>
  <c r="F40" i="3" s="1"/>
  <c r="D40" i="3" a="1"/>
  <c r="D40" i="3" s="1"/>
  <c r="T36" i="3"/>
  <c r="O36" i="3"/>
  <c r="N36" i="3"/>
  <c r="H36" i="3"/>
  <c r="E36" i="3" a="1"/>
  <c r="E36" i="3" s="1"/>
  <c r="F36" i="3" s="1"/>
  <c r="D36" i="3" a="1"/>
  <c r="D36" i="3" s="1"/>
  <c r="T35" i="3"/>
  <c r="O35" i="3"/>
  <c r="N35" i="3"/>
  <c r="H35" i="3"/>
  <c r="E35" i="3" a="1"/>
  <c r="E35" i="3" s="1"/>
  <c r="F35" i="3" s="1"/>
  <c r="D35" i="3" a="1"/>
  <c r="D35" i="3" s="1"/>
  <c r="T34" i="3"/>
  <c r="O34" i="3"/>
  <c r="N34" i="3"/>
  <c r="H34" i="3"/>
  <c r="E34" i="3" a="1"/>
  <c r="E34" i="3" s="1"/>
  <c r="F34" i="3" s="1"/>
  <c r="D34" i="3" a="1"/>
  <c r="D34" i="3" s="1"/>
  <c r="T33" i="3"/>
  <c r="O33" i="3"/>
  <c r="N33" i="3"/>
  <c r="H33" i="3"/>
  <c r="E33" i="3" a="1"/>
  <c r="E33" i="3" s="1"/>
  <c r="F33" i="3" s="1"/>
  <c r="D33" i="3" a="1"/>
  <c r="D33" i="3" s="1"/>
  <c r="T29" i="3"/>
  <c r="O29" i="3"/>
  <c r="N29" i="3"/>
  <c r="H29" i="3"/>
  <c r="E29" i="3" a="1"/>
  <c r="E29" i="3" s="1"/>
  <c r="F29" i="3" s="1"/>
  <c r="D29" i="3" a="1"/>
  <c r="D29" i="3" s="1"/>
  <c r="T28" i="3"/>
  <c r="O28" i="3"/>
  <c r="N28" i="3"/>
  <c r="H28" i="3"/>
  <c r="E28" i="3" a="1"/>
  <c r="E28" i="3" s="1"/>
  <c r="F28" i="3" s="1"/>
  <c r="D28" i="3" a="1"/>
  <c r="D28" i="3" s="1"/>
  <c r="T27" i="3"/>
  <c r="O27" i="3"/>
  <c r="N27" i="3"/>
  <c r="H27" i="3"/>
  <c r="E27" i="3" a="1"/>
  <c r="E27" i="3" s="1"/>
  <c r="F27" i="3" s="1"/>
  <c r="D27" i="3" a="1"/>
  <c r="D27" i="3" s="1"/>
  <c r="T26" i="3"/>
  <c r="O26" i="3"/>
  <c r="N26" i="3"/>
  <c r="H26" i="3"/>
  <c r="E26" i="3" a="1"/>
  <c r="E26" i="3" s="1"/>
  <c r="F26" i="3" s="1"/>
  <c r="D26" i="3" a="1"/>
  <c r="D26" i="3" s="1"/>
  <c r="T25" i="3"/>
  <c r="O25" i="3"/>
  <c r="N25" i="3"/>
  <c r="H25" i="3"/>
  <c r="E25" i="3" a="1"/>
  <c r="E25" i="3" s="1"/>
  <c r="F25" i="3" s="1"/>
  <c r="D25" i="3" a="1"/>
  <c r="D25" i="3" s="1"/>
  <c r="T21" i="3"/>
  <c r="O21" i="3"/>
  <c r="N21" i="3"/>
  <c r="H21" i="3"/>
  <c r="E21" i="3" a="1"/>
  <c r="E21" i="3" s="1"/>
  <c r="F21" i="3" s="1"/>
  <c r="D21" i="3" a="1"/>
  <c r="D21" i="3" s="1"/>
  <c r="T20" i="3"/>
  <c r="O20" i="3"/>
  <c r="N20" i="3"/>
  <c r="H20" i="3"/>
  <c r="E20" i="3" a="1"/>
  <c r="E20" i="3" s="1"/>
  <c r="F20" i="3" s="1"/>
  <c r="D20" i="3" a="1"/>
  <c r="D20" i="3" s="1"/>
  <c r="T19" i="3"/>
  <c r="O19" i="3"/>
  <c r="N19" i="3"/>
  <c r="H19" i="3"/>
  <c r="E19" i="3" a="1"/>
  <c r="E19" i="3" s="1"/>
  <c r="F19" i="3" s="1"/>
  <c r="D19" i="3" a="1"/>
  <c r="D19" i="3" s="1"/>
  <c r="T15" i="3"/>
  <c r="O15" i="3"/>
  <c r="N15" i="3"/>
  <c r="H15" i="3"/>
  <c r="E15" i="3" a="1"/>
  <c r="E15" i="3" s="1"/>
  <c r="F15" i="3" s="1"/>
  <c r="D15" i="3" a="1"/>
  <c r="D15" i="3" s="1"/>
  <c r="T14" i="3"/>
  <c r="O14" i="3"/>
  <c r="N14" i="3"/>
  <c r="H14" i="3"/>
  <c r="E14" i="3" a="1"/>
  <c r="E14" i="3" s="1"/>
  <c r="F14" i="3" s="1"/>
  <c r="D14" i="3" a="1"/>
  <c r="D14" i="3" s="1"/>
  <c r="T13" i="3"/>
  <c r="O13" i="3"/>
  <c r="N13" i="3"/>
  <c r="H13" i="3"/>
  <c r="E13" i="3" a="1"/>
  <c r="E13" i="3" s="1"/>
  <c r="F13" i="3" s="1"/>
  <c r="D13" i="3" a="1"/>
  <c r="D13" i="3" s="1"/>
  <c r="T12" i="3"/>
  <c r="O12" i="3"/>
  <c r="N12" i="3"/>
  <c r="H12" i="3"/>
  <c r="E12" i="3" a="1"/>
  <c r="E12" i="3" s="1"/>
  <c r="F12" i="3" s="1"/>
  <c r="D12" i="3" a="1"/>
  <c r="D12" i="3" s="1"/>
  <c r="T11" i="3"/>
  <c r="O11" i="3"/>
  <c r="N11" i="3"/>
  <c r="H11" i="3"/>
  <c r="E11" i="3" a="1"/>
  <c r="E11" i="3" s="1"/>
  <c r="F11" i="3" s="1"/>
  <c r="D11" i="3" a="1"/>
  <c r="D11" i="3" s="1"/>
  <c r="V36" i="3" l="1"/>
  <c r="P42" i="3"/>
  <c r="V42" i="3"/>
  <c r="P13" i="3"/>
  <c r="V46" i="3"/>
  <c r="P44" i="3"/>
  <c r="V44" i="3"/>
  <c r="P46" i="3"/>
  <c r="V13" i="3"/>
  <c r="V21" i="3"/>
  <c r="P40" i="3"/>
  <c r="V40" i="3"/>
  <c r="V27" i="3"/>
  <c r="P29" i="3"/>
  <c r="V15" i="3"/>
  <c r="P35" i="3"/>
  <c r="V35" i="3"/>
  <c r="V11" i="3"/>
  <c r="P11" i="3"/>
  <c r="V26" i="3"/>
  <c r="P26" i="3"/>
  <c r="V33" i="3"/>
  <c r="P33" i="3"/>
  <c r="V14" i="3"/>
  <c r="P14" i="3"/>
  <c r="V12" i="3"/>
  <c r="P12" i="3"/>
  <c r="P15" i="3"/>
  <c r="V19" i="3"/>
  <c r="P19" i="3"/>
  <c r="P21" i="3"/>
  <c r="V25" i="3"/>
  <c r="P25" i="3"/>
  <c r="P27" i="3"/>
  <c r="V28" i="3"/>
  <c r="P28" i="3"/>
  <c r="V29" i="3"/>
  <c r="V20" i="3"/>
  <c r="P20" i="3"/>
  <c r="P34" i="3"/>
  <c r="P36" i="3"/>
  <c r="P41" i="3"/>
  <c r="P43" i="3"/>
  <c r="P45" i="3"/>
  <c r="O47" i="2"/>
  <c r="O46" i="2"/>
  <c r="U47" i="2" s="1"/>
  <c r="O49" i="2"/>
  <c r="O48" i="2"/>
  <c r="U49" i="2" s="1"/>
  <c r="O33" i="2"/>
  <c r="O32" i="2"/>
  <c r="U33" i="2" s="1"/>
  <c r="O13" i="2"/>
  <c r="O12" i="2"/>
  <c r="U13" i="2" s="1"/>
  <c r="E49" i="2" l="1" a="1"/>
  <c r="E49" i="2" s="1"/>
  <c r="F49" i="2" s="1"/>
  <c r="D49" i="2" a="1"/>
  <c r="D49" i="2" s="1"/>
  <c r="E47" i="2" a="1"/>
  <c r="E47" i="2" s="1"/>
  <c r="F47" i="2" s="1"/>
  <c r="D47" i="2" a="1"/>
  <c r="D47" i="2" s="1"/>
  <c r="Z49" i="2"/>
  <c r="T49" i="2"/>
  <c r="P49" i="2"/>
  <c r="N49" i="2"/>
  <c r="H49" i="2"/>
  <c r="AF48" i="2"/>
  <c r="Z48" i="2"/>
  <c r="T48" i="2"/>
  <c r="U48" i="2"/>
  <c r="N48" i="2"/>
  <c r="AB48" i="2"/>
  <c r="H48" i="2"/>
  <c r="E48" i="2" a="1"/>
  <c r="E48" i="2" s="1"/>
  <c r="F48" i="2" s="1"/>
  <c r="D48" i="2" a="1"/>
  <c r="D48" i="2" s="1"/>
  <c r="AB33" i="2"/>
  <c r="Z33" i="2"/>
  <c r="V33" i="2"/>
  <c r="T33" i="2"/>
  <c r="P33" i="2"/>
  <c r="N33" i="2"/>
  <c r="H33" i="2"/>
  <c r="E33" i="2" a="1"/>
  <c r="E33" i="2" s="1"/>
  <c r="F33" i="2" s="1"/>
  <c r="D33" i="2" a="1"/>
  <c r="D33" i="2" s="1"/>
  <c r="AF14" i="2"/>
  <c r="Z14" i="2"/>
  <c r="T14" i="2"/>
  <c r="P14" i="2"/>
  <c r="O14" i="2"/>
  <c r="U14" i="2" s="1"/>
  <c r="AA14" i="2" s="1"/>
  <c r="N14" i="2"/>
  <c r="V14" i="2"/>
  <c r="H14" i="2"/>
  <c r="E14" i="2" a="1"/>
  <c r="E14" i="2" s="1"/>
  <c r="F14" i="2" s="1"/>
  <c r="D14" i="2" a="1"/>
  <c r="D14" i="2" s="1"/>
  <c r="AB14" i="2" l="1"/>
  <c r="AA48" i="2"/>
  <c r="AA49" i="2"/>
  <c r="AH14" i="2"/>
  <c r="P48" i="2"/>
  <c r="V48" i="2"/>
  <c r="AH48" i="2"/>
  <c r="AB49" i="2"/>
  <c r="V49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AF54" i="2"/>
  <c r="Z54" i="2"/>
  <c r="T54" i="2"/>
  <c r="P54" i="2"/>
  <c r="O54" i="2"/>
  <c r="U54" i="2" s="1"/>
  <c r="AA54" i="2" s="1"/>
  <c r="N54" i="2"/>
  <c r="AB54" i="2"/>
  <c r="H54" i="2"/>
  <c r="E54" i="2" a="1"/>
  <c r="E54" i="2" s="1"/>
  <c r="F54" i="2" s="1"/>
  <c r="D54" i="2" a="1"/>
  <c r="D54" i="2" s="1"/>
  <c r="AF53" i="2"/>
  <c r="Z53" i="2"/>
  <c r="T53" i="2"/>
  <c r="O53" i="2"/>
  <c r="U53" i="2" s="1"/>
  <c r="AA53" i="2" s="1"/>
  <c r="N53" i="2"/>
  <c r="AH53" i="2"/>
  <c r="H53" i="2"/>
  <c r="E53" i="2" a="1"/>
  <c r="E53" i="2" s="1"/>
  <c r="F53" i="2" s="1"/>
  <c r="D53" i="2" a="1"/>
  <c r="D53" i="2" s="1"/>
  <c r="AF52" i="2"/>
  <c r="Z52" i="2"/>
  <c r="T52" i="2"/>
  <c r="O52" i="2"/>
  <c r="U52" i="2" s="1"/>
  <c r="AA52" i="2" s="1"/>
  <c r="N52" i="2"/>
  <c r="AB52" i="2"/>
  <c r="H52" i="2"/>
  <c r="E52" i="2" a="1"/>
  <c r="E52" i="2" s="1"/>
  <c r="F52" i="2" s="1"/>
  <c r="D52" i="2" a="1"/>
  <c r="D52" i="2" s="1"/>
  <c r="AF51" i="2"/>
  <c r="Z51" i="2"/>
  <c r="U51" i="2"/>
  <c r="AA51" i="2" s="1"/>
  <c r="T51" i="2"/>
  <c r="O51" i="2"/>
  <c r="N51" i="2"/>
  <c r="AH51" i="2"/>
  <c r="H51" i="2"/>
  <c r="E51" i="2" a="1"/>
  <c r="E51" i="2" s="1"/>
  <c r="F51" i="2" s="1"/>
  <c r="D51" i="2" a="1"/>
  <c r="D51" i="2" s="1"/>
  <c r="AF50" i="2"/>
  <c r="Z50" i="2"/>
  <c r="T50" i="2"/>
  <c r="O50" i="2"/>
  <c r="U50" i="2" s="1"/>
  <c r="AA50" i="2" s="1"/>
  <c r="N50" i="2"/>
  <c r="AB50" i="2"/>
  <c r="H50" i="2"/>
  <c r="E50" i="2" a="1"/>
  <c r="E50" i="2" s="1"/>
  <c r="F50" i="2" s="1"/>
  <c r="D50" i="2" a="1"/>
  <c r="D50" i="2" s="1"/>
  <c r="Z47" i="2"/>
  <c r="V47" i="2"/>
  <c r="T47" i="2"/>
  <c r="N47" i="2"/>
  <c r="H47" i="2"/>
  <c r="AF46" i="2"/>
  <c r="Z46" i="2"/>
  <c r="T46" i="2"/>
  <c r="U46" i="2"/>
  <c r="N46" i="2"/>
  <c r="AH46" i="2"/>
  <c r="H46" i="2"/>
  <c r="E46" i="2" a="1"/>
  <c r="E46" i="2" s="1"/>
  <c r="F46" i="2" s="1"/>
  <c r="D46" i="2" a="1"/>
  <c r="D46" i="2" s="1"/>
  <c r="AF42" i="2"/>
  <c r="Z42" i="2"/>
  <c r="T42" i="2"/>
  <c r="O42" i="2"/>
  <c r="U42" i="2" s="1"/>
  <c r="AA42" i="2" s="1"/>
  <c r="N42" i="2"/>
  <c r="AH42" i="2"/>
  <c r="H42" i="2"/>
  <c r="E42" i="2" a="1"/>
  <c r="E42" i="2" s="1"/>
  <c r="F42" i="2" s="1"/>
  <c r="D42" i="2" a="1"/>
  <c r="D42" i="2" s="1"/>
  <c r="AF41" i="2"/>
  <c r="Z41" i="2"/>
  <c r="T41" i="2"/>
  <c r="O41" i="2"/>
  <c r="U41" i="2" s="1"/>
  <c r="AA41" i="2" s="1"/>
  <c r="N41" i="2"/>
  <c r="AB41" i="2"/>
  <c r="H41" i="2"/>
  <c r="E41" i="2" a="1"/>
  <c r="E41" i="2" s="1"/>
  <c r="F41" i="2" s="1"/>
  <c r="D41" i="2" a="1"/>
  <c r="D41" i="2" s="1"/>
  <c r="AF40" i="2"/>
  <c r="Z40" i="2"/>
  <c r="T40" i="2"/>
  <c r="O40" i="2"/>
  <c r="U40" i="2" s="1"/>
  <c r="AA40" i="2" s="1"/>
  <c r="N40" i="2"/>
  <c r="V40" i="2"/>
  <c r="H40" i="2"/>
  <c r="E40" i="2" a="1"/>
  <c r="E40" i="2" s="1"/>
  <c r="F40" i="2" s="1"/>
  <c r="D40" i="2" a="1"/>
  <c r="D40" i="2" s="1"/>
  <c r="AF39" i="2"/>
  <c r="Z39" i="2"/>
  <c r="T39" i="2"/>
  <c r="O39" i="2"/>
  <c r="U39" i="2" s="1"/>
  <c r="AA39" i="2" s="1"/>
  <c r="N39" i="2"/>
  <c r="AB39" i="2"/>
  <c r="H39" i="2"/>
  <c r="E39" i="2" a="1"/>
  <c r="E39" i="2" s="1"/>
  <c r="F39" i="2" s="1"/>
  <c r="D39" i="2" a="1"/>
  <c r="D39" i="2" s="1"/>
  <c r="AF38" i="2"/>
  <c r="Z38" i="2"/>
  <c r="T38" i="2"/>
  <c r="O38" i="2"/>
  <c r="U38" i="2" s="1"/>
  <c r="AA38" i="2" s="1"/>
  <c r="N38" i="2"/>
  <c r="H38" i="2"/>
  <c r="E38" i="2" a="1"/>
  <c r="E38" i="2" s="1"/>
  <c r="F38" i="2" s="1"/>
  <c r="D38" i="2" a="1"/>
  <c r="D38" i="2" s="1"/>
  <c r="AF34" i="2"/>
  <c r="Z34" i="2"/>
  <c r="T34" i="2"/>
  <c r="O34" i="2"/>
  <c r="U34" i="2" s="1"/>
  <c r="AA34" i="2" s="1"/>
  <c r="N34" i="2"/>
  <c r="AB34" i="2"/>
  <c r="H34" i="2"/>
  <c r="E34" i="2" a="1"/>
  <c r="E34" i="2" s="1"/>
  <c r="F34" i="2" s="1"/>
  <c r="D34" i="2" a="1"/>
  <c r="D34" i="2" s="1"/>
  <c r="AF32" i="2"/>
  <c r="Z32" i="2"/>
  <c r="T32" i="2"/>
  <c r="U32" i="2"/>
  <c r="N32" i="2"/>
  <c r="V32" i="2"/>
  <c r="H32" i="2"/>
  <c r="E32" i="2" a="1"/>
  <c r="E32" i="2" s="1"/>
  <c r="F32" i="2" s="1"/>
  <c r="D32" i="2" a="1"/>
  <c r="D32" i="2" s="1"/>
  <c r="AF31" i="2"/>
  <c r="Z31" i="2"/>
  <c r="T31" i="2"/>
  <c r="O31" i="2"/>
  <c r="U31" i="2" s="1"/>
  <c r="AA31" i="2" s="1"/>
  <c r="N31" i="2"/>
  <c r="AB31" i="2"/>
  <c r="H31" i="2"/>
  <c r="E31" i="2" a="1"/>
  <c r="E31" i="2" s="1"/>
  <c r="F31" i="2" s="1"/>
  <c r="D31" i="2" a="1"/>
  <c r="D31" i="2" s="1"/>
  <c r="AF30" i="2"/>
  <c r="Z30" i="2"/>
  <c r="T30" i="2"/>
  <c r="O30" i="2"/>
  <c r="U30" i="2" s="1"/>
  <c r="AA30" i="2" s="1"/>
  <c r="N30" i="2"/>
  <c r="H30" i="2"/>
  <c r="E30" i="2" a="1"/>
  <c r="E30" i="2" s="1"/>
  <c r="F30" i="2" s="1"/>
  <c r="D30" i="2" a="1"/>
  <c r="D30" i="2" s="1"/>
  <c r="AF29" i="2"/>
  <c r="Z29" i="2"/>
  <c r="T29" i="2"/>
  <c r="O29" i="2"/>
  <c r="U29" i="2" s="1"/>
  <c r="AA29" i="2" s="1"/>
  <c r="N29" i="2"/>
  <c r="AB29" i="2"/>
  <c r="H29" i="2"/>
  <c r="E29" i="2" a="1"/>
  <c r="E29" i="2" s="1"/>
  <c r="F29" i="2" s="1"/>
  <c r="D29" i="2" a="1"/>
  <c r="D29" i="2" s="1"/>
  <c r="AF28" i="2"/>
  <c r="Z28" i="2"/>
  <c r="T28" i="2"/>
  <c r="O28" i="2"/>
  <c r="U28" i="2" s="1"/>
  <c r="AA28" i="2" s="1"/>
  <c r="N28" i="2"/>
  <c r="V28" i="2"/>
  <c r="H28" i="2"/>
  <c r="E28" i="2" a="1"/>
  <c r="E28" i="2" s="1"/>
  <c r="F28" i="2" s="1"/>
  <c r="D28" i="2" a="1"/>
  <c r="D28" i="2" s="1"/>
  <c r="AF24" i="2"/>
  <c r="Z24" i="2"/>
  <c r="T24" i="2"/>
  <c r="O24" i="2"/>
  <c r="U24" i="2" s="1"/>
  <c r="AA24" i="2" s="1"/>
  <c r="N24" i="2"/>
  <c r="AB24" i="2"/>
  <c r="H24" i="2"/>
  <c r="E24" i="2" a="1"/>
  <c r="E24" i="2" s="1"/>
  <c r="F24" i="2" s="1"/>
  <c r="D24" i="2" a="1"/>
  <c r="D24" i="2" s="1"/>
  <c r="AF23" i="2"/>
  <c r="Z23" i="2"/>
  <c r="T23" i="2"/>
  <c r="O23" i="2"/>
  <c r="U23" i="2" s="1"/>
  <c r="AA23" i="2" s="1"/>
  <c r="N23" i="2"/>
  <c r="H23" i="2"/>
  <c r="E23" i="2" a="1"/>
  <c r="E23" i="2" s="1"/>
  <c r="F23" i="2" s="1"/>
  <c r="D23" i="2" a="1"/>
  <c r="D23" i="2" s="1"/>
  <c r="AF22" i="2"/>
  <c r="Z22" i="2"/>
  <c r="T22" i="2"/>
  <c r="O22" i="2"/>
  <c r="U22" i="2" s="1"/>
  <c r="AA22" i="2" s="1"/>
  <c r="N22" i="2"/>
  <c r="AB22" i="2"/>
  <c r="H22" i="2"/>
  <c r="E22" i="2" a="1"/>
  <c r="E22" i="2" s="1"/>
  <c r="F22" i="2" s="1"/>
  <c r="D22" i="2" a="1"/>
  <c r="D22" i="2" s="1"/>
  <c r="AF21" i="2"/>
  <c r="Z21" i="2"/>
  <c r="T21" i="2"/>
  <c r="O21" i="2"/>
  <c r="U21" i="2" s="1"/>
  <c r="AA21" i="2" s="1"/>
  <c r="N21" i="2"/>
  <c r="V21" i="2"/>
  <c r="H21" i="2"/>
  <c r="E21" i="2" a="1"/>
  <c r="E21" i="2" s="1"/>
  <c r="F21" i="2" s="1"/>
  <c r="D21" i="2" a="1"/>
  <c r="D21" i="2" s="1"/>
  <c r="AF17" i="2"/>
  <c r="Z17" i="2"/>
  <c r="T17" i="2"/>
  <c r="O17" i="2"/>
  <c r="U17" i="2" s="1"/>
  <c r="AA17" i="2" s="1"/>
  <c r="N17" i="2"/>
  <c r="AB17" i="2"/>
  <c r="H17" i="2"/>
  <c r="E17" i="2" a="1"/>
  <c r="E17" i="2" s="1"/>
  <c r="F17" i="2" s="1"/>
  <c r="D17" i="2" a="1"/>
  <c r="D17" i="2" s="1"/>
  <c r="AF16" i="2"/>
  <c r="Z16" i="2"/>
  <c r="T16" i="2"/>
  <c r="O16" i="2"/>
  <c r="U16" i="2" s="1"/>
  <c r="AA16" i="2" s="1"/>
  <c r="N16" i="2"/>
  <c r="E16" i="2" a="1"/>
  <c r="E16" i="2" s="1"/>
  <c r="F16" i="2" s="1"/>
  <c r="D16" i="2" a="1"/>
  <c r="D16" i="2" s="1"/>
  <c r="AF15" i="2"/>
  <c r="Z15" i="2"/>
  <c r="T15" i="2"/>
  <c r="O15" i="2"/>
  <c r="U15" i="2" s="1"/>
  <c r="AA15" i="2" s="1"/>
  <c r="N15" i="2"/>
  <c r="AB15" i="2"/>
  <c r="H15" i="2"/>
  <c r="E15" i="2" a="1"/>
  <c r="E15" i="2" s="1"/>
  <c r="F15" i="2" s="1"/>
  <c r="D15" i="2" a="1"/>
  <c r="D15" i="2" s="1"/>
  <c r="Z13" i="2"/>
  <c r="V13" i="2"/>
  <c r="T13" i="2"/>
  <c r="N13" i="2"/>
  <c r="H13" i="2"/>
  <c r="E13" i="2" a="1"/>
  <c r="E13" i="2" s="1"/>
  <c r="F13" i="2" s="1"/>
  <c r="D13" i="2" a="1"/>
  <c r="D13" i="2" s="1"/>
  <c r="AF12" i="2"/>
  <c r="Z12" i="2"/>
  <c r="T12" i="2"/>
  <c r="U12" i="2"/>
  <c r="AA13" i="2" s="1"/>
  <c r="N12" i="2"/>
  <c r="AB12" i="2"/>
  <c r="H12" i="2"/>
  <c r="E12" i="2" a="1"/>
  <c r="E12" i="2" s="1"/>
  <c r="F12" i="2" s="1"/>
  <c r="D12" i="2" a="1"/>
  <c r="D12" i="2" s="1"/>
  <c r="AF11" i="2"/>
  <c r="Z11" i="2"/>
  <c r="T11" i="2"/>
  <c r="O11" i="2"/>
  <c r="U11" i="2" s="1"/>
  <c r="AA11" i="2" s="1"/>
  <c r="N11" i="2"/>
  <c r="H11" i="2"/>
  <c r="E11" i="2" a="1"/>
  <c r="E11" i="2" s="1"/>
  <c r="F11" i="2" s="1"/>
  <c r="D11" i="2" a="1"/>
  <c r="D11" i="2" s="1"/>
  <c r="AB51" i="2" l="1"/>
  <c r="V42" i="2"/>
  <c r="AA12" i="2"/>
  <c r="P41" i="2"/>
  <c r="P50" i="2"/>
  <c r="V51" i="2"/>
  <c r="AB42" i="2"/>
  <c r="P46" i="2"/>
  <c r="AH52" i="2"/>
  <c r="AH22" i="2"/>
  <c r="AH54" i="2"/>
  <c r="P29" i="2"/>
  <c r="V34" i="2"/>
  <c r="AA46" i="2"/>
  <c r="AA47" i="2"/>
  <c r="V53" i="2"/>
  <c r="P22" i="2"/>
  <c r="V29" i="2"/>
  <c r="AA32" i="2"/>
  <c r="AA33" i="2"/>
  <c r="P52" i="2"/>
  <c r="AB53" i="2"/>
  <c r="AH15" i="2"/>
  <c r="AH34" i="2"/>
  <c r="P15" i="2"/>
  <c r="V22" i="2"/>
  <c r="AH29" i="2"/>
  <c r="AH50" i="2"/>
  <c r="V15" i="2"/>
  <c r="P34" i="2"/>
  <c r="AB47" i="2"/>
  <c r="AH11" i="2"/>
  <c r="P11" i="2"/>
  <c r="V12" i="2"/>
  <c r="AH16" i="2"/>
  <c r="P16" i="2"/>
  <c r="AB16" i="2"/>
  <c r="P12" i="2"/>
  <c r="P13" i="2"/>
  <c r="AB13" i="2"/>
  <c r="P17" i="2"/>
  <c r="AH21" i="2"/>
  <c r="P21" i="2"/>
  <c r="AB21" i="2"/>
  <c r="P24" i="2"/>
  <c r="AH28" i="2"/>
  <c r="P28" i="2"/>
  <c r="AB28" i="2"/>
  <c r="P31" i="2"/>
  <c r="AH32" i="2"/>
  <c r="P32" i="2"/>
  <c r="AB32" i="2"/>
  <c r="P39" i="2"/>
  <c r="AH40" i="2"/>
  <c r="P40" i="2"/>
  <c r="AB40" i="2"/>
  <c r="V41" i="2"/>
  <c r="AH41" i="2"/>
  <c r="AB11" i="2"/>
  <c r="V24" i="2"/>
  <c r="AH24" i="2"/>
  <c r="AH30" i="2"/>
  <c r="P30" i="2"/>
  <c r="AB30" i="2"/>
  <c r="AH38" i="2"/>
  <c r="P38" i="2"/>
  <c r="AB38" i="2"/>
  <c r="V39" i="2"/>
  <c r="AH12" i="2"/>
  <c r="V17" i="2"/>
  <c r="AH17" i="2"/>
  <c r="AH23" i="2"/>
  <c r="P23" i="2"/>
  <c r="AB23" i="2"/>
  <c r="V31" i="2"/>
  <c r="AH31" i="2"/>
  <c r="AH39" i="2"/>
  <c r="V11" i="2"/>
  <c r="V16" i="2"/>
  <c r="V23" i="2"/>
  <c r="V30" i="2"/>
  <c r="V38" i="2"/>
  <c r="AB46" i="2"/>
  <c r="V46" i="2"/>
  <c r="V50" i="2"/>
  <c r="V52" i="2"/>
  <c r="V54" i="2"/>
  <c r="P42" i="2"/>
  <c r="P47" i="2"/>
  <c r="P51" i="2"/>
  <c r="P53" i="2"/>
  <c r="O52" i="1"/>
  <c r="U52" i="1" s="1"/>
  <c r="AA52" i="1" s="1"/>
  <c r="AG52" i="1" s="1"/>
  <c r="AM52" i="1" s="1"/>
  <c r="O51" i="1"/>
  <c r="U51" i="1" s="1"/>
  <c r="AA51" i="1" s="1"/>
  <c r="AG51" i="1" s="1"/>
  <c r="AM51" i="1" s="1"/>
  <c r="O50" i="1"/>
  <c r="U50" i="1" s="1"/>
  <c r="AA50" i="1" s="1"/>
  <c r="AG50" i="1" s="1"/>
  <c r="AM50" i="1" s="1"/>
  <c r="O49" i="1"/>
  <c r="U49" i="1" s="1"/>
  <c r="AA49" i="1" s="1"/>
  <c r="AG49" i="1" s="1"/>
  <c r="AM49" i="1" s="1"/>
  <c r="O48" i="1"/>
  <c r="U48" i="1" s="1"/>
  <c r="AA48" i="1" s="1"/>
  <c r="AG48" i="1" s="1"/>
  <c r="AM48" i="1" s="1"/>
  <c r="O47" i="1"/>
  <c r="U47" i="1" s="1"/>
  <c r="AA47" i="1" s="1"/>
  <c r="AG47" i="1" s="1"/>
  <c r="AM47" i="1" s="1"/>
  <c r="O46" i="1"/>
  <c r="U46" i="1" s="1"/>
  <c r="AA46" i="1" s="1"/>
  <c r="AG46" i="1" s="1"/>
  <c r="AM46" i="1" s="1"/>
  <c r="O42" i="1"/>
  <c r="U42" i="1" s="1"/>
  <c r="AA42" i="1" s="1"/>
  <c r="AG42" i="1" s="1"/>
  <c r="AM42" i="1" s="1"/>
  <c r="O41" i="1"/>
  <c r="U41" i="1" s="1"/>
  <c r="AA41" i="1" s="1"/>
  <c r="AG41" i="1" s="1"/>
  <c r="AM41" i="1" s="1"/>
  <c r="O40" i="1"/>
  <c r="U40" i="1" s="1"/>
  <c r="AA40" i="1" s="1"/>
  <c r="AG40" i="1" s="1"/>
  <c r="AM40" i="1" s="1"/>
  <c r="O39" i="1"/>
  <c r="U39" i="1" s="1"/>
  <c r="AA39" i="1" s="1"/>
  <c r="AG39" i="1" s="1"/>
  <c r="AM39" i="1" s="1"/>
  <c r="O38" i="1"/>
  <c r="U38" i="1" s="1"/>
  <c r="AA38" i="1" s="1"/>
  <c r="AG38" i="1" s="1"/>
  <c r="AM38" i="1" s="1"/>
  <c r="O34" i="1"/>
  <c r="U34" i="1" s="1"/>
  <c r="AA34" i="1" s="1"/>
  <c r="AG34" i="1" s="1"/>
  <c r="AM34" i="1" s="1"/>
  <c r="O33" i="1"/>
  <c r="U33" i="1" s="1"/>
  <c r="AA33" i="1" s="1"/>
  <c r="AG33" i="1" s="1"/>
  <c r="AM33" i="1" s="1"/>
  <c r="O32" i="1"/>
  <c r="U32" i="1" s="1"/>
  <c r="AA32" i="1" s="1"/>
  <c r="AG32" i="1" s="1"/>
  <c r="AM32" i="1" s="1"/>
  <c r="O31" i="1"/>
  <c r="U31" i="1" s="1"/>
  <c r="AA31" i="1" s="1"/>
  <c r="AG31" i="1" s="1"/>
  <c r="AM31" i="1" s="1"/>
  <c r="O30" i="1"/>
  <c r="U30" i="1" s="1"/>
  <c r="AA30" i="1" s="1"/>
  <c r="AG30" i="1" s="1"/>
  <c r="AM30" i="1" s="1"/>
  <c r="O29" i="1"/>
  <c r="U29" i="1" s="1"/>
  <c r="AA29" i="1" s="1"/>
  <c r="AG29" i="1" s="1"/>
  <c r="AM29" i="1" s="1"/>
  <c r="O25" i="1"/>
  <c r="U25" i="1" s="1"/>
  <c r="AA25" i="1" s="1"/>
  <c r="AG25" i="1" s="1"/>
  <c r="AM25" i="1" s="1"/>
  <c r="O24" i="1"/>
  <c r="U24" i="1" s="1"/>
  <c r="AA24" i="1" s="1"/>
  <c r="AG24" i="1" s="1"/>
  <c r="AM24" i="1" s="1"/>
  <c r="O23" i="1"/>
  <c r="U23" i="1" s="1"/>
  <c r="AA23" i="1" s="1"/>
  <c r="AG23" i="1" s="1"/>
  <c r="AM23" i="1" s="1"/>
  <c r="O22" i="1"/>
  <c r="U22" i="1" s="1"/>
  <c r="AA22" i="1" s="1"/>
  <c r="AG22" i="1" s="1"/>
  <c r="AM22" i="1" s="1"/>
  <c r="O18" i="1"/>
  <c r="U18" i="1" s="1"/>
  <c r="AA18" i="1" s="1"/>
  <c r="AG18" i="1" s="1"/>
  <c r="AM18" i="1" s="1"/>
  <c r="O17" i="1"/>
  <c r="U17" i="1" s="1"/>
  <c r="AA17" i="1" s="1"/>
  <c r="AG17" i="1" s="1"/>
  <c r="AM17" i="1" s="1"/>
  <c r="O16" i="1"/>
  <c r="U16" i="1" s="1"/>
  <c r="AA16" i="1" s="1"/>
  <c r="AG16" i="1" s="1"/>
  <c r="AM16" i="1" s="1"/>
  <c r="O15" i="1"/>
  <c r="U15" i="1" s="1"/>
  <c r="AA15" i="1" s="1"/>
  <c r="AG15" i="1" s="1"/>
  <c r="AM15" i="1" s="1"/>
  <c r="O14" i="1"/>
  <c r="U14" i="1" s="1"/>
  <c r="AA14" i="1" s="1"/>
  <c r="AG14" i="1" s="1"/>
  <c r="AM14" i="1" s="1"/>
  <c r="O13" i="1"/>
  <c r="U13" i="1" s="1"/>
  <c r="AA13" i="1" s="1"/>
  <c r="AG13" i="1" s="1"/>
  <c r="AM13" i="1" s="1"/>
  <c r="AR52" i="1" l="1"/>
  <c r="T52" i="1"/>
  <c r="N52" i="1"/>
  <c r="J52" i="1"/>
  <c r="H52" i="1"/>
  <c r="AR51" i="1"/>
  <c r="T51" i="1"/>
  <c r="N51" i="1"/>
  <c r="J51" i="1"/>
  <c r="H51" i="1"/>
  <c r="AR50" i="1"/>
  <c r="T50" i="1"/>
  <c r="N50" i="1"/>
  <c r="J50" i="1"/>
  <c r="H50" i="1"/>
  <c r="AR49" i="1"/>
  <c r="T49" i="1"/>
  <c r="N49" i="1"/>
  <c r="J49" i="1"/>
  <c r="H49" i="1"/>
  <c r="AR48" i="1"/>
  <c r="T48" i="1"/>
  <c r="N48" i="1"/>
  <c r="J48" i="1"/>
  <c r="H48" i="1"/>
  <c r="AR47" i="1"/>
  <c r="T47" i="1"/>
  <c r="N47" i="1"/>
  <c r="J47" i="1"/>
  <c r="H47" i="1"/>
  <c r="AR46" i="1"/>
  <c r="T46" i="1"/>
  <c r="N46" i="1"/>
  <c r="J46" i="1"/>
  <c r="H46" i="1"/>
  <c r="AR42" i="1"/>
  <c r="T42" i="1"/>
  <c r="N42" i="1"/>
  <c r="J42" i="1"/>
  <c r="H42" i="1"/>
  <c r="AR41" i="1"/>
  <c r="T41" i="1"/>
  <c r="N41" i="1"/>
  <c r="J41" i="1"/>
  <c r="H41" i="1"/>
  <c r="AR40" i="1"/>
  <c r="T40" i="1"/>
  <c r="N40" i="1"/>
  <c r="J40" i="1"/>
  <c r="H40" i="1"/>
  <c r="AR39" i="1"/>
  <c r="T39" i="1"/>
  <c r="N39" i="1"/>
  <c r="J39" i="1"/>
  <c r="H39" i="1"/>
  <c r="AR38" i="1"/>
  <c r="T38" i="1"/>
  <c r="N38" i="1"/>
  <c r="J38" i="1"/>
  <c r="H38" i="1"/>
  <c r="AR34" i="1"/>
  <c r="T34" i="1"/>
  <c r="N34" i="1"/>
  <c r="J34" i="1"/>
  <c r="H34" i="1"/>
  <c r="AR33" i="1"/>
  <c r="T33" i="1"/>
  <c r="N33" i="1"/>
  <c r="J33" i="1"/>
  <c r="H33" i="1"/>
  <c r="AR32" i="1"/>
  <c r="T32" i="1"/>
  <c r="N32" i="1"/>
  <c r="J32" i="1"/>
  <c r="H32" i="1"/>
  <c r="AR31" i="1"/>
  <c r="T31" i="1"/>
  <c r="N31" i="1"/>
  <c r="J31" i="1"/>
  <c r="H31" i="1"/>
  <c r="AR30" i="1"/>
  <c r="T30" i="1"/>
  <c r="N30" i="1"/>
  <c r="J30" i="1"/>
  <c r="H30" i="1"/>
  <c r="AR29" i="1"/>
  <c r="T29" i="1"/>
  <c r="N29" i="1"/>
  <c r="J29" i="1"/>
  <c r="H29" i="1"/>
  <c r="AR25" i="1"/>
  <c r="N25" i="1"/>
  <c r="J25" i="1"/>
  <c r="H25" i="1"/>
  <c r="AR24" i="1"/>
  <c r="T24" i="1"/>
  <c r="N24" i="1"/>
  <c r="J24" i="1"/>
  <c r="H24" i="1"/>
  <c r="AR23" i="1"/>
  <c r="T23" i="1"/>
  <c r="N23" i="1"/>
  <c r="J23" i="1"/>
  <c r="H23" i="1"/>
  <c r="AR22" i="1"/>
  <c r="T22" i="1"/>
  <c r="N22" i="1"/>
  <c r="J22" i="1"/>
  <c r="H22" i="1"/>
  <c r="AR18" i="1"/>
  <c r="T18" i="1"/>
  <c r="N18" i="1"/>
  <c r="J18" i="1"/>
  <c r="H18" i="1"/>
  <c r="AR17" i="1"/>
  <c r="T17" i="1"/>
  <c r="N17" i="1"/>
  <c r="J17" i="1"/>
  <c r="H17" i="1"/>
  <c r="AR16" i="1"/>
  <c r="T16" i="1"/>
  <c r="N16" i="1"/>
  <c r="J16" i="1"/>
  <c r="H16" i="1"/>
  <c r="AR15" i="1"/>
  <c r="T15" i="1"/>
  <c r="N15" i="1"/>
  <c r="J15" i="1"/>
  <c r="H15" i="1"/>
  <c r="AR14" i="1"/>
  <c r="T14" i="1"/>
  <c r="N14" i="1"/>
  <c r="J14" i="1"/>
  <c r="H14" i="1"/>
  <c r="AR13" i="1"/>
  <c r="T13" i="1"/>
  <c r="N13" i="1"/>
  <c r="J13" i="1"/>
  <c r="H13" i="1"/>
  <c r="E52" i="1" a="1"/>
  <c r="E52" i="1" s="1"/>
  <c r="F52" i="1" s="1"/>
  <c r="D52" i="1" a="1"/>
  <c r="D52" i="1" s="1"/>
  <c r="AT22" i="1" l="1"/>
  <c r="AN22" i="1"/>
  <c r="P22" i="1"/>
  <c r="AB22" i="1" s="1"/>
  <c r="V22" i="1"/>
  <c r="AH22" i="1" s="1"/>
  <c r="AT41" i="1"/>
  <c r="P41" i="1"/>
  <c r="AB41" i="1" s="1"/>
  <c r="V41" i="1"/>
  <c r="AH41" i="1" s="1"/>
  <c r="AN41" i="1"/>
  <c r="P42" i="1"/>
  <c r="AB42" i="1" s="1"/>
  <c r="AN42" i="1"/>
  <c r="V42" i="1"/>
  <c r="AH42" i="1" s="1"/>
  <c r="V49" i="1"/>
  <c r="AH49" i="1" s="1"/>
  <c r="P49" i="1"/>
  <c r="AB49" i="1" s="1"/>
  <c r="AN49" i="1"/>
  <c r="V15" i="1"/>
  <c r="AH15" i="1" s="1"/>
  <c r="AN15" i="1"/>
  <c r="P15" i="1"/>
  <c r="AB15" i="1" s="1"/>
  <c r="AT30" i="1"/>
  <c r="V30" i="1"/>
  <c r="AH30" i="1" s="1"/>
  <c r="P30" i="1"/>
  <c r="AB30" i="1" s="1"/>
  <c r="AN30" i="1"/>
  <c r="V34" i="1"/>
  <c r="AH34" i="1" s="1"/>
  <c r="P34" i="1"/>
  <c r="AB34" i="1" s="1"/>
  <c r="AN34" i="1"/>
  <c r="V48" i="1"/>
  <c r="AH48" i="1" s="1"/>
  <c r="P48" i="1"/>
  <c r="AB48" i="1" s="1"/>
  <c r="AN48" i="1"/>
  <c r="AT52" i="1"/>
  <c r="V52" i="1"/>
  <c r="AH52" i="1" s="1"/>
  <c r="P52" i="1"/>
  <c r="AB52" i="1" s="1"/>
  <c r="AN52" i="1"/>
  <c r="AT16" i="1"/>
  <c r="P16" i="1"/>
  <c r="AB16" i="1" s="1"/>
  <c r="V16" i="1"/>
  <c r="AH16" i="1" s="1"/>
  <c r="AN16" i="1"/>
  <c r="V23" i="1"/>
  <c r="AH23" i="1" s="1"/>
  <c r="P23" i="1"/>
  <c r="AB23" i="1" s="1"/>
  <c r="AN23" i="1"/>
  <c r="V31" i="1"/>
  <c r="AH31" i="1" s="1"/>
  <c r="AN31" i="1"/>
  <c r="P31" i="1"/>
  <c r="AB31" i="1" s="1"/>
  <c r="P38" i="1"/>
  <c r="AB38" i="1" s="1"/>
  <c r="V38" i="1"/>
  <c r="AH38" i="1" s="1"/>
  <c r="AN38" i="1"/>
  <c r="AN13" i="1"/>
  <c r="P13" i="1"/>
  <c r="AB13" i="1" s="1"/>
  <c r="V13" i="1"/>
  <c r="AH13" i="1" s="1"/>
  <c r="P17" i="1"/>
  <c r="AB17" i="1" s="1"/>
  <c r="AN17" i="1"/>
  <c r="V17" i="1"/>
  <c r="AH17" i="1" s="1"/>
  <c r="AN24" i="1"/>
  <c r="V24" i="1"/>
  <c r="AH24" i="1" s="1"/>
  <c r="P24" i="1"/>
  <c r="AB24" i="1" s="1"/>
  <c r="AT32" i="1"/>
  <c r="P32" i="1"/>
  <c r="AB32" i="1" s="1"/>
  <c r="V32" i="1"/>
  <c r="AH32" i="1" s="1"/>
  <c r="AN32" i="1"/>
  <c r="AT39" i="1"/>
  <c r="V39" i="1"/>
  <c r="AH39" i="1" s="1"/>
  <c r="P39" i="1"/>
  <c r="AB39" i="1" s="1"/>
  <c r="AN39" i="1"/>
  <c r="P46" i="1"/>
  <c r="AB46" i="1" s="1"/>
  <c r="V46" i="1"/>
  <c r="AH46" i="1" s="1"/>
  <c r="AN46" i="1"/>
  <c r="AT50" i="1"/>
  <c r="V50" i="1"/>
  <c r="AH50" i="1" s="1"/>
  <c r="P50" i="1"/>
  <c r="AB50" i="1" s="1"/>
  <c r="AN50" i="1"/>
  <c r="AT14" i="1"/>
  <c r="V14" i="1"/>
  <c r="AH14" i="1" s="1"/>
  <c r="P14" i="1"/>
  <c r="AB14" i="1" s="1"/>
  <c r="AN14" i="1"/>
  <c r="AT18" i="1"/>
  <c r="V18" i="1"/>
  <c r="AH18" i="1" s="1"/>
  <c r="P18" i="1"/>
  <c r="AB18" i="1" s="1"/>
  <c r="AN18" i="1"/>
  <c r="P25" i="1"/>
  <c r="AB25" i="1" s="1"/>
  <c r="V25" i="1"/>
  <c r="AH25" i="1" s="1"/>
  <c r="AN25" i="1"/>
  <c r="AN29" i="1"/>
  <c r="P29" i="1"/>
  <c r="AB29" i="1" s="1"/>
  <c r="V29" i="1"/>
  <c r="AH29" i="1" s="1"/>
  <c r="AT33" i="1"/>
  <c r="P33" i="1"/>
  <c r="AB33" i="1" s="1"/>
  <c r="AN33" i="1"/>
  <c r="V33" i="1"/>
  <c r="AH33" i="1" s="1"/>
  <c r="V40" i="1"/>
  <c r="AH40" i="1" s="1"/>
  <c r="AN40" i="1"/>
  <c r="P40" i="1"/>
  <c r="AB40" i="1" s="1"/>
  <c r="AT47" i="1"/>
  <c r="AN47" i="1"/>
  <c r="V47" i="1"/>
  <c r="AH47" i="1" s="1"/>
  <c r="P47" i="1"/>
  <c r="AB47" i="1" s="1"/>
  <c r="AN51" i="1"/>
  <c r="V51" i="1"/>
  <c r="AH51" i="1" s="1"/>
  <c r="P51" i="1"/>
  <c r="AB51" i="1" s="1"/>
  <c r="AT25" i="1"/>
  <c r="AT38" i="1"/>
  <c r="AT49" i="1"/>
  <c r="AT13" i="1"/>
  <c r="AT31" i="1"/>
  <c r="AT24" i="1"/>
  <c r="AT42" i="1"/>
  <c r="AT17" i="1"/>
  <c r="AT46" i="1"/>
  <c r="AT15" i="1"/>
  <c r="AT29" i="1"/>
  <c r="AT40" i="1"/>
  <c r="AT51" i="1"/>
  <c r="AT23" i="1"/>
  <c r="AT34" i="1"/>
  <c r="AT48" i="1"/>
  <c r="E23" i="1" l="1" a="1"/>
  <c r="E23" i="1" s="1"/>
  <c r="F23" i="1" s="1"/>
  <c r="D23" i="1" a="1"/>
  <c r="D23" i="1" s="1"/>
  <c r="D24" i="1" a="1"/>
  <c r="D24" i="1" s="1"/>
  <c r="E24" i="1" a="1"/>
  <c r="E24" i="1" s="1"/>
  <c r="F24" i="1" s="1"/>
  <c r="E51" i="1" l="1" a="1"/>
  <c r="E51" i="1" s="1"/>
  <c r="F51" i="1" s="1"/>
  <c r="D51" i="1" a="1"/>
  <c r="D51" i="1" s="1"/>
  <c r="E50" i="1" a="1"/>
  <c r="E50" i="1" s="1"/>
  <c r="F50" i="1" s="1"/>
  <c r="D50" i="1" a="1"/>
  <c r="D50" i="1" s="1"/>
  <c r="E49" i="1" a="1"/>
  <c r="E49" i="1" s="1"/>
  <c r="F49" i="1" s="1"/>
  <c r="D49" i="1" a="1"/>
  <c r="D49" i="1" s="1"/>
  <c r="E48" i="1" a="1"/>
  <c r="E48" i="1" s="1"/>
  <c r="F48" i="1" s="1"/>
  <c r="D48" i="1" a="1"/>
  <c r="D48" i="1" s="1"/>
  <c r="E47" i="1" a="1"/>
  <c r="E47" i="1" s="1"/>
  <c r="F47" i="1" s="1"/>
  <c r="D47" i="1" a="1"/>
  <c r="D47" i="1" s="1"/>
  <c r="E46" i="1" a="1"/>
  <c r="E46" i="1" s="1"/>
  <c r="F46" i="1" s="1"/>
  <c r="D46" i="1" a="1"/>
  <c r="D46" i="1" s="1"/>
  <c r="E42" i="1" a="1"/>
  <c r="E42" i="1" s="1"/>
  <c r="F42" i="1" s="1"/>
  <c r="D42" i="1" a="1"/>
  <c r="D42" i="1" s="1"/>
  <c r="E41" i="1" a="1"/>
  <c r="E41" i="1" s="1"/>
  <c r="F41" i="1" s="1"/>
  <c r="D41" i="1" a="1"/>
  <c r="D41" i="1" s="1"/>
  <c r="E40" i="1" a="1"/>
  <c r="E40" i="1" s="1"/>
  <c r="F40" i="1" s="1"/>
  <c r="D40" i="1" a="1"/>
  <c r="D40" i="1" s="1"/>
  <c r="E39" i="1" a="1"/>
  <c r="E39" i="1" s="1"/>
  <c r="F39" i="1" s="1"/>
  <c r="D39" i="1" a="1"/>
  <c r="D39" i="1" s="1"/>
  <c r="E38" i="1" a="1"/>
  <c r="E38" i="1" s="1"/>
  <c r="F38" i="1" s="1"/>
  <c r="D38" i="1" a="1"/>
  <c r="D38" i="1" s="1"/>
  <c r="E34" i="1" a="1"/>
  <c r="E34" i="1" s="1"/>
  <c r="F34" i="1" s="1"/>
  <c r="D34" i="1" a="1"/>
  <c r="D34" i="1" s="1"/>
  <c r="E33" i="1" a="1"/>
  <c r="E33" i="1" s="1"/>
  <c r="F33" i="1" s="1"/>
  <c r="D33" i="1" a="1"/>
  <c r="D33" i="1" s="1"/>
  <c r="E32" i="1" a="1"/>
  <c r="E32" i="1" s="1"/>
  <c r="F32" i="1" s="1"/>
  <c r="D32" i="1" a="1"/>
  <c r="D32" i="1" s="1"/>
  <c r="E31" i="1" a="1"/>
  <c r="E31" i="1" s="1"/>
  <c r="F31" i="1" s="1"/>
  <c r="D31" i="1" a="1"/>
  <c r="D31" i="1" s="1"/>
  <c r="E30" i="1" a="1"/>
  <c r="E30" i="1" s="1"/>
  <c r="F30" i="1" s="1"/>
  <c r="D30" i="1" a="1"/>
  <c r="D30" i="1" s="1"/>
  <c r="E29" i="1" a="1"/>
  <c r="E29" i="1" s="1"/>
  <c r="F29" i="1" s="1"/>
  <c r="D29" i="1" a="1"/>
  <c r="D29" i="1" s="1"/>
  <c r="E25" i="1" a="1"/>
  <c r="E25" i="1" s="1"/>
  <c r="F25" i="1" s="1"/>
  <c r="D25" i="1" a="1"/>
  <c r="D25" i="1" s="1"/>
  <c r="E22" i="1" a="1"/>
  <c r="E22" i="1" s="1"/>
  <c r="F22" i="1" s="1"/>
  <c r="D22" i="1" a="1"/>
  <c r="D22" i="1" s="1"/>
  <c r="E18" i="1" l="1" a="1"/>
  <c r="E18" i="1" s="1"/>
  <c r="F18" i="1" s="1"/>
  <c r="D18" i="1" a="1"/>
  <c r="D18" i="1" s="1"/>
  <c r="E17" i="1" a="1"/>
  <c r="E17" i="1" s="1"/>
  <c r="F17" i="1" s="1"/>
  <c r="D17" i="1" a="1"/>
  <c r="D17" i="1" s="1"/>
  <c r="E16" i="1" a="1"/>
  <c r="E16" i="1" s="1"/>
  <c r="F16" i="1" s="1"/>
  <c r="D16" i="1" a="1"/>
  <c r="D16" i="1" s="1"/>
  <c r="E15" i="1" a="1"/>
  <c r="E15" i="1" s="1"/>
  <c r="F15" i="1" s="1"/>
  <c r="D15" i="1" a="1"/>
  <c r="D15" i="1" s="1"/>
  <c r="E14" i="1" a="1"/>
  <c r="E14" i="1" s="1"/>
  <c r="F14" i="1" s="1"/>
  <c r="D14" i="1" a="1"/>
  <c r="D14" i="1" s="1"/>
  <c r="E13" i="1" l="1" a="1"/>
  <c r="E13" i="1" s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D13" i="1" l="1" a="1"/>
  <c r="D13" i="1" s="1"/>
  <c r="F13" i="1" s="1"/>
</calcChain>
</file>

<file path=xl/sharedStrings.xml><?xml version="1.0" encoding="utf-8"?>
<sst xmlns="http://schemas.openxmlformats.org/spreadsheetml/2006/main" count="5770" uniqueCount="366">
  <si>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</si>
  <si>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</si>
  <si>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</si>
  <si>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</si>
  <si>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</si>
  <si>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</si>
  <si>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</si>
  <si>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</si>
  <si>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</si>
  <si>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</si>
  <si>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</si>
  <si>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</si>
  <si>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</si>
  <si>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</si>
  <si>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</si>
  <si>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</si>
  <si>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</si>
  <si>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</si>
  <si>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</si>
  <si>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</si>
  <si>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</si>
  <si>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</si>
  <si>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</si>
  <si>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</si>
  <si>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</si>
  <si>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</si>
  <si>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</si>
  <si>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</si>
  <si>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</si>
  <si>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</si>
  <si>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</si>
  <si>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</si>
  <si>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</si>
  <si>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</si>
  <si>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</si>
  <si>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</si>
  <si>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</si>
  <si>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</si>
  <si>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</si>
  <si>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</si>
  <si>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</si>
  <si>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</si>
  <si>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</si>
  <si>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</si>
  <si>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</si>
  <si>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</si>
  <si>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</si>
  <si>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</si>
  <si>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</si>
  <si>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</si>
  <si>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</si>
  <si>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</si>
  <si>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</si>
  <si>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</si>
  <si>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</si>
  <si>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</si>
  <si>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</si>
  <si>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</si>
  <si>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</si>
  <si>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</si>
  <si>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</si>
  <si>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</si>
  <si>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</si>
  <si>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</si>
  <si>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</si>
  <si>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</si>
  <si>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</si>
  <si>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</si>
  <si>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</si>
  <si>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</si>
  <si>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</si>
  <si>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</si>
  <si>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</si>
  <si>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</si>
  <si>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</si>
  <si>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</si>
  <si>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</si>
  <si>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</si>
  <si>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</si>
  <si>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</si>
  <si>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</si>
  <si>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</si>
  <si>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</si>
  <si>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</si>
  <si>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</si>
  <si>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</si>
  <si>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</si>
  <si>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</si>
  <si>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</si>
  <si>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</si>
  <si>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</si>
  <si>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</si>
  <si>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</si>
  <si>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</si>
  <si>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</si>
  <si>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</si>
  <si>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</si>
  <si>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</si>
  <si>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</si>
  <si>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</si>
  <si>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</si>
  <si>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</si>
  <si>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</si>
  <si>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</si>
  <si>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</si>
  <si>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</si>
  <si>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</si>
  <si>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</si>
  <si>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</si>
  <si>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</si>
  <si>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</si>
  <si>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</si>
  <si>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</si>
  <si>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</si>
  <si>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</si>
  <si>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</si>
  <si>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</si>
  <si>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</si>
  <si>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</si>
  <si>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</si>
  <si>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</si>
  <si>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</si>
  <si>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</si>
  <si>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</si>
  <si>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</si>
  <si>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</si>
  <si>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</si>
  <si>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</si>
  <si>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</si>
  <si>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</si>
  <si>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</si>
  <si>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</si>
  <si>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</si>
  <si>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</si>
  <si>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</si>
  <si>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</si>
  <si>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</si>
  <si>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</si>
  <si>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</si>
  <si>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</si>
  <si>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</si>
  <si>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</si>
  <si>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</si>
  <si>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</si>
  <si>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</si>
  <si>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</si>
  <si>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</si>
  <si>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</si>
  <si>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</si>
  <si>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</si>
  <si>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</si>
  <si>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</si>
  <si>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</si>
  <si>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</si>
  <si>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</si>
  <si>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</si>
  <si>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</si>
  <si>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</si>
  <si>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</si>
  <si>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</si>
  <si>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</si>
  <si>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</si>
  <si>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</si>
  <si>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</si>
  <si>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</si>
  <si>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</si>
  <si>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</si>
  <si>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</si>
  <si>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</si>
  <si>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</si>
  <si>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</si>
  <si>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</si>
  <si>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</si>
  <si>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</si>
  <si>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</si>
  <si>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</si>
  <si>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</si>
  <si>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</si>
  <si>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</si>
  <si>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</si>
  <si>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</si>
  <si>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</si>
  <si>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</si>
  <si>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</si>
  <si>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</si>
  <si>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</si>
  <si>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</si>
  <si>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</si>
  <si>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</si>
  <si>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</si>
  <si>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</si>
  <si>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</si>
  <si>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</si>
  <si>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</si>
  <si>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</si>
  <si>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</si>
  <si>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</si>
  <si>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</si>
  <si>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</si>
  <si>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</si>
  <si>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</si>
  <si>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</si>
  <si>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</si>
  <si>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</si>
  <si>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</si>
  <si>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</si>
  <si>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</si>
  <si>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</si>
  <si>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</si>
  <si>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</si>
  <si>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</si>
  <si>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</si>
  <si>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</si>
  <si>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</si>
  <si>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</si>
  <si>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</si>
  <si>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</si>
  <si>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</si>
  <si>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</si>
  <si>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</si>
  <si>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</si>
  <si>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</si>
  <si>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</si>
  <si>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</si>
  <si>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</si>
  <si>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</si>
  <si>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</si>
  <si>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</si>
  <si>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</si>
  <si>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</si>
  <si>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</si>
  <si>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</si>
  <si>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</si>
  <si>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</si>
  <si>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</si>
  <si>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</si>
  <si>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</si>
  <si>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</si>
  <si>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</si>
  <si>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</si>
  <si>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</si>
  <si>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</si>
  <si>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</si>
  <si>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</si>
  <si>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</si>
  <si>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</si>
  <si>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</si>
  <si>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</si>
  <si>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</si>
  <si>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</si>
  <si>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</si>
  <si>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</si>
  <si>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</si>
  <si>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</si>
  <si>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</si>
  <si>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</si>
  <si>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</si>
  <si>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</si>
  <si>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</si>
  <si>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</si>
  <si>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</si>
  <si>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</si>
  <si>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</si>
  <si>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</si>
  <si>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</si>
  <si>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</si>
  <si>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</si>
  <si>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</si>
  <si>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</si>
  <si>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</si>
  <si>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</si>
  <si>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</si>
  <si>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</si>
  <si>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</si>
  <si>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</si>
  <si>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</si>
  <si>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</si>
  <si>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</si>
  <si>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</si>
  <si>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</si>
  <si>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</si>
  <si>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</si>
  <si>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</si>
  <si>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</si>
  <si>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</si>
  <si>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</si>
  <si>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</si>
  <si>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</si>
  <si>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</si>
  <si>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</si>
  <si>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</si>
  <si>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</si>
  <si>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</si>
  <si>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</si>
  <si>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</si>
  <si>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</si>
  <si>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</si>
  <si>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</si>
  <si>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</si>
  <si>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</si>
  <si>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</si>
  <si>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</si>
  <si>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</si>
  <si>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</si>
  <si>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</si>
  <si>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</si>
  <si>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</si>
  <si>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</si>
  <si>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</si>
  <si>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</si>
  <si>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</si>
  <si>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</si>
  <si>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</si>
  <si>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</si>
  <si>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</si>
  <si>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</si>
  <si>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</si>
  <si>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</si>
  <si>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</si>
  <si>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</si>
  <si>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</si>
  <si>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</si>
  <si>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</si>
  <si>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</si>
  <si>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</si>
  <si>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</si>
  <si>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</si>
  <si>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</si>
  <si>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</si>
  <si>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</si>
  <si>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</si>
  <si>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</si>
  <si>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</si>
  <si>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</si>
  <si>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</si>
  <si>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</si>
  <si>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Day 4:</t>
  </si>
  <si>
    <t>No Rest between days 1 and 2</t>
  </si>
  <si>
    <t>Horizontal Pull</t>
  </si>
  <si>
    <t>Vertical Pull</t>
  </si>
  <si>
    <t>Rear or Side Delts</t>
  </si>
  <si>
    <t>Day 5:</t>
  </si>
  <si>
    <t>Chest Upper</t>
  </si>
  <si>
    <t>Incline Chest</t>
  </si>
  <si>
    <t>Horizontal Chest</t>
  </si>
  <si>
    <t>Quads Focused Legs</t>
  </si>
  <si>
    <t>Rest one day between days 2 and 3</t>
  </si>
  <si>
    <t>Back Upper</t>
  </si>
  <si>
    <t>No Rest between days 3 and 4</t>
  </si>
  <si>
    <t>Glute/Ham Focused Legs</t>
  </si>
  <si>
    <t>No Rest between days 4 and 5</t>
  </si>
  <si>
    <t>Shoulders/Arms Upper</t>
  </si>
  <si>
    <t>Rest one day between day 5 and the next week's day 1</t>
  </si>
  <si>
    <t>Super set this exercise</t>
  </si>
  <si>
    <t>with this one</t>
  </si>
  <si>
    <t>Week 3: Deload</t>
  </si>
  <si>
    <t>Instructional Video</t>
  </si>
  <si>
    <t>10RM</t>
  </si>
  <si>
    <t>Week 5</t>
  </si>
  <si>
    <t>Week 6</t>
  </si>
  <si>
    <t>Week 7: Deload</t>
  </si>
  <si>
    <t>( 2 = I wasn't sore at all in the muscles I trained today, and I got almost no pump whatsoever.)</t>
  </si>
  <si>
    <t>( 1 = I wasn't sore at all in the muscles I trained today, but I could definitely feel a pump.)</t>
  </si>
  <si>
    <t>( 0 = I was either just barely healed or just a tiny bit sore in the muscles I trained today, got a good pump, and felt like this was plenty of work.)</t>
  </si>
  <si>
    <t>( -1 = I was still notably sore from last time in the muscles I trained today, and it felt like A LOT of work to complete the sets.)</t>
  </si>
  <si>
    <t>( -2 = I was still VERY SORE from the last time I trained these muscles and it felt like overkill to complete the sets today.)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</si>
</sst>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7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2" fillId="0" borderId="0" xfId="1" applyFill="1" applyBorder="1" applyAlignment="1" applyProtection="1"/>
    <xf numFmtId="0" fontId="2" fillId="0" borderId="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7" borderId="8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0" borderId="2" xfId="0" applyFill="1" applyBorder="1" applyAlignment="1">
      <alignment horizontal="right" vertical="center"/>
    </xf>
    <xf numFmtId="0" fontId="0" fillId="0" borderId="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9" borderId="22" xfId="1" applyFill="1" applyBorder="1" applyAlignment="1" applyProtection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9" borderId="24" xfId="1" applyFill="1" applyBorder="1" applyAlignment="1" applyProtection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2" fillId="0" borderId="0" xfId="1" applyFill="1" applyBorder="1" applyAlignment="1" applyProtection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2" fillId="9" borderId="27" xfId="1" applyFill="1" applyBorder="1" applyAlignment="1" applyProtection="1">
      <alignment horizontal="center"/>
    </xf>
    <xf numFmtId="0" fontId="1" fillId="0" borderId="17" xfId="0" applyFont="1" applyBorder="1" applyAlignment="1">
      <alignment horizontal="center"/>
    </xf>
    <xf numFmtId="0" fontId="0" fillId="9" borderId="44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9" borderId="47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2" fillId="9" borderId="50" xfId="1" applyFill="1" applyBorder="1" applyAlignment="1" applyProtection="1">
      <alignment horizontal="center"/>
    </xf>
    <xf numFmtId="0" fontId="2" fillId="9" borderId="51" xfId="1" applyFill="1" applyBorder="1" applyAlignment="1" applyProtection="1">
      <alignment horizontal="center"/>
    </xf>
    <xf numFmtId="0" fontId="2" fillId="9" borderId="52" xfId="1" applyFill="1" applyBorder="1" applyAlignment="1" applyProtection="1">
      <alignment horizontal="center"/>
    </xf>
    <xf numFmtId="0" fontId="2" fillId="11" borderId="47" xfId="1" applyFill="1" applyBorder="1" applyAlignment="1" applyProtection="1">
      <alignment horizontal="center" vertical="center"/>
    </xf>
    <xf numFmtId="0" fontId="2" fillId="11" borderId="48" xfId="1" applyFill="1" applyBorder="1" applyAlignment="1" applyProtection="1">
      <alignment horizontal="center" vertical="center"/>
    </xf>
    <xf numFmtId="0" fontId="2" fillId="11" borderId="49" xfId="1" applyFill="1" applyBorder="1" applyAlignment="1" applyProtection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0" fillId="10" borderId="48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2" fillId="9" borderId="23" xfId="1" applyFill="1" applyBorder="1" applyAlignment="1" applyProtection="1">
      <alignment horizontal="center"/>
    </xf>
    <xf numFmtId="0" fontId="0" fillId="7" borderId="13" xfId="0" applyFill="1" applyBorder="1" applyAlignment="1">
      <alignment horizontal="center"/>
    </xf>
    <xf numFmtId="0" fontId="2" fillId="9" borderId="28" xfId="1" applyFill="1" applyBorder="1" applyAlignment="1" applyProtection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/>
    </xf>
    <xf numFmtId="0" fontId="2" fillId="9" borderId="34" xfId="1" applyFill="1" applyBorder="1" applyAlignment="1" applyProtection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0" borderId="36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9" borderId="40" xfId="1" applyFill="1" applyBorder="1" applyAlignment="1" applyProtection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" fillId="9" borderId="43" xfId="1" applyFill="1" applyBorder="1" applyAlignment="1" applyProtection="1">
      <alignment horizontal="center"/>
    </xf>
    <xf numFmtId="0" fontId="0" fillId="9" borderId="54" xfId="0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0" fontId="2" fillId="9" borderId="57" xfId="1" applyFill="1" applyBorder="1" applyAlignment="1" applyProtection="1">
      <alignment horizontal="center"/>
    </xf>
    <xf numFmtId="0" fontId="1" fillId="0" borderId="14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58" xfId="0" applyFill="1" applyBorder="1" applyAlignment="1">
      <alignment horizontal="center" vertical="center"/>
    </xf>
    <xf numFmtId="0" fontId="0" fillId="9" borderId="59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2" fillId="11" borderId="58" xfId="1" applyFill="1" applyBorder="1" applyAlignment="1" applyProtection="1">
      <alignment horizontal="center" vertical="center"/>
    </xf>
    <xf numFmtId="0" fontId="2" fillId="11" borderId="59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58" xfId="0" applyFill="1" applyBorder="1" applyAlignment="1">
      <alignment horizontal="center" vertical="center"/>
    </xf>
    <xf numFmtId="0" fontId="0" fillId="10" borderId="59" xfId="0" applyFill="1" applyBorder="1" applyAlignment="1">
      <alignment horizontal="center" vertical="center"/>
    </xf>
    <xf numFmtId="0" fontId="0" fillId="9" borderId="60" xfId="0" applyFill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9" borderId="61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2" fillId="11" borderId="61" xfId="1" applyFill="1" applyBorder="1" applyAlignment="1" applyProtection="1">
      <alignment horizontal="center" vertical="center"/>
    </xf>
    <xf numFmtId="0" fontId="2" fillId="11" borderId="15" xfId="1" applyFill="1" applyBorder="1" applyAlignment="1" applyProtection="1">
      <alignment horizontal="center" vertical="center"/>
    </xf>
    <xf numFmtId="0" fontId="0" fillId="10" borderId="6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9" borderId="62" xfId="0" applyFill="1" applyBorder="1" applyAlignment="1">
      <alignment horizontal="center" vertical="center"/>
    </xf>
    <xf numFmtId="0" fontId="0" fillId="9" borderId="63" xfId="0" applyFill="1" applyBorder="1" applyAlignment="1">
      <alignment horizontal="center" vertical="center"/>
    </xf>
    <xf numFmtId="0" fontId="2" fillId="11" borderId="63" xfId="1" applyFill="1" applyBorder="1" applyAlignment="1" applyProtection="1">
      <alignment horizontal="center" vertical="center"/>
    </xf>
    <xf numFmtId="0" fontId="0" fillId="10" borderId="63" xfId="0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6" borderId="2" xfId="0" applyFont="1" applyFill="1" applyBorder="1"/>
    <xf numFmtId="0" fontId="0" fillId="0" borderId="1" xfId="0" applyFill="1" applyBorder="1"/>
    <xf numFmtId="0" fontId="0" fillId="0" borderId="2" xfId="0" applyFill="1" applyBorder="1"/>
    <xf numFmtId="0" fontId="3" fillId="6" borderId="0" xfId="0" applyFont="1" applyFill="1" applyBorder="1"/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36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19050</xdr:rowOff>
    </xdr:from>
    <xdr:to>
      <xdr:col>2</xdr:col>
      <xdr:colOff>1931126</xdr:colOff>
      <xdr:row>9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8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10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5</xdr:row>
      <xdr:rowOff>193039</xdr:rowOff>
    </xdr:from>
    <xdr:to>
      <xdr:col>13</xdr:col>
      <xdr:colOff>340451</xdr:colOff>
      <xdr:row>8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499465" y="1269999"/>
          <a:ext cx="1288506" cy="537211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079355" y="720090"/>
          <a:ext cx="1121501" cy="7010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43</xdr:col>
      <xdr:colOff>775335</xdr:colOff>
      <xdr:row>1</xdr:row>
      <xdr:rowOff>9525</xdr:rowOff>
    </xdr:from>
    <xdr:to>
      <xdr:col>44</xdr:col>
      <xdr:colOff>197576</xdr:colOff>
      <xdr:row>8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0874335" y="245745"/>
          <a:ext cx="862421" cy="1156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2388870</xdr:colOff>
      <xdr:row>5</xdr:row>
      <xdr:rowOff>82349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A7364AD-444C-4C71-BD68-F891AD05F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17520" cy="1149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19050</xdr:rowOff>
    </xdr:from>
    <xdr:to>
      <xdr:col>2</xdr:col>
      <xdr:colOff>1931126</xdr:colOff>
      <xdr:row>9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F273417E-F847-4D56-A228-457DE1E15DB1}"/>
            </a:ext>
          </a:extLst>
        </xdr:cNvPr>
        <xdr:cNvSpPr/>
      </xdr:nvSpPr>
      <xdr:spPr>
        <a:xfrm>
          <a:off x="3756660" y="255270"/>
          <a:ext cx="1245326" cy="178498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8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FE4E275F-73E3-4E12-8D89-560DC752FE9A}"/>
            </a:ext>
          </a:extLst>
        </xdr:cNvPr>
        <xdr:cNvSpPr/>
      </xdr:nvSpPr>
      <xdr:spPr>
        <a:xfrm>
          <a:off x="7579995" y="718186"/>
          <a:ext cx="940526" cy="1083945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10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B8ECFC5F-8E4D-424F-A566-A205A6D813F2}"/>
            </a:ext>
          </a:extLst>
        </xdr:cNvPr>
        <xdr:cNvSpPr/>
      </xdr:nvSpPr>
      <xdr:spPr>
        <a:xfrm>
          <a:off x="6004560" y="727710"/>
          <a:ext cx="1140551" cy="149161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CBE0C47-EF79-4190-8318-E7829E5AFBD6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5</xdr:row>
      <xdr:rowOff>193039</xdr:rowOff>
    </xdr:from>
    <xdr:to>
      <xdr:col>13</xdr:col>
      <xdr:colOff>340451</xdr:colOff>
      <xdr:row>8</xdr:row>
      <xdr:rowOff>171450</xdr:rowOff>
    </xdr:to>
    <xdr:sp macro="" textlink="">
      <xdr:nvSpPr>
        <xdr:cNvPr id="7" name="Down Arrow 7">
          <a:extLst>
            <a:ext uri="{FF2B5EF4-FFF2-40B4-BE49-F238E27FC236}">
              <a16:creationId xmlns:a16="http://schemas.microsoft.com/office/drawing/2014/main" id="{7E6AD7C2-A033-4AEA-8F4E-1882570EA606}"/>
            </a:ext>
          </a:extLst>
        </xdr:cNvPr>
        <xdr:cNvSpPr/>
      </xdr:nvSpPr>
      <xdr:spPr>
        <a:xfrm>
          <a:off x="13481685" y="1267459"/>
          <a:ext cx="1283426" cy="534671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8" name="Down Arrow 8">
          <a:extLst>
            <a:ext uri="{FF2B5EF4-FFF2-40B4-BE49-F238E27FC236}">
              <a16:creationId xmlns:a16="http://schemas.microsoft.com/office/drawing/2014/main" id="{DFE30378-9694-4169-BE44-3D86B98C82D5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43</xdr:col>
      <xdr:colOff>775335</xdr:colOff>
      <xdr:row>1</xdr:row>
      <xdr:rowOff>9525</xdr:rowOff>
    </xdr:from>
    <xdr:to>
      <xdr:col>44</xdr:col>
      <xdr:colOff>197576</xdr:colOff>
      <xdr:row>8</xdr:row>
      <xdr:rowOff>152400</xdr:rowOff>
    </xdr:to>
    <xdr:sp macro="" textlink="">
      <xdr:nvSpPr>
        <xdr:cNvPr id="9" name="Down Arrow 9">
          <a:extLst>
            <a:ext uri="{FF2B5EF4-FFF2-40B4-BE49-F238E27FC236}">
              <a16:creationId xmlns:a16="http://schemas.microsoft.com/office/drawing/2014/main" id="{09ACEA36-8FF1-44A2-A0ED-E7F8D5B2F1CB}"/>
            </a:ext>
          </a:extLst>
        </xdr:cNvPr>
        <xdr:cNvSpPr/>
      </xdr:nvSpPr>
      <xdr:spPr>
        <a:xfrm>
          <a:off x="42753915" y="245745"/>
          <a:ext cx="1921601" cy="1537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0" name="Down Arrow 14">
          <a:extLst>
            <a:ext uri="{FF2B5EF4-FFF2-40B4-BE49-F238E27FC236}">
              <a16:creationId xmlns:a16="http://schemas.microsoft.com/office/drawing/2014/main" id="{BB6A4C71-E433-4CC0-945C-235C92F91DCB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1" name="Down Arrow 23">
          <a:extLst>
            <a:ext uri="{FF2B5EF4-FFF2-40B4-BE49-F238E27FC236}">
              <a16:creationId xmlns:a16="http://schemas.microsoft.com/office/drawing/2014/main" id="{7361BDFB-6516-457C-9945-EC033968111F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2" name="Down Arrow 17">
          <a:extLst>
            <a:ext uri="{FF2B5EF4-FFF2-40B4-BE49-F238E27FC236}">
              <a16:creationId xmlns:a16="http://schemas.microsoft.com/office/drawing/2014/main" id="{51BDEC83-1F5F-48AF-95A1-BB34FE892E46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3" name="Down Arrow 20">
          <a:extLst>
            <a:ext uri="{FF2B5EF4-FFF2-40B4-BE49-F238E27FC236}">
              <a16:creationId xmlns:a16="http://schemas.microsoft.com/office/drawing/2014/main" id="{0BD9D828-6B67-4E58-9787-391DC7FB56E6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8</xdr:row>
      <xdr:rowOff>171450</xdr:rowOff>
    </xdr:to>
    <xdr:sp macro="" textlink="">
      <xdr:nvSpPr>
        <xdr:cNvPr id="14" name="Down Arrow 26">
          <a:extLst>
            <a:ext uri="{FF2B5EF4-FFF2-40B4-BE49-F238E27FC236}">
              <a16:creationId xmlns:a16="http://schemas.microsoft.com/office/drawing/2014/main" id="{4D9B4D26-304C-4C6D-9DB3-5BF5807AAEB7}"/>
            </a:ext>
          </a:extLst>
        </xdr:cNvPr>
        <xdr:cNvSpPr/>
      </xdr:nvSpPr>
      <xdr:spPr>
        <a:xfrm>
          <a:off x="10102215" y="727710"/>
          <a:ext cx="1121501" cy="107442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2407920</xdr:colOff>
      <xdr:row>5</xdr:row>
      <xdr:rowOff>82349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B5CC396-98A2-4205-A01F-BA913E74F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17520" cy="11491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9255085" y="257175"/>
          <a:ext cx="147011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2319020</xdr:colOff>
      <xdr:row>7</xdr:row>
      <xdr:rowOff>69040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E8EB9C2-BD49-4D80-90C3-EED905568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03040" cy="1524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1432560</xdr:colOff>
      <xdr:row>1</xdr:row>
      <xdr:rowOff>247649</xdr:rowOff>
    </xdr:from>
    <xdr:to>
      <xdr:col>22</xdr:col>
      <xdr:colOff>35651</xdr:colOff>
      <xdr:row>6</xdr:row>
      <xdr:rowOff>152399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2187535" y="495299"/>
          <a:ext cx="1470116" cy="98107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31254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2407920</xdr:colOff>
      <xdr:row>5</xdr:row>
      <xdr:rowOff>67109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B040930-95F0-41C5-9431-6835BA776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17520" cy="11491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bs" displayName="Abs" ref="B67:C74" totalsRowShown="0" headerRowDxfId="535" dataDxfId="534">
  <autoFilter ref="B67:C74" xr:uid="{00000000-0009-0000-0100-000001000000}"/>
  <tableColumns count="2">
    <tableColumn id="1" xr3:uid="{00000000-0010-0000-0000-000001000000}" name="Exercise" dataDxfId="533" dataCellStyle="Hyperlink"/>
    <tableColumn id="2" xr3:uid="{00000000-0010-0000-0000-000002000000}" name="Link" dataDxfId="5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ar_or_Side_Delts" displayName="Rear_or_Side_Delts" ref="B269:C278" totalsRowShown="0" headerRowDxfId="531" dataDxfId="529" headerRowBorderDxfId="530" tableBorderDxfId="528">
  <autoFilter ref="B269:C278" xr:uid="{00000000-0009-0000-0100-000002000000}"/>
  <tableColumns count="2">
    <tableColumn id="1" xr3:uid="{00000000-0010-0000-0100-000001000000}" name="Exercise" dataDxfId="527" dataCellStyle="Hyperlink"/>
    <tableColumn id="2" xr3:uid="{00000000-0010-0000-0100-000002000000}" name="Link" dataDxfId="5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Name" displayName="Table_Name" ref="B280:E302" totalsRowShown="0">
  <autoFilter ref="B280:E302" xr:uid="{00000000-0009-0000-0100-000003000000}"/>
  <tableColumns count="4">
    <tableColumn id="1" xr3:uid="{00000000-0010-0000-0200-000001000000}" name="Category"/>
    <tableColumn id="2" xr3:uid="{00000000-0010-0000-0200-000002000000}" name="Table name" dataDxfId="525"/>
    <tableColumn id="3" xr3:uid="{00000000-0010-0000-0200-000003000000}" name="Name List" dataDxfId="524"/>
    <tableColumn id="4" xr3:uid="{00000000-0010-0000-0200-000004000000}" name="Link List" dataDxfId="523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est_Isolation_or_Triceps" displayName="Chest_Isolation_or_Triceps" ref="B247:C267" totalsRowShown="0" headerRowDxfId="522" dataDxfId="520" headerRowBorderDxfId="521" tableBorderDxfId="519">
  <autoFilter ref="B247:C267" xr:uid="{00000000-0009-0000-0100-000004000000}"/>
  <tableColumns count="2">
    <tableColumn id="1" xr3:uid="{00000000-0010-0000-0300-000001000000}" name="Exercise" dataDxfId="518" dataCellStyle="Hyperlink"/>
    <tableColumn id="2" xr3:uid="{00000000-0010-0000-0300-000002000000}" name="Link" dataDxfId="5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cline_Push_or_front_Delts" displayName="Incline_Push_or_front_Delts" ref="B234:C246" totalsRowShown="0" headerRowDxfId="516" dataDxfId="514" headerRowBorderDxfId="515" tableBorderDxfId="513">
  <autoFilter ref="B234:C246" xr:uid="{00000000-0009-0000-0100-000005000000}"/>
  <tableColumns count="2">
    <tableColumn id="1" xr3:uid="{00000000-0010-0000-0400-000001000000}" name="Exercise" dataDxfId="512" dataCellStyle="Hyperlink"/>
    <tableColumn id="2" xr3:uid="{00000000-0010-0000-0400-000002000000}" name="Link" dataDxfId="5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iceps" displayName="Triceps" ref="B220:C233" totalsRowShown="0" headerRowDxfId="510" dataDxfId="508" headerRowBorderDxfId="509" tableBorderDxfId="507">
  <autoFilter ref="B220:C233" xr:uid="{00000000-0009-0000-0100-000006000000}"/>
  <tableColumns count="2">
    <tableColumn id="1" xr3:uid="{00000000-0010-0000-0500-000001000000}" name="Exercise" dataDxfId="506" dataCellStyle="Hyperlink"/>
    <tableColumn id="2" xr3:uid="{00000000-0010-0000-0500-000002000000}" name="Link" dataDxfId="50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ront_Delts" displayName="Front_Delts" ref="B211:C217" totalsRowShown="0" headerRowDxfId="504" dataDxfId="502" headerRowBorderDxfId="503" tableBorderDxfId="501">
  <autoFilter ref="B211:C217" xr:uid="{00000000-0009-0000-0100-000007000000}"/>
  <tableColumns count="2">
    <tableColumn id="1" xr3:uid="{00000000-0010-0000-0600-000001000000}" name="Exercise" dataDxfId="500" dataCellStyle="Hyperlink"/>
    <tableColumn id="2" xr3:uid="{00000000-0010-0000-0600-000002000000}" name="Link" dataDxfId="49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cline_Push" displayName="Incline_Push" ref="B203:C209" totalsRowShown="0" headerRowDxfId="498" dataDxfId="496" headerRowBorderDxfId="497" tableBorderDxfId="495">
  <autoFilter ref="B203:C209" xr:uid="{00000000-0009-0000-0100-000008000000}"/>
  <tableColumns count="2">
    <tableColumn id="1" xr3:uid="{00000000-0010-0000-0700-000001000000}" name="Exercise" dataDxfId="494" dataCellStyle="Hyperlink"/>
    <tableColumn id="2" xr3:uid="{00000000-0010-0000-0700-000002000000}" name="Link" dataDxfId="49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Horizontal_Push" displayName="Horizontal_Push" ref="B194:C201" totalsRowShown="0" headerRowDxfId="492" dataDxfId="490" headerRowBorderDxfId="491" tableBorderDxfId="489">
  <autoFilter ref="B194:C201" xr:uid="{00000000-0009-0000-0100-000009000000}"/>
  <tableColumns count="2">
    <tableColumn id="1" xr3:uid="{00000000-0010-0000-0800-000001000000}" name="Exercise" dataDxfId="488" dataCellStyle="Hyperlink"/>
    <tableColumn id="2" xr3:uid="{00000000-0010-0000-0800-000002000000}" name="Link" dataDxfId="4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hest_Isolation" displayName="Chest_Isolation" ref="B185:C192" totalsRowShown="0" headerRowDxfId="486" dataDxfId="484" headerRowBorderDxfId="485" tableBorderDxfId="483">
  <autoFilter ref="B185:C192" xr:uid="{00000000-0009-0000-0100-00000A000000}"/>
  <tableColumns count="2">
    <tableColumn id="1" xr3:uid="{00000000-0010-0000-0900-000001000000}" name="Exercise" dataDxfId="482" dataCellStyle="Hyperlink"/>
    <tableColumn id="2" xr3:uid="{00000000-0010-0000-0900-000002000000}" name="Link" dataDxfId="48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Hamstrings_Isolation" displayName="Hamstrings_Isolation" ref="B180:C183" totalsRowShown="0" headerRowDxfId="480" dataDxfId="478" headerRowBorderDxfId="479" tableBorderDxfId="477">
  <autoFilter ref="B180:C183" xr:uid="{00000000-0009-0000-0100-00000B000000}"/>
  <tableColumns count="2">
    <tableColumn id="1" xr3:uid="{00000000-0010-0000-0A00-000001000000}" name="Exercise" dataDxfId="476" dataCellStyle="Hyperlink"/>
    <tableColumn id="2" xr3:uid="{00000000-0010-0000-0A00-000002000000}" name="Link" dataDxfId="47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Hamstrings_Hip_Hinge" displayName="Hamstrings_Hip_Hinge" ref="B174:C178" totalsRowShown="0" headerRowDxfId="474" dataDxfId="472" headerRowBorderDxfId="473" tableBorderDxfId="471">
  <autoFilter ref="B174:C178" xr:uid="{00000000-0009-0000-0100-00000C000000}"/>
  <tableColumns count="2">
    <tableColumn id="1" xr3:uid="{00000000-0010-0000-0B00-000001000000}" name="Exercise" dataDxfId="470" dataCellStyle="Hyperlink"/>
    <tableColumn id="2" xr3:uid="{00000000-0010-0000-0B00-000002000000}" name="Link" dataDxfId="46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Glutes" displayName="Glutes" ref="B164:C172" totalsRowShown="0" headerRowDxfId="468" dataDxfId="466" headerRowBorderDxfId="467" tableBorderDxfId="465">
  <autoFilter ref="B164:C172" xr:uid="{00000000-0009-0000-0100-00000D000000}"/>
  <tableColumns count="2">
    <tableColumn id="1" xr3:uid="{00000000-0010-0000-0C00-000001000000}" name="Exercise" dataDxfId="464" dataCellStyle="Hyperlink"/>
    <tableColumn id="2" xr3:uid="{00000000-0010-0000-0C00-000002000000}" name="Link" dataDxfId="46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Quads" displayName="Quads" ref="B155:C162" totalsRowShown="0" headerRowDxfId="462" dataDxfId="460" headerRowBorderDxfId="461" tableBorderDxfId="459">
  <autoFilter ref="B155:C162" xr:uid="{00000000-0009-0000-0100-00000E000000}"/>
  <tableColumns count="2">
    <tableColumn id="1" xr3:uid="{00000000-0010-0000-0D00-000001000000}" name="Exercise" dataDxfId="458" dataCellStyle="Hyperlink"/>
    <tableColumn id="2" xr3:uid="{00000000-0010-0000-0D00-000002000000}" name="Link" dataDxfId="45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Vertical_Back" displayName="Vertical_Back" ref="B141:C153" totalsRowShown="0" headerRowDxfId="456" dataDxfId="454" headerRowBorderDxfId="455" tableBorderDxfId="453" dataCellStyle="Hyperlink">
  <autoFilter ref="B141:C153" xr:uid="{00000000-0009-0000-0100-00000F000000}"/>
  <tableColumns count="2">
    <tableColumn id="1" xr3:uid="{00000000-0010-0000-0E00-000001000000}" name="Exercise" dataDxfId="452" dataCellStyle="Hyperlink"/>
    <tableColumn id="2" xr3:uid="{00000000-0010-0000-0E00-000002000000}" name="Link" dataDxfId="451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Horizontal_Back" displayName="Horizontal_Back" ref="B131:C139" totalsRowShown="0" headerRowDxfId="450" dataDxfId="448" headerRowBorderDxfId="449" tableBorderDxfId="447">
  <autoFilter ref="B131:C139" xr:uid="{00000000-0009-0000-0100-000010000000}"/>
  <tableColumns count="2">
    <tableColumn id="1" xr3:uid="{00000000-0010-0000-0F00-000001000000}" name="Exercise" dataDxfId="446" dataCellStyle="Hyperlink"/>
    <tableColumn id="2" xr3:uid="{00000000-0010-0000-0F00-000002000000}" name="Link" dataDxfId="44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Vertical_Triceps" displayName="Vertical_Triceps" ref="B124:C129" totalsRowShown="0" headerRowDxfId="444" dataDxfId="442" headerRowBorderDxfId="443" tableBorderDxfId="441">
  <autoFilter ref="B124:C129" xr:uid="{00000000-0009-0000-0100-000011000000}"/>
  <tableColumns count="2">
    <tableColumn id="1" xr3:uid="{00000000-0010-0000-1000-000001000000}" name="Exercise" dataDxfId="440" dataCellStyle="Hyperlink"/>
    <tableColumn id="2" xr3:uid="{00000000-0010-0000-1000-000002000000}" name="Link" dataDxfId="43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Horizontal_Triceps" displayName="Horizontal_Triceps" ref="B114:C122" totalsRowShown="0" headerRowDxfId="438" dataDxfId="436" headerRowBorderDxfId="437" tableBorderDxfId="435">
  <autoFilter ref="B114:C122" xr:uid="{00000000-0009-0000-0100-000012000000}"/>
  <tableColumns count="2">
    <tableColumn id="1" xr3:uid="{00000000-0010-0000-1100-000001000000}" name="Exercise" dataDxfId="434" dataCellStyle="Hyperlink"/>
    <tableColumn id="2" xr3:uid="{00000000-0010-0000-1100-000002000000}" name="Link" dataDxfId="43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raps" displayName="Traps" ref="B108:C112" totalsRowShown="0" headerRowDxfId="432" dataDxfId="430" headerRowBorderDxfId="431" tableBorderDxfId="429">
  <autoFilter ref="B108:C112" xr:uid="{00000000-0009-0000-0100-000013000000}"/>
  <tableColumns count="2">
    <tableColumn id="1" xr3:uid="{00000000-0010-0000-1200-000001000000}" name="Exercise" dataDxfId="428" dataCellStyle="Hyperlink"/>
    <tableColumn id="2" xr3:uid="{00000000-0010-0000-1200-000002000000}" name="Link" dataDxfId="4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Side_Delts" displayName="Side_Delts" ref="B101:C106" totalsRowShown="0" headerRowDxfId="426" dataDxfId="424" headerRowBorderDxfId="425" tableBorderDxfId="423">
  <autoFilter ref="B101:C106" xr:uid="{00000000-0009-0000-0100-000014000000}"/>
  <tableColumns count="2">
    <tableColumn id="1" xr3:uid="{00000000-0010-0000-1300-000001000000}" name="Exercise" dataDxfId="422" dataCellStyle="Hyperlink"/>
    <tableColumn id="2" xr3:uid="{00000000-0010-0000-1300-000002000000}" name="Link" dataDxfId="42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Rear_Delts" displayName="Rear_Delts" ref="B95:C99" totalsRowShown="0" headerRowDxfId="420" dataDxfId="418" headerRowBorderDxfId="419" tableBorderDxfId="417">
  <autoFilter ref="B95:C99" xr:uid="{00000000-0009-0000-0100-000015000000}"/>
  <tableColumns count="2">
    <tableColumn id="1" xr3:uid="{00000000-0010-0000-1400-000001000000}" name="Exercise" dataDxfId="416" dataCellStyle="Hyperlink"/>
    <tableColumn id="2" xr3:uid="{00000000-0010-0000-1400-000002000000}" name="Link" dataDxfId="41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Biceps" displayName="Biceps" ref="B82:C93" totalsRowShown="0" headerRowDxfId="414" dataDxfId="412" headerRowBorderDxfId="413" tableBorderDxfId="411">
  <autoFilter ref="B82:C93" xr:uid="{00000000-0009-0000-0100-000016000000}"/>
  <tableColumns count="2">
    <tableColumn id="1" xr3:uid="{00000000-0010-0000-1500-000001000000}" name="Exercise" dataDxfId="410" dataCellStyle="Hyperlink"/>
    <tableColumn id="2" xr3:uid="{00000000-0010-0000-1500-000002000000}" name="Link" dataDxfId="40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Calves" displayName="Calves" ref="B76:C80" totalsRowShown="0" headerRowDxfId="408" dataDxfId="406" headerRowBorderDxfId="407" tableBorderDxfId="405">
  <autoFilter ref="B76:C80" xr:uid="{00000000-0009-0000-0100-000017000000}"/>
  <tableColumns count="2">
    <tableColumn id="1" xr3:uid="{00000000-0010-0000-1600-000001000000}" name="Exercise" dataDxfId="404" dataCellStyle="Hyperlink"/>
    <tableColumn id="2" xr3:uid="{00000000-0010-0000-1600-000002000000}" name="Link" dataDxfId="40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Links" displayName="Links" ref="B304:D474" totalsRowShown="0">
  <autoFilter ref="B304:D474" xr:uid="{00000000-0009-0000-0100-000018000000}"/>
  <sortState xmlns:xlrd2="http://schemas.microsoft.com/office/spreadsheetml/2017/richdata2" ref="B333:D542">
    <sortCondition ref="C96:C306"/>
  </sortState>
  <tableColumns count="3">
    <tableColumn id="1" xr3:uid="{00000000-0010-0000-1700-000001000000}" name="Exercise" dataDxfId="402"/>
    <tableColumn id="2" xr3:uid="{00000000-0010-0000-1700-000002000000}" name="Link"/>
    <tableColumn id="3" xr3:uid="{00000000-0010-0000-1700-000003000000}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3F84221-0B1A-4FE9-914C-88F39EBEBF3F}" name="Abs_74" displayName="Abs_74" ref="B67:C74" totalsRowShown="0" headerRowDxfId="401" dataDxfId="400">
  <autoFilter ref="B67:C74" xr:uid="{00000000-0009-0000-0100-000001000000}"/>
  <tableColumns count="2">
    <tableColumn id="1" xr3:uid="{02116087-EB6E-40AE-9FF4-F3A8FCBC8DBB}" name="Exercise" dataDxfId="399" dataCellStyle="Hyperlink"/>
    <tableColumn id="2" xr3:uid="{246ED308-DA2A-4E6A-88BB-2074325984ED}" name="Link" dataDxfId="39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5ACF9C45-7C55-4170-B40A-2A1C5C99BBE2}" name="Rear_or_Side_Delts75" displayName="Rear_or_Side_Delts75" ref="B269:C278" totalsRowShown="0" headerRowDxfId="397" dataDxfId="395" headerRowBorderDxfId="396" tableBorderDxfId="394">
  <autoFilter ref="B269:C278" xr:uid="{00000000-0009-0000-0100-000002000000}"/>
  <tableColumns count="2">
    <tableColumn id="1" xr3:uid="{5F7F3D12-8FA6-45CB-955A-6DB14D142C85}" name="Exercise" dataDxfId="393" dataCellStyle="Hyperlink"/>
    <tableColumn id="2" xr3:uid="{93AC5C6B-B5B9-4654-B5FD-FA7DE3D3AFD7}" name="Link" dataDxfId="39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156156C-0711-4398-9B37-B2516D8E8197}" name="Table_Name76" displayName="Table_Name76" ref="B280:E302" totalsRowShown="0">
  <autoFilter ref="B280:E302" xr:uid="{00000000-0009-0000-0100-000003000000}"/>
  <tableColumns count="4">
    <tableColumn id="1" xr3:uid="{FF394EA5-C213-4F25-B535-4B6182EE4F5D}" name="Category"/>
    <tableColumn id="2" xr3:uid="{D17D5696-8A9F-4E0A-8C8D-68A8939B25F3}" name="Table name" dataDxfId="391"/>
    <tableColumn id="3" xr3:uid="{20EBF371-0DAE-46D2-888D-C81E2BA3A375}" name="Name List" dataDxfId="390"/>
    <tableColumn id="4" xr3:uid="{7A473B20-3443-42DA-B6D6-BBD05E5CEDE4}" name="Link List" dataDxfId="389">
      <calculatedColumnFormula>CONCATENATE(Table_Name76[[#This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73926850-A85C-4E08-BAE7-2F3CCC195D07}" name="Chest_Isolation_or_Triceps77" displayName="Chest_Isolation_or_Triceps77" ref="B247:C267" totalsRowShown="0" headerRowDxfId="388" dataDxfId="386" headerRowBorderDxfId="387" tableBorderDxfId="385">
  <autoFilter ref="B247:C267" xr:uid="{00000000-0009-0000-0100-000004000000}"/>
  <tableColumns count="2">
    <tableColumn id="1" xr3:uid="{DD58AECF-9F98-400E-A7E0-87994876A62E}" name="Exercise" dataDxfId="384" dataCellStyle="Hyperlink"/>
    <tableColumn id="2" xr3:uid="{C6C25CC5-B72B-402B-9FEC-7D6C3F22C73E}" name="Link" dataDxfId="38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D3E6D073-DD45-4F88-9C02-F05717746703}" name="Incline_Push_or_front_Delts78" displayName="Incline_Push_or_front_Delts78" ref="B234:C246" totalsRowShown="0" headerRowDxfId="382" dataDxfId="380" headerRowBorderDxfId="381" tableBorderDxfId="379">
  <autoFilter ref="B234:C246" xr:uid="{00000000-0009-0000-0100-000005000000}"/>
  <tableColumns count="2">
    <tableColumn id="1" xr3:uid="{A1E067D7-35AA-48B4-BE03-F78798533CAE}" name="Exercise" dataDxfId="378" dataCellStyle="Hyperlink"/>
    <tableColumn id="2" xr3:uid="{88BB842A-BF81-4E6F-AB2D-44C86395750A}" name="Link" dataDxfId="37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95B88BE2-53D3-4F84-BC00-CA7D8CB5CC7A}" name="Triceps79" displayName="Triceps79" ref="B220:C233" totalsRowShown="0" headerRowDxfId="376" dataDxfId="374" headerRowBorderDxfId="375" tableBorderDxfId="373">
  <autoFilter ref="B220:C233" xr:uid="{00000000-0009-0000-0100-000006000000}"/>
  <tableColumns count="2">
    <tableColumn id="1" xr3:uid="{3CE84ACB-9F8F-4561-9E45-A1A92E2CF37D}" name="Exercise" dataDxfId="372" dataCellStyle="Hyperlink"/>
    <tableColumn id="2" xr3:uid="{D58B302A-59D3-41DF-AC79-E39BAD0AFE46}" name="Link" dataDxfId="371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C70B0189-54D8-428A-9630-8B2B5A41BDC6}" name="Front_Delts80" displayName="Front_Delts80" ref="B211:C217" totalsRowShown="0" headerRowDxfId="370" dataDxfId="368" headerRowBorderDxfId="369" tableBorderDxfId="367">
  <autoFilter ref="B211:C217" xr:uid="{00000000-0009-0000-0100-000007000000}"/>
  <tableColumns count="2">
    <tableColumn id="1" xr3:uid="{75E03F2E-212B-4F91-97A2-4FD6DB37A4A9}" name="Exercise" dataDxfId="366" dataCellStyle="Hyperlink"/>
    <tableColumn id="2" xr3:uid="{03EA10A5-A081-45A8-A873-2E12D53A2B96}" name="Link" dataDxfId="365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B4E8CFF5-2A57-4300-8863-19D5902D2E16}" name="Incline_Push81" displayName="Incline_Push81" ref="B203:C209" totalsRowShown="0" headerRowDxfId="364" dataDxfId="362" headerRowBorderDxfId="363" tableBorderDxfId="361">
  <autoFilter ref="B203:C209" xr:uid="{00000000-0009-0000-0100-000008000000}"/>
  <tableColumns count="2">
    <tableColumn id="1" xr3:uid="{7ED2E4C3-BB31-4E6A-B188-0E04F5592246}" name="Exercise" dataDxfId="360" dataCellStyle="Hyperlink"/>
    <tableColumn id="2" xr3:uid="{593AF13D-3413-4D51-94C6-E962E33F03B0}" name="Link" dataDxfId="35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C5D19DA2-F4B2-4779-86EB-8A4FF2A3699C}" name="Horizontal_Push82" displayName="Horizontal_Push82" ref="B194:C201" totalsRowShown="0" headerRowDxfId="358" dataDxfId="356" headerRowBorderDxfId="357" tableBorderDxfId="355">
  <autoFilter ref="B194:C201" xr:uid="{00000000-0009-0000-0100-000009000000}"/>
  <tableColumns count="2">
    <tableColumn id="1" xr3:uid="{1E25B622-97EF-4186-91E1-D7E7612DEFD1}" name="Exercise" dataDxfId="354" dataCellStyle="Hyperlink"/>
    <tableColumn id="2" xr3:uid="{7A57AD7B-B035-4432-9312-C1526DBCA6D4}" name="Link" dataDxfId="35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2FD49490-F940-4F49-A657-6BA4C930EFF4}" name="Chest_Isolation83" displayName="Chest_Isolation83" ref="B185:C192" totalsRowShown="0" headerRowDxfId="352" dataDxfId="350" headerRowBorderDxfId="351" tableBorderDxfId="349">
  <autoFilter ref="B185:C192" xr:uid="{00000000-0009-0000-0100-00000A000000}"/>
  <tableColumns count="2">
    <tableColumn id="1" xr3:uid="{D237B1C0-C345-4066-B5D5-FD2FEF81757A}" name="Exercise" dataDxfId="348" dataCellStyle="Hyperlink"/>
    <tableColumn id="2" xr3:uid="{C46D86D3-B207-4ADA-A019-6BDD8F33973D}" name="Link" dataDxfId="347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8ED91A40-FCC7-42D7-8D3A-454D42FE068E}" name="Hamstrings_Isolation84" displayName="Hamstrings_Isolation84" ref="B180:C183" totalsRowShown="0" headerRowDxfId="346" dataDxfId="344" headerRowBorderDxfId="345" tableBorderDxfId="343">
  <autoFilter ref="B180:C183" xr:uid="{00000000-0009-0000-0100-00000B000000}"/>
  <tableColumns count="2">
    <tableColumn id="1" xr3:uid="{CE582D34-6267-47CE-AFEC-6859107AFA96}" name="Exercise" dataDxfId="342" dataCellStyle="Hyperlink"/>
    <tableColumn id="2" xr3:uid="{4E3528E5-2617-48F8-A68C-1DCA727B3181}" name="Link" dataDxfId="341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A384793D-981D-4347-8D94-EAE7263849FF}" name="Hamstrings_Hip_Hinge85" displayName="Hamstrings_Hip_Hinge85" ref="B174:C178" totalsRowShown="0" headerRowDxfId="340" dataDxfId="338" headerRowBorderDxfId="339" tableBorderDxfId="337">
  <autoFilter ref="B174:C178" xr:uid="{00000000-0009-0000-0100-00000C000000}"/>
  <tableColumns count="2">
    <tableColumn id="1" xr3:uid="{406E196F-C4E4-4D5D-8688-FDB973E7ACB1}" name="Exercise" dataDxfId="336" dataCellStyle="Hyperlink"/>
    <tableColumn id="2" xr3:uid="{F4B36B25-FEF6-4836-A85F-64F5E407C589}" name="Link" dataDxfId="335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DF330053-9749-46B2-A985-E632DB93E4AB}" name="Glutes86" displayName="Glutes86" ref="B164:C172" totalsRowShown="0" headerRowDxfId="334" dataDxfId="332" headerRowBorderDxfId="333" tableBorderDxfId="331">
  <autoFilter ref="B164:C172" xr:uid="{00000000-0009-0000-0100-00000D000000}"/>
  <tableColumns count="2">
    <tableColumn id="1" xr3:uid="{D1AAB53D-43C5-48DD-AAD7-57D6ABC5A913}" name="Exercise" dataDxfId="330" dataCellStyle="Hyperlink"/>
    <tableColumn id="2" xr3:uid="{7BEE66C1-3B2B-4123-B956-47F0638F1F82}" name="Link" dataDxfId="329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9235FD7-3A14-4487-9228-F6814A4A9ED8}" name="Quads87" displayName="Quads87" ref="B155:C162" totalsRowShown="0" headerRowDxfId="328" dataDxfId="326" headerRowBorderDxfId="327" tableBorderDxfId="325">
  <autoFilter ref="B155:C162" xr:uid="{00000000-0009-0000-0100-00000E000000}"/>
  <tableColumns count="2">
    <tableColumn id="1" xr3:uid="{C547033D-D5CC-49FB-B097-95702F58B436}" name="Exercise" dataDxfId="324" dataCellStyle="Hyperlink"/>
    <tableColumn id="2" xr3:uid="{3E0169E1-4532-463E-B7A5-48BE56C5515B}" name="Link" dataDxfId="323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88AD981D-6364-4A4C-901D-8C0E6021697C}" name="Vertical_Back88" displayName="Vertical_Back88" ref="B141:C153" totalsRowShown="0" headerRowDxfId="322" dataDxfId="320" headerRowBorderDxfId="321" tableBorderDxfId="319" dataCellStyle="Hyperlink">
  <autoFilter ref="B141:C153" xr:uid="{00000000-0009-0000-0100-00000F000000}"/>
  <tableColumns count="2">
    <tableColumn id="1" xr3:uid="{EDD3ACFA-0AF5-4689-A2B2-07883ACB4A06}" name="Exercise" dataDxfId="318" dataCellStyle="Hyperlink"/>
    <tableColumn id="2" xr3:uid="{0E7608F8-73F2-4F1D-82A3-F9BE5EB69BB2}" name="Link" dataDxfId="317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ACD0635-01BB-44D5-BE0E-6ECEA76B9AC8}" name="Horizontal_Back89" displayName="Horizontal_Back89" ref="B131:C139" totalsRowShown="0" headerRowDxfId="316" dataDxfId="314" headerRowBorderDxfId="315" tableBorderDxfId="313">
  <autoFilter ref="B131:C139" xr:uid="{00000000-0009-0000-0100-000010000000}"/>
  <tableColumns count="2">
    <tableColumn id="1" xr3:uid="{26277C9D-D889-485C-9DFB-C35C3944C801}" name="Exercise" dataDxfId="312" dataCellStyle="Hyperlink"/>
    <tableColumn id="2" xr3:uid="{B730210B-10EB-4D26-9144-8844405C343C}" name="Link" dataDxfId="31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6F045858-53BC-4D01-B8AA-9FCC042F603D}" name="Vertical_Triceps90" displayName="Vertical_Triceps90" ref="B124:C129" totalsRowShown="0" headerRowDxfId="310" dataDxfId="308" headerRowBorderDxfId="309" tableBorderDxfId="307">
  <autoFilter ref="B124:C129" xr:uid="{00000000-0009-0000-0100-000011000000}"/>
  <tableColumns count="2">
    <tableColumn id="1" xr3:uid="{54C6DD4D-99C6-4DC7-A9FE-D1DB80303191}" name="Exercise" dataDxfId="306" dataCellStyle="Hyperlink"/>
    <tableColumn id="2" xr3:uid="{5F4CD2AA-0D1B-4F28-BED9-701F583CAF88}" name="Link" dataDxfId="305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8DBEF694-C72B-47DF-ACF1-271645FB90B7}" name="Horizontal_Triceps91" displayName="Horizontal_Triceps91" ref="B114:C122" totalsRowShown="0" headerRowDxfId="304" dataDxfId="302" headerRowBorderDxfId="303" tableBorderDxfId="301">
  <autoFilter ref="B114:C122" xr:uid="{00000000-0009-0000-0100-000012000000}"/>
  <tableColumns count="2">
    <tableColumn id="1" xr3:uid="{414B9025-200E-4146-AB79-990BF75CE33F}" name="Exercise" dataDxfId="300" dataCellStyle="Hyperlink"/>
    <tableColumn id="2" xr3:uid="{80AF1D3C-DA9B-4C0D-A788-EAC11DB0B4D8}" name="Link" dataDxfId="299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210DE39-9D69-4FC7-9598-EEB0A76935DD}" name="Traps92" displayName="Traps92" ref="B108:C112" totalsRowShown="0" headerRowDxfId="298" dataDxfId="296" headerRowBorderDxfId="297" tableBorderDxfId="295">
  <autoFilter ref="B108:C112" xr:uid="{00000000-0009-0000-0100-000013000000}"/>
  <tableColumns count="2">
    <tableColumn id="1" xr3:uid="{87E36CB0-4767-4B55-91E6-2DA1EF8AB7D7}" name="Exercise" dataDxfId="294" dataCellStyle="Hyperlink"/>
    <tableColumn id="2" xr3:uid="{1F5F0D1B-31C3-49CB-88F0-BEE456FCED09}" name="Link" dataDxfId="293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57800EC-DED6-4365-8A43-DA6B4EA04BDE}" name="Side_Delts93" displayName="Side_Delts93" ref="B101:C106" totalsRowShown="0" headerRowDxfId="292" dataDxfId="290" headerRowBorderDxfId="291" tableBorderDxfId="289">
  <autoFilter ref="B101:C106" xr:uid="{00000000-0009-0000-0100-000014000000}"/>
  <tableColumns count="2">
    <tableColumn id="1" xr3:uid="{23F1AF24-113F-44B5-8C1D-E437DA018A01}" name="Exercise" dataDxfId="288" dataCellStyle="Hyperlink"/>
    <tableColumn id="2" xr3:uid="{CA912CCE-2F42-4D52-9EF9-E50C97CDFE95}" name="Link" dataDxfId="287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F82C889E-E48D-499B-9589-FE724A227E1C}" name="Rear_Delts94" displayName="Rear_Delts94" ref="B95:C99" totalsRowShown="0" headerRowDxfId="286" dataDxfId="284" headerRowBorderDxfId="285" tableBorderDxfId="283">
  <autoFilter ref="B95:C99" xr:uid="{00000000-0009-0000-0100-000015000000}"/>
  <tableColumns count="2">
    <tableColumn id="1" xr3:uid="{5D728D0F-FCEA-4AA2-BDF2-D08CF9ED0537}" name="Exercise" dataDxfId="282" dataCellStyle="Hyperlink"/>
    <tableColumn id="2" xr3:uid="{507569B9-5FA8-4C50-B232-D69BAF584847}" name="Link" dataDxfId="281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6E753649-BDDB-41F9-B7F9-01302F316687}" name="Biceps95" displayName="Biceps95" ref="B82:C93" totalsRowShown="0" headerRowDxfId="280" dataDxfId="278" headerRowBorderDxfId="279" tableBorderDxfId="277">
  <autoFilter ref="B82:C93" xr:uid="{00000000-0009-0000-0100-000016000000}"/>
  <tableColumns count="2">
    <tableColumn id="1" xr3:uid="{F26490C4-876F-4BDE-A70E-00F36D1B4002}" name="Exercise" dataDxfId="276" dataCellStyle="Hyperlink"/>
    <tableColumn id="2" xr3:uid="{159D5242-3EA9-42A3-A7AD-0C81447B5525}" name="Link" dataDxfId="275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BF194594-F848-4143-BFCB-DF862DCC0E82}" name="Calves96" displayName="Calves96" ref="B76:C80" totalsRowShown="0" headerRowDxfId="274" dataDxfId="272" headerRowBorderDxfId="273" tableBorderDxfId="271">
  <autoFilter ref="B76:C80" xr:uid="{00000000-0009-0000-0100-000017000000}"/>
  <tableColumns count="2">
    <tableColumn id="1" xr3:uid="{E1157A13-81AB-424E-BAD3-F8AA0FDDF205}" name="Exercise" dataDxfId="270" dataCellStyle="Hyperlink"/>
    <tableColumn id="2" xr3:uid="{52B46FFB-8CF0-4239-B114-8575CCB4072C}" name="Link" dataDxfId="269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E7B2A733-2284-4CBA-AD40-DF13C05C6228}" name="Links97" displayName="Links97" ref="B304:D474" totalsRowShown="0">
  <autoFilter ref="B304:D474" xr:uid="{00000000-0009-0000-0100-000018000000}"/>
  <sortState xmlns:xlrd2="http://schemas.microsoft.com/office/spreadsheetml/2017/richdata2" ref="B305:D514">
    <sortCondition ref="C96:C306"/>
  </sortState>
  <tableColumns count="3">
    <tableColumn id="1" xr3:uid="{7E4614B1-C3FA-4D78-ADEF-6992181AFE0E}" name="Exercise" dataDxfId="268"/>
    <tableColumn id="2" xr3:uid="{4F57ED51-28D7-4EAD-BA01-0D0C06CE9168}" name="Link"/>
    <tableColumn id="3" xr3:uid="{01BFC520-67AC-4BF6-9946-0B111CF49A4B}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Abs_26" displayName="Abs_26" ref="B69:C76" totalsRowShown="0" headerRowDxfId="267" dataDxfId="266">
  <autoFilter ref="B69:C76" xr:uid="{00000000-0009-0000-0100-000019000000}"/>
  <tableColumns count="2">
    <tableColumn id="1" xr3:uid="{00000000-0010-0000-1800-000001000000}" name="Exercise" dataDxfId="265" dataCellStyle="Hyperlink"/>
    <tableColumn id="2" xr3:uid="{00000000-0010-0000-1800-000002000000}" name="Link" dataDxfId="26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Rear_or_Side_Delts27" displayName="Rear_or_Side_Delts27" ref="B271:C280" totalsRowShown="0" headerRowDxfId="263" dataDxfId="261" headerRowBorderDxfId="262" tableBorderDxfId="260">
  <autoFilter ref="B271:C280" xr:uid="{00000000-0009-0000-0100-00001A000000}"/>
  <tableColumns count="2">
    <tableColumn id="1" xr3:uid="{00000000-0010-0000-1900-000001000000}" name="Exercise" dataDxfId="259" dataCellStyle="Hyperlink"/>
    <tableColumn id="2" xr3:uid="{00000000-0010-0000-1900-000002000000}" name="Link" dataDxfId="258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Name28" displayName="Table_Name28" ref="B282:E304" totalsRowShown="0">
  <autoFilter ref="B282:E304" xr:uid="{00000000-0009-0000-0100-00001B000000}"/>
  <tableColumns count="4">
    <tableColumn id="1" xr3:uid="{00000000-0010-0000-1A00-000001000000}" name="Category"/>
    <tableColumn id="2" xr3:uid="{00000000-0010-0000-1A00-000002000000}" name="Table name" dataDxfId="257"/>
    <tableColumn id="3" xr3:uid="{00000000-0010-0000-1A00-000003000000}" name="Name List" dataDxfId="256"/>
    <tableColumn id="4" xr3:uid="{00000000-0010-0000-1A00-000004000000}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Chest_Isolation_or_Triceps29" displayName="Chest_Isolation_or_Triceps29" ref="B249:C269" totalsRowShown="0" headerRowDxfId="254" dataDxfId="252" headerRowBorderDxfId="253" tableBorderDxfId="251">
  <autoFilter ref="B249:C269" xr:uid="{00000000-0009-0000-0100-00001C000000}"/>
  <tableColumns count="2">
    <tableColumn id="1" xr3:uid="{00000000-0010-0000-1B00-000001000000}" name="Exercise" dataDxfId="250" dataCellStyle="Hyperlink"/>
    <tableColumn id="2" xr3:uid="{00000000-0010-0000-1B00-000002000000}" name="Link" dataDxfId="249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Incline_Push_or_front_Delts30" displayName="Incline_Push_or_front_Delts30" ref="B236:C248" totalsRowShown="0" headerRowDxfId="248" dataDxfId="246" headerRowBorderDxfId="247" tableBorderDxfId="245">
  <autoFilter ref="B236:C248" xr:uid="{00000000-0009-0000-0100-00001D000000}"/>
  <tableColumns count="2">
    <tableColumn id="1" xr3:uid="{00000000-0010-0000-1C00-000001000000}" name="Exercise" dataDxfId="244" dataCellStyle="Hyperlink"/>
    <tableColumn id="2" xr3:uid="{00000000-0010-0000-1C00-000002000000}" name="Link" dataDxfId="243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riceps31" displayName="Triceps31" ref="B222:C235" totalsRowShown="0" headerRowDxfId="242" dataDxfId="240" headerRowBorderDxfId="241" tableBorderDxfId="239">
  <autoFilter ref="B222:C235" xr:uid="{00000000-0009-0000-0100-00001E000000}"/>
  <tableColumns count="2">
    <tableColumn id="1" xr3:uid="{00000000-0010-0000-1D00-000001000000}" name="Exercise" dataDxfId="238" dataCellStyle="Hyperlink"/>
    <tableColumn id="2" xr3:uid="{00000000-0010-0000-1D00-000002000000}" name="Link" dataDxfId="237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Front_Delts32" displayName="Front_Delts32" ref="B213:C219" totalsRowShown="0" headerRowDxfId="236" dataDxfId="234" headerRowBorderDxfId="235" tableBorderDxfId="233">
  <autoFilter ref="B213:C219" xr:uid="{00000000-0009-0000-0100-00001F000000}"/>
  <tableColumns count="2">
    <tableColumn id="1" xr3:uid="{00000000-0010-0000-1E00-000001000000}" name="Exercise" dataDxfId="232" dataCellStyle="Hyperlink"/>
    <tableColumn id="2" xr3:uid="{00000000-0010-0000-1E00-000002000000}" name="Link" dataDxfId="231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Incline_Push33" displayName="Incline_Push33" ref="B205:C211" totalsRowShown="0" headerRowDxfId="230" dataDxfId="228" headerRowBorderDxfId="229" tableBorderDxfId="227">
  <autoFilter ref="B205:C211" xr:uid="{00000000-0009-0000-0100-000020000000}"/>
  <tableColumns count="2">
    <tableColumn id="1" xr3:uid="{00000000-0010-0000-1F00-000001000000}" name="Exercise" dataDxfId="226" dataCellStyle="Hyperlink"/>
    <tableColumn id="2" xr3:uid="{00000000-0010-0000-1F00-000002000000}" name="Link" dataDxfId="225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Horizontal_Push34" displayName="Horizontal_Push34" ref="B196:C203" totalsRowShown="0" headerRowDxfId="224" dataDxfId="222" headerRowBorderDxfId="223" tableBorderDxfId="221">
  <autoFilter ref="B196:C203" xr:uid="{00000000-0009-0000-0100-000021000000}"/>
  <tableColumns count="2">
    <tableColumn id="1" xr3:uid="{00000000-0010-0000-2000-000001000000}" name="Exercise" dataDxfId="220" dataCellStyle="Hyperlink"/>
    <tableColumn id="2" xr3:uid="{00000000-0010-0000-2000-000002000000}" name="Link" dataDxfId="219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Chest_Isolation35" displayName="Chest_Isolation35" ref="B187:C194" totalsRowShown="0" headerRowDxfId="218" dataDxfId="216" headerRowBorderDxfId="217" tableBorderDxfId="215">
  <autoFilter ref="B187:C194" xr:uid="{00000000-0009-0000-0100-000022000000}"/>
  <tableColumns count="2">
    <tableColumn id="1" xr3:uid="{00000000-0010-0000-2100-000001000000}" name="Exercise" dataDxfId="214" dataCellStyle="Hyperlink"/>
    <tableColumn id="2" xr3:uid="{00000000-0010-0000-2100-000002000000}" name="Link" dataDxfId="213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Hamstrings_Isolation36" displayName="Hamstrings_Isolation36" ref="B182:C185" totalsRowShown="0" headerRowDxfId="212" dataDxfId="210" headerRowBorderDxfId="211" tableBorderDxfId="209">
  <autoFilter ref="B182:C185" xr:uid="{00000000-0009-0000-0100-000023000000}"/>
  <tableColumns count="2">
    <tableColumn id="1" xr3:uid="{00000000-0010-0000-2200-000001000000}" name="Exercise" dataDxfId="208" dataCellStyle="Hyperlink"/>
    <tableColumn id="2" xr3:uid="{00000000-0010-0000-2200-000002000000}" name="Link" dataDxfId="207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Hamstrings_Hip_Hinge37" displayName="Hamstrings_Hip_Hinge37" ref="B176:C180" totalsRowShown="0" headerRowDxfId="206" dataDxfId="204" headerRowBorderDxfId="205" tableBorderDxfId="203">
  <autoFilter ref="B176:C180" xr:uid="{00000000-0009-0000-0100-000024000000}"/>
  <tableColumns count="2">
    <tableColumn id="1" xr3:uid="{00000000-0010-0000-2300-000001000000}" name="Exercise" dataDxfId="202" dataCellStyle="Hyperlink"/>
    <tableColumn id="2" xr3:uid="{00000000-0010-0000-2300-000002000000}" name="Link" dataDxfId="201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Glutes38" displayName="Glutes38" ref="B166:C174" totalsRowShown="0" headerRowDxfId="200" dataDxfId="198" headerRowBorderDxfId="199" tableBorderDxfId="197">
  <autoFilter ref="B166:C174" xr:uid="{00000000-0009-0000-0100-000025000000}"/>
  <tableColumns count="2">
    <tableColumn id="1" xr3:uid="{00000000-0010-0000-2400-000001000000}" name="Exercise" dataDxfId="196" dataCellStyle="Hyperlink"/>
    <tableColumn id="2" xr3:uid="{00000000-0010-0000-2400-000002000000}" name="Link" dataDxfId="19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Quads39" displayName="Quads39" ref="B157:C164" totalsRowShown="0" headerRowDxfId="194" dataDxfId="192" headerRowBorderDxfId="193" tableBorderDxfId="191">
  <autoFilter ref="B157:C164" xr:uid="{00000000-0009-0000-0100-000026000000}"/>
  <tableColumns count="2">
    <tableColumn id="1" xr3:uid="{00000000-0010-0000-2500-000001000000}" name="Exercise" dataDxfId="190" dataCellStyle="Hyperlink"/>
    <tableColumn id="2" xr3:uid="{00000000-0010-0000-2500-000002000000}" name="Link" dataDxfId="189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Vertical_Back40" displayName="Vertical_Back40" ref="B143:C155" totalsRowShown="0" headerRowDxfId="188" dataDxfId="186" headerRowBorderDxfId="187" tableBorderDxfId="185" dataCellStyle="Hyperlink">
  <autoFilter ref="B143:C155" xr:uid="{00000000-0009-0000-0100-000027000000}"/>
  <tableColumns count="2">
    <tableColumn id="1" xr3:uid="{00000000-0010-0000-2600-000001000000}" name="Exercise" dataDxfId="184" dataCellStyle="Hyperlink"/>
    <tableColumn id="2" xr3:uid="{00000000-0010-0000-2600-000002000000}" name="Link" dataDxfId="183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Horizontal_Back41" displayName="Horizontal_Back41" ref="B133:C141" totalsRowShown="0" headerRowDxfId="182" dataDxfId="180" headerRowBorderDxfId="181" tableBorderDxfId="179">
  <autoFilter ref="B133:C141" xr:uid="{00000000-0009-0000-0100-000028000000}"/>
  <tableColumns count="2">
    <tableColumn id="1" xr3:uid="{00000000-0010-0000-2700-000001000000}" name="Exercise" dataDxfId="178" dataCellStyle="Hyperlink"/>
    <tableColumn id="2" xr3:uid="{00000000-0010-0000-2700-000002000000}" name="Link" dataDxfId="177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Vertical_Triceps42" displayName="Vertical_Triceps42" ref="B126:C131" totalsRowShown="0" headerRowDxfId="176" dataDxfId="174" headerRowBorderDxfId="175" tableBorderDxfId="173">
  <autoFilter ref="B126:C131" xr:uid="{00000000-0009-0000-0100-000029000000}"/>
  <tableColumns count="2">
    <tableColumn id="1" xr3:uid="{00000000-0010-0000-2800-000001000000}" name="Exercise" dataDxfId="172" dataCellStyle="Hyperlink"/>
    <tableColumn id="2" xr3:uid="{00000000-0010-0000-2800-000002000000}" name="Link" dataDxfId="171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Horizontal_Triceps43" displayName="Horizontal_Triceps43" ref="B116:C124" totalsRowShown="0" headerRowDxfId="170" dataDxfId="168" headerRowBorderDxfId="169" tableBorderDxfId="167">
  <autoFilter ref="B116:C124" xr:uid="{00000000-0009-0000-0100-00002A000000}"/>
  <tableColumns count="2">
    <tableColumn id="1" xr3:uid="{00000000-0010-0000-2900-000001000000}" name="Exercise" dataDxfId="166" dataCellStyle="Hyperlink"/>
    <tableColumn id="2" xr3:uid="{00000000-0010-0000-2900-000002000000}" name="Link" dataDxfId="165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raps44" displayName="Traps44" ref="B110:C114" totalsRowShown="0" headerRowDxfId="164" dataDxfId="162" headerRowBorderDxfId="163" tableBorderDxfId="161">
  <autoFilter ref="B110:C114" xr:uid="{00000000-0009-0000-0100-00002B000000}"/>
  <tableColumns count="2">
    <tableColumn id="1" xr3:uid="{00000000-0010-0000-2A00-000001000000}" name="Exercise" dataDxfId="160" dataCellStyle="Hyperlink"/>
    <tableColumn id="2" xr3:uid="{00000000-0010-0000-2A00-000002000000}" name="Link" dataDxfId="159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Side_Delts45" displayName="Side_Delts45" ref="B103:C108" totalsRowShown="0" headerRowDxfId="158" dataDxfId="156" headerRowBorderDxfId="157" tableBorderDxfId="155">
  <autoFilter ref="B103:C108" xr:uid="{00000000-0009-0000-0100-00002C000000}"/>
  <tableColumns count="2">
    <tableColumn id="1" xr3:uid="{00000000-0010-0000-2B00-000001000000}" name="Exercise" dataDxfId="154" dataCellStyle="Hyperlink"/>
    <tableColumn id="2" xr3:uid="{00000000-0010-0000-2B00-000002000000}" name="Link" dataDxfId="153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Rear_Delts46" displayName="Rear_Delts46" ref="B97:C101" totalsRowShown="0" headerRowDxfId="152" dataDxfId="150" headerRowBorderDxfId="151" tableBorderDxfId="149">
  <autoFilter ref="B97:C101" xr:uid="{00000000-0009-0000-0100-00002D000000}"/>
  <tableColumns count="2">
    <tableColumn id="1" xr3:uid="{00000000-0010-0000-2C00-000001000000}" name="Exercise" dataDxfId="148" dataCellStyle="Hyperlink"/>
    <tableColumn id="2" xr3:uid="{00000000-0010-0000-2C00-000002000000}" name="Link" dataDxfId="147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Biceps47" displayName="Biceps47" ref="B84:C95" totalsRowShown="0" headerRowDxfId="146" dataDxfId="144" headerRowBorderDxfId="145" tableBorderDxfId="143">
  <autoFilter ref="B84:C95" xr:uid="{00000000-0009-0000-0100-00002E000000}"/>
  <tableColumns count="2">
    <tableColumn id="1" xr3:uid="{00000000-0010-0000-2D00-000001000000}" name="Exercise" dataDxfId="142" dataCellStyle="Hyperlink"/>
    <tableColumn id="2" xr3:uid="{00000000-0010-0000-2D00-000002000000}" name="Link" dataDxfId="141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lves48" displayName="Calves48" ref="B78:C82" totalsRowShown="0" headerRowDxfId="140" dataDxfId="138" headerRowBorderDxfId="139" tableBorderDxfId="137">
  <autoFilter ref="B78:C82" xr:uid="{00000000-0009-0000-0100-00002F000000}"/>
  <tableColumns count="2">
    <tableColumn id="1" xr3:uid="{00000000-0010-0000-2E00-000001000000}" name="Exercise" dataDxfId="136" dataCellStyle="Hyperlink"/>
    <tableColumn id="2" xr3:uid="{00000000-0010-0000-2E00-000002000000}" name="Link" dataDxfId="135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Links49" displayName="Links49" ref="B306:D476" totalsRowShown="0">
  <autoFilter ref="B306:D476" xr:uid="{00000000-0009-0000-0100-000030000000}"/>
  <sortState xmlns:xlrd2="http://schemas.microsoft.com/office/spreadsheetml/2017/richdata2" ref="B307:D516">
    <sortCondition ref="C94:C304"/>
  </sortState>
  <tableColumns count="3">
    <tableColumn id="1" xr3:uid="{00000000-0010-0000-2F00-000001000000}" name="Exercise" dataDxfId="134"/>
    <tableColumn id="2" xr3:uid="{00000000-0010-0000-2F00-000002000000}" name="Link"/>
    <tableColumn id="3" xr3:uid="{00000000-0010-0000-2F00-000003000000}" name="Category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Abs_50" displayName="Abs_50" ref="B61:C68" totalsRowShown="0" headerRowDxfId="133" dataDxfId="132">
  <autoFilter ref="B61:C68" xr:uid="{00000000-0009-0000-0100-000031000000}"/>
  <tableColumns count="2">
    <tableColumn id="1" xr3:uid="{00000000-0010-0000-3000-000001000000}" name="Exercise" dataDxfId="131" dataCellStyle="Hyperlink"/>
    <tableColumn id="2" xr3:uid="{00000000-0010-0000-3000-000002000000}" name="Link" dataDxfId="130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Rear_or_Side_Delts51" displayName="Rear_or_Side_Delts51" ref="B263:C272" totalsRowShown="0" headerRowDxfId="129" dataDxfId="127" headerRowBorderDxfId="128" tableBorderDxfId="126">
  <autoFilter ref="B263:C272" xr:uid="{00000000-0009-0000-0100-000032000000}"/>
  <tableColumns count="2">
    <tableColumn id="1" xr3:uid="{00000000-0010-0000-3100-000001000000}" name="Exercise" dataDxfId="125" dataCellStyle="Hyperlink"/>
    <tableColumn id="2" xr3:uid="{00000000-0010-0000-3100-000002000000}" name="Link" dataDxfId="124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Name52" displayName="Table_Name52" ref="B274:E296" totalsRowShown="0">
  <autoFilter ref="B274:E296" xr:uid="{00000000-0009-0000-0100-000033000000}"/>
  <tableColumns count="4">
    <tableColumn id="1" xr3:uid="{00000000-0010-0000-3200-000001000000}" name="Category"/>
    <tableColumn id="2" xr3:uid="{00000000-0010-0000-3200-000002000000}" name="Table name" dataDxfId="123"/>
    <tableColumn id="3" xr3:uid="{00000000-0010-0000-3200-000003000000}" name="Name List" dataDxfId="122"/>
    <tableColumn id="4" xr3:uid="{00000000-0010-0000-3200-000004000000}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Chest_Isolation_or_Triceps53" displayName="Chest_Isolation_or_Triceps53" ref="B241:C261" totalsRowShown="0" headerRowDxfId="120" dataDxfId="118" headerRowBorderDxfId="119" tableBorderDxfId="117">
  <autoFilter ref="B241:C261" xr:uid="{00000000-0009-0000-0100-000034000000}"/>
  <tableColumns count="2">
    <tableColumn id="1" xr3:uid="{00000000-0010-0000-3300-000001000000}" name="Exercise" dataDxfId="116" dataCellStyle="Hyperlink"/>
    <tableColumn id="2" xr3:uid="{00000000-0010-0000-3300-000002000000}" name="Link" dataDxfId="115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Incline_Push_or_front_Delts54" displayName="Incline_Push_or_front_Delts54" ref="B228:C240" totalsRowShown="0" headerRowDxfId="114" dataDxfId="112" headerRowBorderDxfId="113" tableBorderDxfId="111">
  <autoFilter ref="B228:C240" xr:uid="{00000000-0009-0000-0100-000035000000}"/>
  <tableColumns count="2">
    <tableColumn id="1" xr3:uid="{00000000-0010-0000-3400-000001000000}" name="Exercise" dataDxfId="110" dataCellStyle="Hyperlink"/>
    <tableColumn id="2" xr3:uid="{00000000-0010-0000-3400-000002000000}" name="Link" dataDxfId="109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riceps55" displayName="Triceps55" ref="B214:C227" totalsRowShown="0" headerRowDxfId="108" dataDxfId="106" headerRowBorderDxfId="107" tableBorderDxfId="105">
  <autoFilter ref="B214:C227" xr:uid="{00000000-0009-0000-0100-000036000000}"/>
  <tableColumns count="2">
    <tableColumn id="1" xr3:uid="{00000000-0010-0000-3500-000001000000}" name="Exercise" dataDxfId="104" dataCellStyle="Hyperlink"/>
    <tableColumn id="2" xr3:uid="{00000000-0010-0000-3500-000002000000}" name="Link" dataDxfId="103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Front_Delts56" displayName="Front_Delts56" ref="B205:C211" totalsRowShown="0" headerRowDxfId="102" dataDxfId="100" headerRowBorderDxfId="101" tableBorderDxfId="99">
  <autoFilter ref="B205:C211" xr:uid="{00000000-0009-0000-0100-000037000000}"/>
  <tableColumns count="2">
    <tableColumn id="1" xr3:uid="{00000000-0010-0000-3600-000001000000}" name="Exercise" dataDxfId="98" dataCellStyle="Hyperlink"/>
    <tableColumn id="2" xr3:uid="{00000000-0010-0000-3600-000002000000}" name="Link" dataDxfId="97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Incline_Push57" displayName="Incline_Push57" ref="B197:C203" totalsRowShown="0" headerRowDxfId="96" dataDxfId="94" headerRowBorderDxfId="95" tableBorderDxfId="93">
  <autoFilter ref="B197:C203" xr:uid="{00000000-0009-0000-0100-000038000000}"/>
  <tableColumns count="2">
    <tableColumn id="1" xr3:uid="{00000000-0010-0000-3700-000001000000}" name="Exercise" dataDxfId="92" dataCellStyle="Hyperlink"/>
    <tableColumn id="2" xr3:uid="{00000000-0010-0000-3700-000002000000}" name="Link" dataDxfId="91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Horizontal_Push58" displayName="Horizontal_Push58" ref="B188:C195" totalsRowShown="0" headerRowDxfId="90" dataDxfId="88" headerRowBorderDxfId="89" tableBorderDxfId="87">
  <autoFilter ref="B188:C195" xr:uid="{00000000-0009-0000-0100-000039000000}"/>
  <tableColumns count="2">
    <tableColumn id="1" xr3:uid="{00000000-0010-0000-3800-000001000000}" name="Exercise" dataDxfId="86" dataCellStyle="Hyperlink"/>
    <tableColumn id="2" xr3:uid="{00000000-0010-0000-3800-000002000000}" name="Link" dataDxfId="85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Chest_Isolation59" displayName="Chest_Isolation59" ref="B179:C186" totalsRowShown="0" headerRowDxfId="84" dataDxfId="82" headerRowBorderDxfId="83" tableBorderDxfId="81">
  <autoFilter ref="B179:C186" xr:uid="{00000000-0009-0000-0100-00003A000000}"/>
  <tableColumns count="2">
    <tableColumn id="1" xr3:uid="{00000000-0010-0000-3900-000001000000}" name="Exercise" dataDxfId="80" dataCellStyle="Hyperlink"/>
    <tableColumn id="2" xr3:uid="{00000000-0010-0000-3900-000002000000}" name="Link" dataDxfId="79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Hamstrings_Isolation60" displayName="Hamstrings_Isolation60" ref="B174:C177" totalsRowShown="0" headerRowDxfId="78" dataDxfId="76" headerRowBorderDxfId="77" tableBorderDxfId="75">
  <autoFilter ref="B174:C177" xr:uid="{00000000-0009-0000-0100-00003B000000}"/>
  <tableColumns count="2">
    <tableColumn id="1" xr3:uid="{00000000-0010-0000-3A00-000001000000}" name="Exercise" dataDxfId="74" dataCellStyle="Hyperlink"/>
    <tableColumn id="2" xr3:uid="{00000000-0010-0000-3A00-000002000000}" name="Link" dataDxfId="73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Hamstrings_Hip_Hinge61" displayName="Hamstrings_Hip_Hinge61" ref="B168:C172" totalsRowShown="0" headerRowDxfId="72" dataDxfId="70" headerRowBorderDxfId="71" tableBorderDxfId="69">
  <autoFilter ref="B168:C172" xr:uid="{00000000-0009-0000-0100-00003C000000}"/>
  <tableColumns count="2">
    <tableColumn id="1" xr3:uid="{00000000-0010-0000-3B00-000001000000}" name="Exercise" dataDxfId="68" dataCellStyle="Hyperlink"/>
    <tableColumn id="2" xr3:uid="{00000000-0010-0000-3B00-000002000000}" name="Link" dataDxfId="67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Glutes62" displayName="Glutes62" ref="B158:C166" totalsRowShown="0" headerRowDxfId="66" dataDxfId="64" headerRowBorderDxfId="65" tableBorderDxfId="63">
  <autoFilter ref="B158:C166" xr:uid="{00000000-0009-0000-0100-00003D000000}"/>
  <tableColumns count="2">
    <tableColumn id="1" xr3:uid="{00000000-0010-0000-3C00-000001000000}" name="Exercise" dataDxfId="62" dataCellStyle="Hyperlink"/>
    <tableColumn id="2" xr3:uid="{00000000-0010-0000-3C00-000002000000}" name="Link" dataDxfId="61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Quads63" displayName="Quads63" ref="B149:C156" totalsRowShown="0" headerRowDxfId="60" dataDxfId="58" headerRowBorderDxfId="59" tableBorderDxfId="57">
  <autoFilter ref="B149:C156" xr:uid="{00000000-0009-0000-0100-00003E000000}"/>
  <tableColumns count="2">
    <tableColumn id="1" xr3:uid="{00000000-0010-0000-3D00-000001000000}" name="Exercise" dataDxfId="56" dataCellStyle="Hyperlink"/>
    <tableColumn id="2" xr3:uid="{00000000-0010-0000-3D00-000002000000}" name="Link" dataDxfId="5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Vertical_Back64" displayName="Vertical_Back64" ref="B135:C147" totalsRowShown="0" headerRowDxfId="54" dataDxfId="52" headerRowBorderDxfId="53" tableBorderDxfId="51" dataCellStyle="Hyperlink">
  <autoFilter ref="B135:C147" xr:uid="{00000000-0009-0000-0100-00003F000000}"/>
  <tableColumns count="2">
    <tableColumn id="1" xr3:uid="{00000000-0010-0000-3E00-000001000000}" name="Exercise" dataDxfId="50" dataCellStyle="Hyperlink"/>
    <tableColumn id="2" xr3:uid="{00000000-0010-0000-3E00-000002000000}" name="Link" dataDxfId="49" dataCellStyle="Hyperlink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Horizontal_Back65" displayName="Horizontal_Back65" ref="B125:C133" totalsRowShown="0" headerRowDxfId="48" dataDxfId="46" headerRowBorderDxfId="47" tableBorderDxfId="45">
  <autoFilter ref="B125:C133" xr:uid="{00000000-0009-0000-0100-000040000000}"/>
  <tableColumns count="2">
    <tableColumn id="1" xr3:uid="{00000000-0010-0000-3F00-000001000000}" name="Exercise" dataDxfId="44" dataCellStyle="Hyperlink"/>
    <tableColumn id="2" xr3:uid="{00000000-0010-0000-3F00-000002000000}" name="Link" dataDxfId="43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Vertical_Triceps66" displayName="Vertical_Triceps66" ref="B118:C123" totalsRowShown="0" headerRowDxfId="42" dataDxfId="40" headerRowBorderDxfId="41" tableBorderDxfId="39">
  <autoFilter ref="B118:C123" xr:uid="{00000000-0009-0000-0100-000041000000}"/>
  <tableColumns count="2">
    <tableColumn id="1" xr3:uid="{00000000-0010-0000-4000-000001000000}" name="Exercise" dataDxfId="38" dataCellStyle="Hyperlink"/>
    <tableColumn id="2" xr3:uid="{00000000-0010-0000-4000-000002000000}" name="Link" dataDxfId="3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Horizontal_Triceps67" displayName="Horizontal_Triceps67" ref="B108:C116" totalsRowShown="0" headerRowDxfId="36" dataDxfId="34" headerRowBorderDxfId="35" tableBorderDxfId="33">
  <autoFilter ref="B108:C116" xr:uid="{00000000-0009-0000-0100-000042000000}"/>
  <tableColumns count="2">
    <tableColumn id="1" xr3:uid="{00000000-0010-0000-4100-000001000000}" name="Exercise" dataDxfId="32" dataCellStyle="Hyperlink"/>
    <tableColumn id="2" xr3:uid="{00000000-0010-0000-4100-000002000000}" name="Link" dataDxfId="31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raps68" displayName="Traps68" ref="B102:C106" totalsRowShown="0" headerRowDxfId="30" dataDxfId="28" headerRowBorderDxfId="29" tableBorderDxfId="27">
  <autoFilter ref="B102:C106" xr:uid="{00000000-0009-0000-0100-000043000000}"/>
  <tableColumns count="2">
    <tableColumn id="1" xr3:uid="{00000000-0010-0000-4200-000001000000}" name="Exercise" dataDxfId="26" dataCellStyle="Hyperlink"/>
    <tableColumn id="2" xr3:uid="{00000000-0010-0000-4200-000002000000}" name="Link" dataDxfId="25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Side_Delts69" displayName="Side_Delts69" ref="B95:C100" totalsRowShown="0" headerRowDxfId="24" dataDxfId="22" headerRowBorderDxfId="23" tableBorderDxfId="21">
  <autoFilter ref="B95:C100" xr:uid="{00000000-0009-0000-0100-000044000000}"/>
  <tableColumns count="2">
    <tableColumn id="1" xr3:uid="{00000000-0010-0000-4300-000001000000}" name="Exercise" dataDxfId="20" dataCellStyle="Hyperlink"/>
    <tableColumn id="2" xr3:uid="{00000000-0010-0000-4300-000002000000}" name="Link" dataDxfId="19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Rear_Delts70" displayName="Rear_Delts70" ref="B89:C93" totalsRowShown="0" headerRowDxfId="18" dataDxfId="16" headerRowBorderDxfId="17" tableBorderDxfId="15">
  <autoFilter ref="B89:C93" xr:uid="{00000000-0009-0000-0100-000045000000}"/>
  <tableColumns count="2">
    <tableColumn id="1" xr3:uid="{00000000-0010-0000-4400-000001000000}" name="Exercise" dataDxfId="14" dataCellStyle="Hyperlink"/>
    <tableColumn id="2" xr3:uid="{00000000-0010-0000-4400-000002000000}" name="Link" dataDxfId="13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Biceps71" displayName="Biceps71" ref="B76:C87" totalsRowShown="0" headerRowDxfId="12" dataDxfId="10" headerRowBorderDxfId="11" tableBorderDxfId="9">
  <autoFilter ref="B76:C87" xr:uid="{00000000-0009-0000-0100-000046000000}"/>
  <tableColumns count="2">
    <tableColumn id="1" xr3:uid="{00000000-0010-0000-4500-000001000000}" name="Exercise" dataDxfId="8" dataCellStyle="Hyperlink"/>
    <tableColumn id="2" xr3:uid="{00000000-0010-0000-4500-000002000000}" name="Link" dataDxfId="7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Calves72" displayName="Calves72" ref="B70:C74" totalsRowShown="0" headerRowDxfId="6" dataDxfId="4" headerRowBorderDxfId="5" tableBorderDxfId="3">
  <autoFilter ref="B70:C74" xr:uid="{00000000-0009-0000-0100-000047000000}"/>
  <tableColumns count="2">
    <tableColumn id="1" xr3:uid="{00000000-0010-0000-4600-000001000000}" name="Exercise" dataDxfId="2" dataCellStyle="Hyperlink"/>
    <tableColumn id="2" xr3:uid="{00000000-0010-0000-4600-000002000000}" name="Link" dataDxfId="1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Links73" displayName="Links73" ref="B298:D468" totalsRowShown="0">
  <autoFilter ref="B298:D468" xr:uid="{00000000-0009-0000-0100-000048000000}"/>
  <sortState xmlns:xlrd2="http://schemas.microsoft.com/office/spreadsheetml/2017/richdata2" ref="B307:D516">
    <sortCondition ref="C94:C304"/>
  </sortState>
  <tableColumns count="3">
    <tableColumn id="1" xr3:uid="{00000000-0010-0000-4700-000001000000}" name="Exercise" dataDxfId="0"/>
    <tableColumn id="2" xr3:uid="{00000000-0010-0000-4700-000002000000}" name="Link"/>
    <tableColumn id="3" xr3:uid="{00000000-0010-0000-4700-000003000000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1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11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1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12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5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17.xml"/><Relationship Id="rId202" Type="http://schemas.openxmlformats.org/officeDocument/2006/relationships/table" Target="../tables/table21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2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35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25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36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6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29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41.xml"/><Relationship Id="rId202" Type="http://schemas.openxmlformats.org/officeDocument/2006/relationships/table" Target="../tables/table45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31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3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59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49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60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50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53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65.xml"/><Relationship Id="rId202" Type="http://schemas.openxmlformats.org/officeDocument/2006/relationships/table" Target="../tables/table69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55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82.xml"/><Relationship Id="rId205" Type="http://schemas.openxmlformats.org/officeDocument/2006/relationships/table" Target="../tables/table96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4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83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73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84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74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85.xml"/><Relationship Id="rId199" Type="http://schemas.openxmlformats.org/officeDocument/2006/relationships/table" Target="../tables/table90.xml"/><Relationship Id="rId203" Type="http://schemas.openxmlformats.org/officeDocument/2006/relationships/table" Target="../tables/table94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75.xml"/><Relationship Id="rId189" Type="http://schemas.openxmlformats.org/officeDocument/2006/relationships/table" Target="../tables/table80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86.xml"/><Relationship Id="rId190" Type="http://schemas.openxmlformats.org/officeDocument/2006/relationships/table" Target="../tables/table81.xml"/><Relationship Id="rId204" Type="http://schemas.openxmlformats.org/officeDocument/2006/relationships/table" Target="../tables/table95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76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4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87.xml"/><Relationship Id="rId200" Type="http://schemas.openxmlformats.org/officeDocument/2006/relationships/table" Target="../tables/table91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77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88.xml"/><Relationship Id="rId201" Type="http://schemas.openxmlformats.org/officeDocument/2006/relationships/table" Target="../tables/table92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78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89.xml"/><Relationship Id="rId202" Type="http://schemas.openxmlformats.org/officeDocument/2006/relationships/table" Target="../tables/table93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9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474"/>
  <sheetViews>
    <sheetView showGridLines="0" tabSelected="1" topLeftCell="B8" zoomScaleNormal="100" workbookViewId="0">
      <selection activeCell="C22" sqref="C22"/>
    </sheetView>
  </sheetViews>
  <sheetFormatPr defaultColWidth="8.85546875"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11.28515625" customWidth="1"/>
    <col min="10" max="10" width="7.42578125" bestFit="1" customWidth="1"/>
    <col min="11" max="11" width="9" bestFit="1" customWidth="1"/>
    <col min="12" max="12" width="11.28515625" bestFit="1" customWidth="1"/>
    <col min="13" max="13" width="7.42578125" bestFit="1" customWidth="1"/>
    <col min="14" max="14" width="36.7109375" customWidth="1"/>
    <col min="15" max="15" width="4.7109375" bestFit="1" customWidth="1"/>
    <col min="16" max="16" width="7.42578125" bestFit="1" customWidth="1"/>
    <col min="17" max="17" width="9" bestFit="1" customWidth="1"/>
    <col min="18" max="18" width="11.28515625" bestFit="1" customWidth="1"/>
    <col min="19" max="19" width="7.42578125" bestFit="1" customWidth="1"/>
    <col min="20" max="20" width="37" customWidth="1"/>
    <col min="21" max="21" width="8.85546875" customWidth="1"/>
    <col min="22" max="22" width="7.42578125" bestFit="1" customWidth="1"/>
    <col min="23" max="23" width="9" bestFit="1" customWidth="1"/>
    <col min="24" max="24" width="11.28515625" bestFit="1" customWidth="1"/>
    <col min="25" max="25" width="7.42578125" bestFit="1" customWidth="1"/>
    <col min="26" max="26" width="37" customWidth="1"/>
    <col min="27" max="27" width="8.85546875" customWidth="1"/>
    <col min="28" max="28" width="7.42578125" bestFit="1" customWidth="1"/>
    <col min="29" max="29" width="9" bestFit="1" customWidth="1"/>
    <col min="30" max="30" width="11.28515625" bestFit="1" customWidth="1"/>
    <col min="31" max="31" width="7.42578125" bestFit="1" customWidth="1"/>
    <col min="32" max="32" width="37" customWidth="1"/>
    <col min="33" max="33" width="8.85546875" customWidth="1"/>
    <col min="34" max="34" width="7.42578125" bestFit="1" customWidth="1"/>
    <col min="35" max="35" width="9" bestFit="1" customWidth="1"/>
    <col min="36" max="36" width="11.28515625" bestFit="1" customWidth="1"/>
    <col min="37" max="37" width="7.42578125" bestFit="1" customWidth="1"/>
    <col min="38" max="38" width="36.7109375" customWidth="1"/>
    <col min="39" max="39" width="8.85546875" customWidth="1"/>
    <col min="40" max="40" width="7.42578125" bestFit="1" customWidth="1"/>
    <col min="41" max="41" width="9" bestFit="1" customWidth="1"/>
    <col min="42" max="42" width="11.28515625" bestFit="1" customWidth="1"/>
    <col min="43" max="43" width="7.42578125" bestFit="1" customWidth="1"/>
    <col min="44" max="44" width="36.42578125" customWidth="1"/>
    <col min="45" max="45" width="4.7109375" bestFit="1" customWidth="1"/>
    <col min="46" max="46" width="7.42578125" bestFit="1" customWidth="1"/>
    <col min="47" max="48" width="17.7109375" bestFit="1" customWidth="1"/>
    <col min="49" max="49" width="15.140625" bestFit="1" customWidth="1"/>
    <col min="50" max="50" width="17.7109375" bestFit="1" customWidth="1"/>
  </cols>
  <sheetData>
    <row r="1" spans="2:47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71"/>
      <c r="AB1" s="20"/>
      <c r="AC1" s="20"/>
      <c r="AD1" s="20"/>
      <c r="AE1" s="20"/>
      <c r="AF1" s="20"/>
      <c r="AG1" s="171"/>
      <c r="AH1" s="20"/>
      <c r="AI1" s="20"/>
      <c r="AJ1" s="20"/>
      <c r="AK1" s="20"/>
      <c r="AL1" s="20"/>
      <c r="AM1" s="168"/>
      <c r="AN1" s="16"/>
      <c r="AO1" s="16"/>
      <c r="AP1" s="16"/>
      <c r="AQ1" s="16"/>
      <c r="AR1" s="16"/>
      <c r="AS1" s="12"/>
      <c r="AT1" s="1"/>
    </row>
    <row r="2" spans="2:47" ht="19.5" thickBot="1" x14ac:dyDescent="0.35">
      <c r="F2" s="25" t="s">
        <v>95</v>
      </c>
      <c r="G2" s="27" t="s">
        <v>98</v>
      </c>
      <c r="H2" s="33" t="s">
        <v>90</v>
      </c>
      <c r="I2" s="58" t="s">
        <v>361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21"/>
      <c r="AA2" s="23"/>
      <c r="AB2" s="23"/>
      <c r="AC2" s="21"/>
      <c r="AD2" s="21"/>
      <c r="AE2" s="21"/>
      <c r="AF2" s="21"/>
      <c r="AG2" s="23"/>
      <c r="AH2" s="23"/>
      <c r="AI2" s="21"/>
      <c r="AJ2" s="21"/>
      <c r="AK2" s="21"/>
      <c r="AL2" s="21"/>
      <c r="AM2" s="23"/>
      <c r="AN2" s="169"/>
      <c r="AO2" s="4"/>
    </row>
    <row r="3" spans="2:47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362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Y3" s="4"/>
      <c r="Z3" s="4"/>
      <c r="AA3" s="4"/>
      <c r="AB3" s="4"/>
      <c r="AC3" s="4"/>
      <c r="AD3" s="4"/>
      <c r="AE3" s="4"/>
      <c r="AF3" s="4"/>
      <c r="AG3" s="4"/>
      <c r="AN3" s="4"/>
      <c r="AO3" s="4"/>
    </row>
    <row r="4" spans="2:47" x14ac:dyDescent="0.25">
      <c r="G4" t="s">
        <v>0</v>
      </c>
      <c r="I4" s="58" t="s">
        <v>363</v>
      </c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2:47" x14ac:dyDescent="0.25">
      <c r="I5" s="58" t="s">
        <v>364</v>
      </c>
      <c r="J5" s="3"/>
      <c r="K5" s="3"/>
      <c r="L5" s="3"/>
      <c r="M5" s="3"/>
      <c r="N5" s="3"/>
      <c r="O5" s="3"/>
      <c r="P5" s="3"/>
      <c r="Q5" s="3"/>
      <c r="R5" s="3"/>
      <c r="S5" s="3"/>
      <c r="T5" s="2"/>
      <c r="Y5" s="4"/>
      <c r="Z5" s="4"/>
      <c r="AA5" s="4"/>
      <c r="AB5" s="4"/>
      <c r="AC5" s="4"/>
      <c r="AD5" s="4"/>
      <c r="AE5" s="4"/>
      <c r="AF5" s="4"/>
      <c r="AG5" s="4"/>
    </row>
    <row r="6" spans="2:47" ht="15.75" thickBot="1" x14ac:dyDescent="0.3">
      <c r="I6" s="59" t="s">
        <v>365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1"/>
    </row>
    <row r="9" spans="2:47" ht="15.75" thickBot="1" x14ac:dyDescent="0.3"/>
    <row r="10" spans="2:47" ht="19.5" thickBot="1" x14ac:dyDescent="0.3">
      <c r="G10" s="5" t="s">
        <v>101</v>
      </c>
      <c r="H10" s="181" t="s">
        <v>1</v>
      </c>
      <c r="I10" s="182"/>
      <c r="J10" s="182"/>
      <c r="K10" s="182"/>
      <c r="L10" s="182"/>
      <c r="M10" s="183"/>
      <c r="N10" s="184" t="s">
        <v>2</v>
      </c>
      <c r="O10" s="185"/>
      <c r="P10" s="185"/>
      <c r="Q10" s="185"/>
      <c r="R10" s="185"/>
      <c r="S10" s="186"/>
      <c r="T10" s="172" t="s">
        <v>3</v>
      </c>
      <c r="U10" s="173"/>
      <c r="V10" s="173"/>
      <c r="W10" s="173"/>
      <c r="X10" s="173"/>
      <c r="Y10" s="174"/>
      <c r="Z10" s="172" t="s">
        <v>4</v>
      </c>
      <c r="AA10" s="173"/>
      <c r="AB10" s="173"/>
      <c r="AC10" s="173"/>
      <c r="AD10" s="173"/>
      <c r="AE10" s="174"/>
      <c r="AF10" s="172" t="s">
        <v>358</v>
      </c>
      <c r="AG10" s="173"/>
      <c r="AH10" s="173"/>
      <c r="AI10" s="173"/>
      <c r="AJ10" s="173"/>
      <c r="AK10" s="174"/>
      <c r="AL10" s="175" t="s">
        <v>359</v>
      </c>
      <c r="AM10" s="176"/>
      <c r="AN10" s="176"/>
      <c r="AO10" s="176"/>
      <c r="AP10" s="176"/>
      <c r="AQ10" s="177"/>
      <c r="AR10" s="178" t="s">
        <v>360</v>
      </c>
      <c r="AS10" s="179"/>
      <c r="AT10" s="179"/>
      <c r="AU10" s="180"/>
    </row>
    <row r="11" spans="2:47" ht="15.75" thickBot="1" x14ac:dyDescent="0.3">
      <c r="B11" s="37"/>
      <c r="C11" s="37" t="s">
        <v>16</v>
      </c>
      <c r="D11" s="37"/>
      <c r="E11" s="37"/>
      <c r="F11" s="37"/>
      <c r="G11" s="77" t="s">
        <v>102</v>
      </c>
      <c r="H11" s="65" t="s">
        <v>88</v>
      </c>
      <c r="I11" s="66" t="s">
        <v>6</v>
      </c>
      <c r="J11" s="67" t="s">
        <v>7</v>
      </c>
      <c r="K11" s="68" t="s">
        <v>8</v>
      </c>
      <c r="L11" s="68" t="s">
        <v>9</v>
      </c>
      <c r="M11" s="69" t="s">
        <v>10</v>
      </c>
      <c r="N11" s="70" t="s">
        <v>88</v>
      </c>
      <c r="O11" s="70" t="s">
        <v>6</v>
      </c>
      <c r="P11" s="67" t="s">
        <v>7</v>
      </c>
      <c r="Q11" s="68" t="s">
        <v>8</v>
      </c>
      <c r="R11" s="68" t="s">
        <v>9</v>
      </c>
      <c r="S11" s="69" t="s">
        <v>10</v>
      </c>
      <c r="T11" s="70" t="s">
        <v>88</v>
      </c>
      <c r="U11" s="70" t="s">
        <v>6</v>
      </c>
      <c r="V11" s="67" t="s">
        <v>7</v>
      </c>
      <c r="W11" s="68" t="s">
        <v>8</v>
      </c>
      <c r="X11" s="68" t="s">
        <v>9</v>
      </c>
      <c r="Y11" s="69" t="s">
        <v>10</v>
      </c>
      <c r="Z11" s="70" t="s">
        <v>88</v>
      </c>
      <c r="AA11" s="70" t="s">
        <v>6</v>
      </c>
      <c r="AB11" s="67" t="s">
        <v>7</v>
      </c>
      <c r="AC11" s="68" t="s">
        <v>8</v>
      </c>
      <c r="AD11" s="68" t="s">
        <v>9</v>
      </c>
      <c r="AE11" s="69" t="s">
        <v>10</v>
      </c>
      <c r="AF11" s="70" t="s">
        <v>88</v>
      </c>
      <c r="AG11" s="70" t="s">
        <v>6</v>
      </c>
      <c r="AH11" s="67" t="s">
        <v>7</v>
      </c>
      <c r="AI11" s="68" t="s">
        <v>8</v>
      </c>
      <c r="AJ11" s="68" t="s">
        <v>9</v>
      </c>
      <c r="AK11" s="69" t="s">
        <v>10</v>
      </c>
      <c r="AL11" s="70" t="s">
        <v>88</v>
      </c>
      <c r="AM11" s="70" t="s">
        <v>6</v>
      </c>
      <c r="AN11" s="67" t="s">
        <v>7</v>
      </c>
      <c r="AO11" s="68" t="s">
        <v>8</v>
      </c>
      <c r="AP11" s="68" t="s">
        <v>9</v>
      </c>
      <c r="AQ11" s="69" t="s">
        <v>10</v>
      </c>
      <c r="AR11" s="70" t="s">
        <v>88</v>
      </c>
      <c r="AS11" s="70" t="s">
        <v>6</v>
      </c>
      <c r="AT11" s="67" t="s">
        <v>7</v>
      </c>
      <c r="AU11" s="71" t="s">
        <v>8</v>
      </c>
    </row>
    <row r="12" spans="2:47" ht="15.75" thickBot="1" x14ac:dyDescent="0.3">
      <c r="B12" s="95" t="s">
        <v>342</v>
      </c>
      <c r="C12" s="99" t="s">
        <v>85</v>
      </c>
      <c r="D12" s="91"/>
      <c r="E12" s="91"/>
      <c r="F12" s="99" t="s">
        <v>356</v>
      </c>
      <c r="G12" s="99" t="s">
        <v>357</v>
      </c>
      <c r="H12" s="65" t="s">
        <v>85</v>
      </c>
      <c r="I12" s="72"/>
      <c r="J12" s="72" t="s">
        <v>0</v>
      </c>
      <c r="K12" s="72"/>
      <c r="L12" s="72"/>
      <c r="M12" s="73"/>
      <c r="N12" s="65" t="s">
        <v>85</v>
      </c>
      <c r="O12" s="72"/>
      <c r="P12" s="72"/>
      <c r="Q12" s="72"/>
      <c r="R12" s="72"/>
      <c r="S12" s="73"/>
      <c r="T12" s="65" t="s">
        <v>85</v>
      </c>
      <c r="U12" s="72"/>
      <c r="V12" s="72"/>
      <c r="W12" s="72"/>
      <c r="X12" s="72"/>
      <c r="Y12" s="73"/>
      <c r="Z12" s="65" t="s">
        <v>85</v>
      </c>
      <c r="AA12" s="72"/>
      <c r="AB12" s="72"/>
      <c r="AC12" s="72"/>
      <c r="AD12" s="72"/>
      <c r="AE12" s="73"/>
      <c r="AF12" s="65" t="s">
        <v>85</v>
      </c>
      <c r="AG12" s="72"/>
      <c r="AH12" s="72"/>
      <c r="AI12" s="72"/>
      <c r="AJ12" s="72"/>
      <c r="AK12" s="73"/>
      <c r="AL12" s="65" t="s">
        <v>85</v>
      </c>
      <c r="AM12" s="72"/>
      <c r="AN12" s="72"/>
      <c r="AO12" s="72"/>
      <c r="AP12" s="72"/>
      <c r="AQ12" s="72"/>
      <c r="AR12" s="65" t="s">
        <v>85</v>
      </c>
      <c r="AS12" s="72"/>
      <c r="AT12" s="72"/>
      <c r="AU12" s="73"/>
    </row>
    <row r="13" spans="2:47" ht="15.75" thickBot="1" x14ac:dyDescent="0.3">
      <c r="B13" s="96" t="s">
        <v>343</v>
      </c>
      <c r="C13" s="100" t="s">
        <v>28</v>
      </c>
      <c r="D13" s="92" t="str">
        <f t="array" ref="D13">INDEX(Table_Name[Name List],MATCH(B13,Table_Name[Category],0))</f>
        <v>Incline_Push[Exercise]</v>
      </c>
      <c r="E13" s="103" t="str">
        <f t="array" ref="E13">INDEX(Links[Link],MATCH(C13,Links[Exercise],0))</f>
        <v>https://youtu.be/efDlxayx234</v>
      </c>
      <c r="F13" s="106" t="str">
        <f t="shared" ref="F13:F18" si="0">HYPERLINK(E13,"Video")</f>
        <v>Video</v>
      </c>
      <c r="G13" s="109">
        <v>40</v>
      </c>
      <c r="H13" s="75" t="str">
        <f t="shared" ref="H13:H18" si="1">C13</f>
        <v>Low Incline Dumbbell Press</v>
      </c>
      <c r="I13" s="76">
        <v>2</v>
      </c>
      <c r="J13" s="76">
        <f t="shared" ref="J13:J18" si="2">MROUND(((G13)*0.85),5)</f>
        <v>35</v>
      </c>
      <c r="K13" s="76" t="s">
        <v>11</v>
      </c>
      <c r="L13" s="76"/>
      <c r="M13" s="77"/>
      <c r="N13" s="75" t="str">
        <f t="shared" ref="N13:N18" si="3">C13</f>
        <v>Low Incline Dumbbell Press</v>
      </c>
      <c r="O13" s="76">
        <f>I13+(M32)</f>
        <v>2</v>
      </c>
      <c r="P13" s="76">
        <f t="shared" ref="P13:P18" si="4">MROUND((J13*1.02),5)</f>
        <v>35</v>
      </c>
      <c r="Q13" s="76" t="s">
        <v>11</v>
      </c>
      <c r="R13" s="76"/>
      <c r="S13" s="78"/>
      <c r="T13" s="57" t="str">
        <f t="shared" ref="T13:T18" si="5">C13</f>
        <v>Low Incline Dumbbell Press</v>
      </c>
      <c r="U13" s="76">
        <f>O13+(S32)</f>
        <v>2</v>
      </c>
      <c r="V13" s="76">
        <f t="shared" ref="V13:V18" si="6">MROUND((J13*1.04),5)</f>
        <v>35</v>
      </c>
      <c r="W13" s="76" t="s">
        <v>12</v>
      </c>
      <c r="X13" s="76"/>
      <c r="Y13" s="78"/>
      <c r="Z13" s="13" t="str">
        <f t="shared" ref="Z13:Z18" si="7">C13</f>
        <v>Low Incline Dumbbell Press</v>
      </c>
      <c r="AA13" s="76">
        <f>U13+(Y32)</f>
        <v>2</v>
      </c>
      <c r="AB13" s="76">
        <f t="shared" ref="AB13:AB18" si="8">MROUND((P13*1.04),5)</f>
        <v>35</v>
      </c>
      <c r="AC13" s="76" t="s">
        <v>12</v>
      </c>
      <c r="AD13" s="76"/>
      <c r="AE13" s="78"/>
      <c r="AF13" s="13" t="str">
        <f t="shared" ref="AF13:AF18" si="9">C13</f>
        <v>Low Incline Dumbbell Press</v>
      </c>
      <c r="AG13" s="76">
        <f>AA13+(AE32)</f>
        <v>2</v>
      </c>
      <c r="AH13" s="76">
        <f t="shared" ref="AH13:AH18" si="10">MROUND((V13*1.04),5)</f>
        <v>35</v>
      </c>
      <c r="AI13" s="76" t="s">
        <v>12</v>
      </c>
      <c r="AJ13" s="76"/>
      <c r="AK13" s="78"/>
      <c r="AL13" s="75" t="str">
        <f t="shared" ref="AL13:AL18" si="11">C13</f>
        <v>Low Incline Dumbbell Press</v>
      </c>
      <c r="AM13" s="76">
        <f>AG13+(AK32)</f>
        <v>2</v>
      </c>
      <c r="AN13" s="76">
        <f t="shared" ref="AN13:AN18" si="12">MROUND((J13*1.1),5)</f>
        <v>40</v>
      </c>
      <c r="AO13" s="76" t="s">
        <v>13</v>
      </c>
      <c r="AP13" s="76"/>
      <c r="AQ13" s="78"/>
      <c r="AR13" s="75" t="str">
        <f t="shared" ref="AR13:AR18" si="13">C13</f>
        <v>Low Incline Dumbbell Press</v>
      </c>
      <c r="AS13" s="76">
        <v>2</v>
      </c>
      <c r="AT13" s="79">
        <f t="shared" ref="AT13:AT18" si="14">J13</f>
        <v>35</v>
      </c>
      <c r="AU13" s="77" t="s">
        <v>14</v>
      </c>
    </row>
    <row r="14" spans="2:47" ht="15.75" thickBot="1" x14ac:dyDescent="0.3">
      <c r="B14" s="97" t="s">
        <v>37</v>
      </c>
      <c r="C14" s="101" t="s">
        <v>138</v>
      </c>
      <c r="D14" s="93" t="str">
        <f t="array" ref="D14">INDEX(Table_Name[Name List],MATCH(B14,Table_Name[Category],0))</f>
        <v>Chest_Isolation[Exercise]</v>
      </c>
      <c r="E14" s="104" t="str">
        <f t="array" ref="E14">INDEX(Links[Link],MATCH(C14,Links[Exercise],0))</f>
        <v>https://youtu.be/t2Kk-TOhq14</v>
      </c>
      <c r="F14" s="107" t="str">
        <f t="shared" si="0"/>
        <v>Video</v>
      </c>
      <c r="G14" s="110">
        <v>20</v>
      </c>
      <c r="H14" s="75" t="str">
        <f>C14</f>
        <v>Flat Dumbbell Flye</v>
      </c>
      <c r="I14" s="76">
        <v>2</v>
      </c>
      <c r="J14" s="76">
        <f>MROUND(((G14)*0.85),5)</f>
        <v>15</v>
      </c>
      <c r="K14" s="76" t="s">
        <v>11</v>
      </c>
      <c r="L14" s="76"/>
      <c r="M14" s="77"/>
      <c r="N14" s="75" t="str">
        <f>C14</f>
        <v>Flat Dumbbell Flye</v>
      </c>
      <c r="O14" s="76">
        <f>I14+(M32)</f>
        <v>2</v>
      </c>
      <c r="P14" s="76">
        <f t="shared" si="4"/>
        <v>15</v>
      </c>
      <c r="Q14" s="76" t="s">
        <v>11</v>
      </c>
      <c r="R14" s="76"/>
      <c r="S14" s="78"/>
      <c r="T14" s="57" t="str">
        <f>C14</f>
        <v>Flat Dumbbell Flye</v>
      </c>
      <c r="U14" s="76">
        <f>O14+(S32)</f>
        <v>2</v>
      </c>
      <c r="V14" s="76">
        <f t="shared" si="6"/>
        <v>15</v>
      </c>
      <c r="W14" s="76" t="s">
        <v>12</v>
      </c>
      <c r="X14" s="76"/>
      <c r="Y14" s="78"/>
      <c r="Z14" s="13" t="str">
        <f t="shared" si="7"/>
        <v>Flat Dumbbell Flye</v>
      </c>
      <c r="AA14" s="76">
        <f>U14+(Y32)</f>
        <v>2</v>
      </c>
      <c r="AB14" s="76">
        <f t="shared" si="8"/>
        <v>15</v>
      </c>
      <c r="AC14" s="76" t="s">
        <v>12</v>
      </c>
      <c r="AD14" s="76"/>
      <c r="AE14" s="78"/>
      <c r="AF14" s="13" t="str">
        <f t="shared" si="9"/>
        <v>Flat Dumbbell Flye</v>
      </c>
      <c r="AG14" s="76">
        <f>AA14+(AE32)</f>
        <v>2</v>
      </c>
      <c r="AH14" s="76">
        <f t="shared" si="10"/>
        <v>15</v>
      </c>
      <c r="AI14" s="76" t="s">
        <v>12</v>
      </c>
      <c r="AJ14" s="76"/>
      <c r="AK14" s="78"/>
      <c r="AL14" s="75" t="str">
        <f>C14</f>
        <v>Flat Dumbbell Flye</v>
      </c>
      <c r="AM14" s="76">
        <f>AG14+(AK32)</f>
        <v>2</v>
      </c>
      <c r="AN14" s="76">
        <f t="shared" si="12"/>
        <v>15</v>
      </c>
      <c r="AO14" s="76" t="s">
        <v>13</v>
      </c>
      <c r="AP14" s="76"/>
      <c r="AQ14" s="78"/>
      <c r="AR14" s="75" t="str">
        <f>C14</f>
        <v>Flat Dumbbell Flye</v>
      </c>
      <c r="AS14" s="76">
        <v>2</v>
      </c>
      <c r="AT14" s="79">
        <f t="shared" si="14"/>
        <v>15</v>
      </c>
      <c r="AU14" s="77" t="s">
        <v>14</v>
      </c>
    </row>
    <row r="15" spans="2:47" ht="15.75" thickBot="1" x14ac:dyDescent="0.3">
      <c r="B15" s="97" t="s">
        <v>344</v>
      </c>
      <c r="C15" s="101" t="s">
        <v>23</v>
      </c>
      <c r="D15" s="93" t="str">
        <f t="array" ref="D15">INDEX(Table_Name[Name List],MATCH(B15,Table_Name[Category],0))</f>
        <v>Horizontal_Push[Exercise]</v>
      </c>
      <c r="E15" s="104" t="str">
        <f t="array" ref="E15">INDEX(Links[Link],MATCH(C15,Links[Exercise],0))</f>
        <v>https://youtu.be/Dl-by6_vATQ</v>
      </c>
      <c r="F15" s="107" t="str">
        <f t="shared" si="0"/>
        <v>Video</v>
      </c>
      <c r="G15" s="110">
        <v>115</v>
      </c>
      <c r="H15" s="75" t="str">
        <f>C15</f>
        <v>Medium Grip Bench Press</v>
      </c>
      <c r="I15" s="76">
        <v>2</v>
      </c>
      <c r="J15" s="76">
        <f>MROUND(((G15)*0.85),5)</f>
        <v>100</v>
      </c>
      <c r="K15" s="76" t="s">
        <v>11</v>
      </c>
      <c r="L15" s="76"/>
      <c r="M15" s="77"/>
      <c r="N15" s="75" t="str">
        <f>C15</f>
        <v>Medium Grip Bench Press</v>
      </c>
      <c r="O15" s="76">
        <f>I15+(M32)</f>
        <v>2</v>
      </c>
      <c r="P15" s="76">
        <f t="shared" si="4"/>
        <v>100</v>
      </c>
      <c r="Q15" s="76" t="s">
        <v>11</v>
      </c>
      <c r="R15" s="76"/>
      <c r="S15" s="78"/>
      <c r="T15" s="57" t="str">
        <f>C15</f>
        <v>Medium Grip Bench Press</v>
      </c>
      <c r="U15" s="76">
        <f>O15+(S32)</f>
        <v>2</v>
      </c>
      <c r="V15" s="76">
        <f t="shared" si="6"/>
        <v>105</v>
      </c>
      <c r="W15" s="76" t="s">
        <v>12</v>
      </c>
      <c r="X15" s="76"/>
      <c r="Y15" s="78"/>
      <c r="Z15" s="13" t="str">
        <f t="shared" si="7"/>
        <v>Medium Grip Bench Press</v>
      </c>
      <c r="AA15" s="76">
        <f>U15+(Y32)</f>
        <v>2</v>
      </c>
      <c r="AB15" s="76">
        <f t="shared" si="8"/>
        <v>105</v>
      </c>
      <c r="AC15" s="76" t="s">
        <v>12</v>
      </c>
      <c r="AD15" s="76"/>
      <c r="AE15" s="78"/>
      <c r="AF15" s="13" t="str">
        <f t="shared" si="9"/>
        <v>Medium Grip Bench Press</v>
      </c>
      <c r="AG15" s="76">
        <f>AA15+(AE32)</f>
        <v>2</v>
      </c>
      <c r="AH15" s="76">
        <f t="shared" si="10"/>
        <v>110</v>
      </c>
      <c r="AI15" s="76" t="s">
        <v>12</v>
      </c>
      <c r="AJ15" s="76"/>
      <c r="AK15" s="78"/>
      <c r="AL15" s="75" t="str">
        <f>C15</f>
        <v>Medium Grip Bench Press</v>
      </c>
      <c r="AM15" s="76">
        <f>AG15+(AK32)</f>
        <v>2</v>
      </c>
      <c r="AN15" s="76">
        <f t="shared" si="12"/>
        <v>110</v>
      </c>
      <c r="AO15" s="76" t="s">
        <v>13</v>
      </c>
      <c r="AP15" s="76"/>
      <c r="AQ15" s="78"/>
      <c r="AR15" s="75" t="str">
        <f>C15</f>
        <v>Medium Grip Bench Press</v>
      </c>
      <c r="AS15" s="76">
        <v>2</v>
      </c>
      <c r="AT15" s="79">
        <f t="shared" si="14"/>
        <v>100</v>
      </c>
      <c r="AU15" s="77" t="s">
        <v>14</v>
      </c>
    </row>
    <row r="16" spans="2:47" ht="15.75" thickBot="1" x14ac:dyDescent="0.3">
      <c r="B16" s="97" t="s">
        <v>338</v>
      </c>
      <c r="C16" s="101" t="s">
        <v>128</v>
      </c>
      <c r="D16" s="93" t="str">
        <f t="array" ref="D16">INDEX(Table_Name[Name List],MATCH(B16,Table_Name[Category],0))</f>
        <v>Horizontal_Back[Exercise]</v>
      </c>
      <c r="E16" s="104" t="str">
        <f t="array" ref="E16">INDEX(Links[Link],MATCH(C16,Links[Exercise],0))</f>
        <v>https://youtu.be/J44yAQ_LXXU</v>
      </c>
      <c r="F16" s="107" t="str">
        <f t="shared" si="0"/>
        <v>Video</v>
      </c>
      <c r="G16" s="110">
        <v>70</v>
      </c>
      <c r="H16" s="75" t="str">
        <f t="shared" si="1"/>
        <v>Row Machine</v>
      </c>
      <c r="I16" s="76">
        <v>2</v>
      </c>
      <c r="J16" s="76">
        <f t="shared" si="2"/>
        <v>60</v>
      </c>
      <c r="K16" s="76" t="s">
        <v>11</v>
      </c>
      <c r="L16" s="76" t="s">
        <v>0</v>
      </c>
      <c r="M16" s="77"/>
      <c r="N16" s="75" t="str">
        <f t="shared" si="3"/>
        <v>Row Machine</v>
      </c>
      <c r="O16" s="76">
        <f>I16+(M31)</f>
        <v>2</v>
      </c>
      <c r="P16" s="76">
        <f t="shared" si="4"/>
        <v>60</v>
      </c>
      <c r="Q16" s="76" t="s">
        <v>11</v>
      </c>
      <c r="R16" s="76"/>
      <c r="S16" s="78"/>
      <c r="T16" s="57" t="str">
        <f t="shared" si="5"/>
        <v>Row Machine</v>
      </c>
      <c r="U16" s="76">
        <f>O16+(S31)</f>
        <v>2</v>
      </c>
      <c r="V16" s="76">
        <f t="shared" si="6"/>
        <v>60</v>
      </c>
      <c r="W16" s="76" t="s">
        <v>12</v>
      </c>
      <c r="X16" s="76"/>
      <c r="Y16" s="78"/>
      <c r="Z16" s="13" t="str">
        <f t="shared" si="7"/>
        <v>Row Machine</v>
      </c>
      <c r="AA16" s="76">
        <f>U16+(Y31)</f>
        <v>2</v>
      </c>
      <c r="AB16" s="76">
        <f t="shared" si="8"/>
        <v>60</v>
      </c>
      <c r="AC16" s="76" t="s">
        <v>12</v>
      </c>
      <c r="AD16" s="76"/>
      <c r="AE16" s="78"/>
      <c r="AF16" s="13" t="str">
        <f t="shared" si="9"/>
        <v>Row Machine</v>
      </c>
      <c r="AG16" s="76">
        <f>AA16+(AE31)</f>
        <v>2</v>
      </c>
      <c r="AH16" s="76">
        <f t="shared" si="10"/>
        <v>60</v>
      </c>
      <c r="AI16" s="76" t="s">
        <v>12</v>
      </c>
      <c r="AJ16" s="76"/>
      <c r="AK16" s="78"/>
      <c r="AL16" s="75" t="str">
        <f t="shared" si="11"/>
        <v>Row Machine</v>
      </c>
      <c r="AM16" s="76">
        <f>AG16+(AK31)</f>
        <v>2</v>
      </c>
      <c r="AN16" s="76">
        <f t="shared" si="12"/>
        <v>65</v>
      </c>
      <c r="AO16" s="76" t="s">
        <v>13</v>
      </c>
      <c r="AP16" s="76"/>
      <c r="AQ16" s="78"/>
      <c r="AR16" s="75" t="str">
        <f t="shared" si="13"/>
        <v>Row Machine</v>
      </c>
      <c r="AS16" s="76">
        <v>2</v>
      </c>
      <c r="AT16" s="79">
        <f t="shared" si="14"/>
        <v>60</v>
      </c>
      <c r="AU16" s="77" t="s">
        <v>14</v>
      </c>
    </row>
    <row r="17" spans="2:47" ht="15.75" thickBot="1" x14ac:dyDescent="0.3">
      <c r="B17" s="97" t="s">
        <v>340</v>
      </c>
      <c r="C17" s="101" t="s">
        <v>48</v>
      </c>
      <c r="D17" s="93" t="str">
        <f t="array" ref="D17">INDEX(Table_Name[Name List],MATCH(B17,Table_Name[Category],0))</f>
        <v>Rear_or_Side_Delts[Exercise]</v>
      </c>
      <c r="E17" s="104" t="str">
        <f t="array" ref="E17">INDEX(Links[Link],MATCH(C17,Links[Exercise],0))</f>
        <v>https://youtu.be/pg3hz43P09w</v>
      </c>
      <c r="F17" s="107" t="str">
        <f t="shared" si="0"/>
        <v>Video</v>
      </c>
      <c r="G17" s="110">
        <v>15</v>
      </c>
      <c r="H17" s="75" t="str">
        <f t="shared" si="1"/>
        <v>Dumbbell Side Lateral Raise</v>
      </c>
      <c r="I17" s="76">
        <v>3</v>
      </c>
      <c r="J17" s="76">
        <f t="shared" si="2"/>
        <v>15</v>
      </c>
      <c r="K17" s="76" t="s">
        <v>11</v>
      </c>
      <c r="L17" s="76" t="s">
        <v>0</v>
      </c>
      <c r="M17" s="77"/>
      <c r="N17" s="75" t="str">
        <f t="shared" si="3"/>
        <v>Dumbbell Side Lateral Raise</v>
      </c>
      <c r="O17" s="76">
        <f>I17+(M33)</f>
        <v>3</v>
      </c>
      <c r="P17" s="76">
        <f t="shared" si="4"/>
        <v>15</v>
      </c>
      <c r="Q17" s="76" t="s">
        <v>11</v>
      </c>
      <c r="R17" s="76"/>
      <c r="S17" s="78"/>
      <c r="T17" s="57" t="str">
        <f t="shared" si="5"/>
        <v>Dumbbell Side Lateral Raise</v>
      </c>
      <c r="U17" s="76">
        <f>O17+(S33)</f>
        <v>3</v>
      </c>
      <c r="V17" s="76">
        <f t="shared" si="6"/>
        <v>15</v>
      </c>
      <c r="W17" s="76" t="s">
        <v>12</v>
      </c>
      <c r="X17" s="76"/>
      <c r="Y17" s="78"/>
      <c r="Z17" s="13" t="str">
        <f t="shared" si="7"/>
        <v>Dumbbell Side Lateral Raise</v>
      </c>
      <c r="AA17" s="76">
        <f>U17+(Y33)</f>
        <v>3</v>
      </c>
      <c r="AB17" s="76">
        <f t="shared" si="8"/>
        <v>15</v>
      </c>
      <c r="AC17" s="76" t="s">
        <v>12</v>
      </c>
      <c r="AD17" s="76"/>
      <c r="AE17" s="78"/>
      <c r="AF17" s="13" t="str">
        <f t="shared" si="9"/>
        <v>Dumbbell Side Lateral Raise</v>
      </c>
      <c r="AG17" s="76">
        <f>AA17+(AE33)</f>
        <v>3</v>
      </c>
      <c r="AH17" s="76">
        <f t="shared" si="10"/>
        <v>15</v>
      </c>
      <c r="AI17" s="76" t="s">
        <v>12</v>
      </c>
      <c r="AJ17" s="76"/>
      <c r="AK17" s="78"/>
      <c r="AL17" s="75" t="str">
        <f t="shared" si="11"/>
        <v>Dumbbell Side Lateral Raise</v>
      </c>
      <c r="AM17" s="76">
        <f>AG17+(AK33)</f>
        <v>3</v>
      </c>
      <c r="AN17" s="76">
        <f t="shared" si="12"/>
        <v>15</v>
      </c>
      <c r="AO17" s="76" t="s">
        <v>13</v>
      </c>
      <c r="AP17" s="76"/>
      <c r="AQ17" s="78"/>
      <c r="AR17" s="75" t="str">
        <f t="shared" si="13"/>
        <v>Dumbbell Side Lateral Raise</v>
      </c>
      <c r="AS17" s="76">
        <v>2</v>
      </c>
      <c r="AT17" s="79">
        <f t="shared" si="14"/>
        <v>15</v>
      </c>
      <c r="AU17" s="77" t="s">
        <v>14</v>
      </c>
    </row>
    <row r="18" spans="2:47" ht="15.75" thickBot="1" x14ac:dyDescent="0.3">
      <c r="B18" s="98" t="s">
        <v>77</v>
      </c>
      <c r="C18" s="102" t="s">
        <v>78</v>
      </c>
      <c r="D18" s="94" t="str">
        <f t="array" ref="D18">INDEX(Table_Name[Name List],MATCH(B18,Table_Name[Category],0))</f>
        <v>Abs[Exercise]</v>
      </c>
      <c r="E18" s="105" t="str">
        <f t="array" ref="E18">INDEX(Links[Link],MATCH(C18,Links[Exercise],0))</f>
        <v>https://youtu.be/vz97voWk3jU</v>
      </c>
      <c r="F18" s="108" t="str">
        <f t="shared" si="0"/>
        <v>Video</v>
      </c>
      <c r="G18" s="111">
        <v>200</v>
      </c>
      <c r="H18" s="81" t="str">
        <f t="shared" si="1"/>
        <v>V-Up</v>
      </c>
      <c r="I18" s="82">
        <v>2</v>
      </c>
      <c r="J18" s="82">
        <f t="shared" si="2"/>
        <v>170</v>
      </c>
      <c r="K18" s="82" t="s">
        <v>11</v>
      </c>
      <c r="L18" s="82"/>
      <c r="M18" s="64"/>
      <c r="N18" s="81" t="str">
        <f t="shared" si="3"/>
        <v>V-Up</v>
      </c>
      <c r="O18" s="82">
        <f>I18+(M34)</f>
        <v>2</v>
      </c>
      <c r="P18" s="76">
        <f t="shared" si="4"/>
        <v>175</v>
      </c>
      <c r="Q18" s="82" t="s">
        <v>11</v>
      </c>
      <c r="R18" s="82"/>
      <c r="S18" s="78"/>
      <c r="T18" s="83" t="str">
        <f t="shared" si="5"/>
        <v>V-Up</v>
      </c>
      <c r="U18" s="82">
        <f>O18+(S34)</f>
        <v>2</v>
      </c>
      <c r="V18" s="76">
        <f t="shared" si="6"/>
        <v>175</v>
      </c>
      <c r="W18" s="82" t="s">
        <v>12</v>
      </c>
      <c r="X18" s="82"/>
      <c r="Y18" s="78"/>
      <c r="Z18" s="13" t="str">
        <f t="shared" si="7"/>
        <v>V-Up</v>
      </c>
      <c r="AA18" s="82">
        <f>U18+(Y34)</f>
        <v>2</v>
      </c>
      <c r="AB18" s="76">
        <f t="shared" si="8"/>
        <v>180</v>
      </c>
      <c r="AC18" s="82" t="s">
        <v>12</v>
      </c>
      <c r="AD18" s="82"/>
      <c r="AE18" s="78"/>
      <c r="AF18" s="13" t="str">
        <f t="shared" si="9"/>
        <v>V-Up</v>
      </c>
      <c r="AG18" s="82">
        <f>AA18+(AE34)</f>
        <v>2</v>
      </c>
      <c r="AH18" s="76">
        <f t="shared" si="10"/>
        <v>180</v>
      </c>
      <c r="AI18" s="82" t="s">
        <v>12</v>
      </c>
      <c r="AJ18" s="82"/>
      <c r="AK18" s="78"/>
      <c r="AL18" s="81" t="str">
        <f t="shared" si="11"/>
        <v>V-Up</v>
      </c>
      <c r="AM18" s="82">
        <f>AG18+(AK34)</f>
        <v>2</v>
      </c>
      <c r="AN18" s="82">
        <f t="shared" si="12"/>
        <v>185</v>
      </c>
      <c r="AO18" s="82" t="s">
        <v>13</v>
      </c>
      <c r="AP18" s="82"/>
      <c r="AQ18" s="78"/>
      <c r="AR18" s="81" t="str">
        <f t="shared" si="13"/>
        <v>V-Up</v>
      </c>
      <c r="AS18" s="82">
        <v>2</v>
      </c>
      <c r="AT18" s="84">
        <f t="shared" si="14"/>
        <v>170</v>
      </c>
      <c r="AU18" s="64" t="s">
        <v>14</v>
      </c>
    </row>
    <row r="19" spans="2:47" s="43" customFormat="1" ht="19.5" thickBot="1" x14ac:dyDescent="0.3">
      <c r="B19" s="86" t="s">
        <v>337</v>
      </c>
      <c r="C19" s="57"/>
      <c r="D19" s="57"/>
      <c r="E19" s="85"/>
      <c r="F19" s="56"/>
      <c r="G19" s="62"/>
      <c r="H19" s="181" t="s">
        <v>1</v>
      </c>
      <c r="I19" s="182"/>
      <c r="J19" s="182"/>
      <c r="K19" s="182"/>
      <c r="L19" s="182"/>
      <c r="M19" s="183"/>
      <c r="N19" s="184" t="s">
        <v>2</v>
      </c>
      <c r="O19" s="185"/>
      <c r="P19" s="185"/>
      <c r="Q19" s="185"/>
      <c r="R19" s="185"/>
      <c r="S19" s="186"/>
      <c r="T19" s="172" t="s">
        <v>3</v>
      </c>
      <c r="U19" s="173"/>
      <c r="V19" s="173"/>
      <c r="W19" s="173"/>
      <c r="X19" s="173"/>
      <c r="Y19" s="174"/>
      <c r="Z19" s="172" t="s">
        <v>4</v>
      </c>
      <c r="AA19" s="173"/>
      <c r="AB19" s="173"/>
      <c r="AC19" s="173"/>
      <c r="AD19" s="173"/>
      <c r="AE19" s="174"/>
      <c r="AF19" s="172" t="s">
        <v>358</v>
      </c>
      <c r="AG19" s="173"/>
      <c r="AH19" s="173"/>
      <c r="AI19" s="173"/>
      <c r="AJ19" s="173"/>
      <c r="AK19" s="174"/>
      <c r="AL19" s="175" t="s">
        <v>359</v>
      </c>
      <c r="AM19" s="176"/>
      <c r="AN19" s="176"/>
      <c r="AO19" s="176"/>
      <c r="AP19" s="176"/>
      <c r="AQ19" s="177"/>
      <c r="AR19" s="178" t="s">
        <v>360</v>
      </c>
      <c r="AS19" s="179"/>
      <c r="AT19" s="179"/>
      <c r="AU19" s="180"/>
    </row>
    <row r="20" spans="2:47" s="43" customFormat="1" ht="15.75" thickBot="1" x14ac:dyDescent="0.3">
      <c r="B20" s="37"/>
      <c r="C20" s="57"/>
      <c r="D20" s="57"/>
      <c r="E20" s="85"/>
      <c r="F20" s="56"/>
      <c r="G20" s="57"/>
      <c r="H20" s="65" t="s">
        <v>88</v>
      </c>
      <c r="I20" s="66" t="s">
        <v>6</v>
      </c>
      <c r="J20" s="67" t="s">
        <v>7</v>
      </c>
      <c r="K20" s="68" t="s">
        <v>8</v>
      </c>
      <c r="L20" s="68" t="s">
        <v>9</v>
      </c>
      <c r="M20" s="69" t="s">
        <v>10</v>
      </c>
      <c r="N20" s="70" t="s">
        <v>88</v>
      </c>
      <c r="O20" s="70" t="s">
        <v>6</v>
      </c>
      <c r="P20" s="67" t="s">
        <v>7</v>
      </c>
      <c r="Q20" s="68" t="s">
        <v>8</v>
      </c>
      <c r="R20" s="68" t="s">
        <v>9</v>
      </c>
      <c r="S20" s="69" t="s">
        <v>10</v>
      </c>
      <c r="T20" s="70" t="s">
        <v>88</v>
      </c>
      <c r="U20" s="70" t="s">
        <v>6</v>
      </c>
      <c r="V20" s="67" t="s">
        <v>7</v>
      </c>
      <c r="W20" s="68" t="s">
        <v>8</v>
      </c>
      <c r="X20" s="68" t="s">
        <v>9</v>
      </c>
      <c r="Y20" s="69" t="s">
        <v>10</v>
      </c>
      <c r="Z20" s="70" t="s">
        <v>88</v>
      </c>
      <c r="AA20" s="70" t="s">
        <v>6</v>
      </c>
      <c r="AB20" s="67" t="s">
        <v>7</v>
      </c>
      <c r="AC20" s="68" t="s">
        <v>8</v>
      </c>
      <c r="AD20" s="68" t="s">
        <v>9</v>
      </c>
      <c r="AE20" s="69" t="s">
        <v>10</v>
      </c>
      <c r="AF20" s="70" t="s">
        <v>88</v>
      </c>
      <c r="AG20" s="70" t="s">
        <v>6</v>
      </c>
      <c r="AH20" s="67" t="s">
        <v>7</v>
      </c>
      <c r="AI20" s="68" t="s">
        <v>8</v>
      </c>
      <c r="AJ20" s="68" t="s">
        <v>9</v>
      </c>
      <c r="AK20" s="69" t="s">
        <v>10</v>
      </c>
      <c r="AL20" s="70" t="s">
        <v>88</v>
      </c>
      <c r="AM20" s="70" t="s">
        <v>6</v>
      </c>
      <c r="AN20" s="67" t="s">
        <v>7</v>
      </c>
      <c r="AO20" s="87" t="s">
        <v>15</v>
      </c>
      <c r="AP20" s="68" t="s">
        <v>9</v>
      </c>
      <c r="AQ20" s="69" t="s">
        <v>10</v>
      </c>
      <c r="AR20" s="70" t="s">
        <v>88</v>
      </c>
      <c r="AS20" s="70" t="s">
        <v>6</v>
      </c>
      <c r="AT20" s="67" t="s">
        <v>7</v>
      </c>
      <c r="AU20" s="71" t="s">
        <v>8</v>
      </c>
    </row>
    <row r="21" spans="2:47" s="43" customFormat="1" ht="15.75" thickBot="1" x14ac:dyDescent="0.3">
      <c r="B21" s="95" t="s">
        <v>345</v>
      </c>
      <c r="C21" s="99" t="s">
        <v>86</v>
      </c>
      <c r="D21" s="91"/>
      <c r="E21" s="91"/>
      <c r="F21" s="99" t="s">
        <v>356</v>
      </c>
      <c r="G21" s="99" t="s">
        <v>357</v>
      </c>
      <c r="H21" s="65" t="s">
        <v>86</v>
      </c>
      <c r="I21" s="72"/>
      <c r="J21" s="72"/>
      <c r="K21" s="72"/>
      <c r="L21" s="72"/>
      <c r="M21" s="73"/>
      <c r="N21" s="65" t="s">
        <v>86</v>
      </c>
      <c r="O21" s="72"/>
      <c r="P21" s="72"/>
      <c r="Q21" s="72"/>
      <c r="R21" s="72"/>
      <c r="S21" s="73"/>
      <c r="T21" s="65" t="s">
        <v>86</v>
      </c>
      <c r="U21" s="72"/>
      <c r="V21" s="72"/>
      <c r="W21" s="72"/>
      <c r="X21" s="72"/>
      <c r="Y21" s="72"/>
      <c r="Z21" s="65" t="s">
        <v>86</v>
      </c>
      <c r="AA21" s="72"/>
      <c r="AB21" s="72"/>
      <c r="AC21" s="72"/>
      <c r="AD21" s="72"/>
      <c r="AE21" s="72"/>
      <c r="AF21" s="65" t="s">
        <v>86</v>
      </c>
      <c r="AG21" s="72"/>
      <c r="AH21" s="72"/>
      <c r="AI21" s="72"/>
      <c r="AJ21" s="72"/>
      <c r="AK21" s="72"/>
      <c r="AL21" s="65" t="s">
        <v>86</v>
      </c>
      <c r="AM21" s="72"/>
      <c r="AN21" s="72"/>
      <c r="AO21" s="72"/>
      <c r="AP21" s="72"/>
      <c r="AQ21" s="72"/>
      <c r="AR21" s="65" t="s">
        <v>86</v>
      </c>
      <c r="AS21" s="72"/>
      <c r="AT21" s="72"/>
      <c r="AU21" s="73"/>
    </row>
    <row r="22" spans="2:47" s="43" customFormat="1" ht="15.75" thickBot="1" x14ac:dyDescent="0.3">
      <c r="B22" s="96" t="s">
        <v>20</v>
      </c>
      <c r="C22" s="100" t="s">
        <v>64</v>
      </c>
      <c r="D22" s="92" t="str">
        <f t="array" ref="D22">INDEX(Table_Name[Name List],MATCH(B22,Table_Name[Category],0))</f>
        <v>Quads[Exercise]</v>
      </c>
      <c r="E22" s="103" t="str">
        <f t="array" ref="E22">INDEX(Links[Link],MATCH(C22,Links[Exercise],0))</f>
        <v>https://youtu.be/2-o_-HTPhv8</v>
      </c>
      <c r="F22" s="106" t="str">
        <f>HYPERLINK(E22,"Video")</f>
        <v>Video</v>
      </c>
      <c r="G22" s="109">
        <v>135</v>
      </c>
      <c r="H22" s="75" t="str">
        <f>C22</f>
        <v>High Bar Squat</v>
      </c>
      <c r="I22" s="76">
        <v>3</v>
      </c>
      <c r="J22" s="76">
        <f>MROUND(((G22)*0.85),5)</f>
        <v>115</v>
      </c>
      <c r="K22" s="76" t="s">
        <v>11</v>
      </c>
      <c r="L22" s="76"/>
      <c r="M22" s="77"/>
      <c r="N22" s="88" t="str">
        <f>C22</f>
        <v>High Bar Squat</v>
      </c>
      <c r="O22" s="76">
        <f>I22+(M41)</f>
        <v>3</v>
      </c>
      <c r="P22" s="76">
        <f>MROUND((J22*1.02),5)</f>
        <v>115</v>
      </c>
      <c r="Q22" s="76" t="s">
        <v>11</v>
      </c>
      <c r="R22" s="76"/>
      <c r="S22" s="78"/>
      <c r="T22" s="57" t="str">
        <f>C22</f>
        <v>High Bar Squat</v>
      </c>
      <c r="U22" s="76">
        <f>O22+(S41)</f>
        <v>3</v>
      </c>
      <c r="V22" s="76">
        <f>MROUND((J22*1.04),5)</f>
        <v>120</v>
      </c>
      <c r="W22" s="76" t="s">
        <v>12</v>
      </c>
      <c r="X22" s="76"/>
      <c r="Y22" s="78"/>
      <c r="Z22" s="13" t="str">
        <f>C22</f>
        <v>High Bar Squat</v>
      </c>
      <c r="AA22" s="76">
        <f>U22+(Y41)</f>
        <v>3</v>
      </c>
      <c r="AB22" s="76">
        <f>MROUND((P22*1.04),5)</f>
        <v>120</v>
      </c>
      <c r="AC22" s="76" t="s">
        <v>12</v>
      </c>
      <c r="AD22" s="76"/>
      <c r="AE22" s="78"/>
      <c r="AF22" s="13" t="str">
        <f>C22</f>
        <v>High Bar Squat</v>
      </c>
      <c r="AG22" s="76">
        <f>AA22+(AE41)</f>
        <v>3</v>
      </c>
      <c r="AH22" s="76">
        <f>MROUND((V22*1.04),5)</f>
        <v>125</v>
      </c>
      <c r="AI22" s="76" t="s">
        <v>12</v>
      </c>
      <c r="AJ22" s="76"/>
      <c r="AK22" s="78"/>
      <c r="AL22" s="75" t="str">
        <f>C22</f>
        <v>High Bar Squat</v>
      </c>
      <c r="AM22" s="76">
        <f>AG22+(AK41)</f>
        <v>3</v>
      </c>
      <c r="AN22" s="76">
        <f>MROUND((J22*1.1),5)</f>
        <v>125</v>
      </c>
      <c r="AO22" s="76" t="s">
        <v>13</v>
      </c>
      <c r="AP22" s="76"/>
      <c r="AQ22" s="78"/>
      <c r="AR22" s="75" t="str">
        <f>C22</f>
        <v>High Bar Squat</v>
      </c>
      <c r="AS22" s="76">
        <v>2</v>
      </c>
      <c r="AT22" s="79">
        <f>J22</f>
        <v>115</v>
      </c>
      <c r="AU22" s="77" t="s">
        <v>14</v>
      </c>
    </row>
    <row r="23" spans="2:47" s="43" customFormat="1" ht="15.75" thickBot="1" x14ac:dyDescent="0.3">
      <c r="B23" s="97" t="s">
        <v>20</v>
      </c>
      <c r="C23" s="101" t="s">
        <v>65</v>
      </c>
      <c r="D23" s="93" t="str">
        <f t="array" ref="D23">INDEX(Table_Name[Name List],MATCH(B23,Table_Name[Category],0))</f>
        <v>Quads[Exercise]</v>
      </c>
      <c r="E23" s="104" t="str">
        <f t="array" ref="E23">INDEX(Links[Link],MATCH(C23,Links[Exercise],0))</f>
        <v>https://youtu.be/mJSsWpuyiCM</v>
      </c>
      <c r="F23" s="107" t="str">
        <f>HYPERLINK(E23,"Video")</f>
        <v>Video</v>
      </c>
      <c r="G23" s="110">
        <v>225</v>
      </c>
      <c r="H23" s="75" t="str">
        <f>C23</f>
        <v>Leg Press</v>
      </c>
      <c r="I23" s="76">
        <v>2</v>
      </c>
      <c r="J23" s="76">
        <f>MROUND(((G23)*0.85),5)</f>
        <v>190</v>
      </c>
      <c r="K23" s="76" t="s">
        <v>11</v>
      </c>
      <c r="L23" s="76"/>
      <c r="M23" s="77"/>
      <c r="N23" s="88" t="str">
        <f>C23</f>
        <v>Leg Press</v>
      </c>
      <c r="O23" s="76">
        <f>I23+(M41)</f>
        <v>2</v>
      </c>
      <c r="P23" s="76">
        <f>MROUND((J23*1.02),5)</f>
        <v>195</v>
      </c>
      <c r="Q23" s="76" t="s">
        <v>11</v>
      </c>
      <c r="R23" s="76"/>
      <c r="S23" s="78"/>
      <c r="T23" s="57" t="str">
        <f>C23</f>
        <v>Leg Press</v>
      </c>
      <c r="U23" s="76">
        <f>O23+(S41)</f>
        <v>2</v>
      </c>
      <c r="V23" s="76">
        <f>MROUND((J23*1.04),5)</f>
        <v>200</v>
      </c>
      <c r="W23" s="76" t="s">
        <v>12</v>
      </c>
      <c r="X23" s="76"/>
      <c r="Y23" s="78"/>
      <c r="Z23" s="13" t="str">
        <f>C23</f>
        <v>Leg Press</v>
      </c>
      <c r="AA23" s="76">
        <f>U23+(Y41)</f>
        <v>2</v>
      </c>
      <c r="AB23" s="76">
        <f>MROUND((P23*1.04),5)</f>
        <v>205</v>
      </c>
      <c r="AC23" s="76" t="s">
        <v>12</v>
      </c>
      <c r="AD23" s="76"/>
      <c r="AE23" s="78"/>
      <c r="AF23" s="13" t="str">
        <f>C23</f>
        <v>Leg Press</v>
      </c>
      <c r="AG23" s="76">
        <f>AA23+(AE41)</f>
        <v>2</v>
      </c>
      <c r="AH23" s="76">
        <f>MROUND((V23*1.04),5)</f>
        <v>210</v>
      </c>
      <c r="AI23" s="76" t="s">
        <v>12</v>
      </c>
      <c r="AJ23" s="76"/>
      <c r="AK23" s="78"/>
      <c r="AL23" s="75" t="str">
        <f>C23</f>
        <v>Leg Press</v>
      </c>
      <c r="AM23" s="76">
        <f>AG23+(AK41)</f>
        <v>2</v>
      </c>
      <c r="AN23" s="76">
        <f>MROUND((J23*1.1),5)</f>
        <v>210</v>
      </c>
      <c r="AO23" s="76" t="s">
        <v>13</v>
      </c>
      <c r="AP23" s="76"/>
      <c r="AQ23" s="78"/>
      <c r="AR23" s="75" t="str">
        <f>C23</f>
        <v>Leg Press</v>
      </c>
      <c r="AS23" s="76">
        <v>2</v>
      </c>
      <c r="AT23" s="79">
        <f>J23</f>
        <v>190</v>
      </c>
      <c r="AU23" s="77" t="s">
        <v>14</v>
      </c>
    </row>
    <row r="24" spans="2:47" s="43" customFormat="1" ht="15.75" thickBot="1" x14ac:dyDescent="0.3">
      <c r="B24" s="97" t="s">
        <v>106</v>
      </c>
      <c r="C24" s="101" t="s">
        <v>73</v>
      </c>
      <c r="D24" s="93" t="str">
        <f t="array" ref="D24">INDEX(Table_Name[Name List],MATCH(B24,Table_Name[Category],0))</f>
        <v>Hamstrings_Isolation[Exercise]</v>
      </c>
      <c r="E24" s="104" t="str">
        <f t="array" ref="E24">INDEX(Links[Link],MATCH(C24,Links[Exercise],0))</f>
        <v>https://youtu.be/BHxrogNaKoo</v>
      </c>
      <c r="F24" s="107" t="str">
        <f>HYPERLINK(E24,"Video")</f>
        <v>Video</v>
      </c>
      <c r="G24" s="110">
        <v>80</v>
      </c>
      <c r="H24" s="75" t="str">
        <f>C24</f>
        <v>Seated Leg Curl</v>
      </c>
      <c r="I24" s="76">
        <v>3</v>
      </c>
      <c r="J24" s="76">
        <f>MROUND(((G24)*0.85),5)</f>
        <v>70</v>
      </c>
      <c r="K24" s="76" t="s">
        <v>11</v>
      </c>
      <c r="L24" s="76"/>
      <c r="M24" s="77"/>
      <c r="N24" s="88" t="str">
        <f>C24</f>
        <v>Seated Leg Curl</v>
      </c>
      <c r="O24" s="76">
        <f>I24+(M40)</f>
        <v>3</v>
      </c>
      <c r="P24" s="76">
        <f>MROUND((J24*1.02),5)</f>
        <v>70</v>
      </c>
      <c r="Q24" s="76" t="s">
        <v>11</v>
      </c>
      <c r="R24" s="76"/>
      <c r="S24" s="78"/>
      <c r="T24" s="57" t="str">
        <f>C24</f>
        <v>Seated Leg Curl</v>
      </c>
      <c r="U24" s="76">
        <f>O24+(S40)</f>
        <v>3</v>
      </c>
      <c r="V24" s="76">
        <f>MROUND((J24*1.04),5)</f>
        <v>75</v>
      </c>
      <c r="W24" s="76" t="s">
        <v>12</v>
      </c>
      <c r="X24" s="76"/>
      <c r="Y24" s="78"/>
      <c r="Z24" s="13" t="str">
        <f>C24</f>
        <v>Seated Leg Curl</v>
      </c>
      <c r="AA24" s="76">
        <f>U24+(Y40)</f>
        <v>3</v>
      </c>
      <c r="AB24" s="76">
        <f>MROUND((P24*1.04),5)</f>
        <v>75</v>
      </c>
      <c r="AC24" s="76" t="s">
        <v>12</v>
      </c>
      <c r="AD24" s="76"/>
      <c r="AE24" s="78"/>
      <c r="AF24" s="13" t="str">
        <f>C24</f>
        <v>Seated Leg Curl</v>
      </c>
      <c r="AG24" s="76">
        <f>AA24+(AE40)</f>
        <v>3</v>
      </c>
      <c r="AH24" s="76">
        <f>MROUND((V24*1.04),5)</f>
        <v>80</v>
      </c>
      <c r="AI24" s="76" t="s">
        <v>12</v>
      </c>
      <c r="AJ24" s="76"/>
      <c r="AK24" s="78"/>
      <c r="AL24" s="75" t="str">
        <f>C24</f>
        <v>Seated Leg Curl</v>
      </c>
      <c r="AM24" s="76">
        <f>AG24+(AK40)</f>
        <v>3</v>
      </c>
      <c r="AN24" s="76">
        <f>MROUND((J24*1.1),5)</f>
        <v>75</v>
      </c>
      <c r="AO24" s="76" t="s">
        <v>13</v>
      </c>
      <c r="AP24" s="76"/>
      <c r="AQ24" s="78"/>
      <c r="AR24" s="75" t="str">
        <f>C24</f>
        <v>Seated Leg Curl</v>
      </c>
      <c r="AS24" s="76">
        <v>2</v>
      </c>
      <c r="AT24" s="79">
        <f>J24</f>
        <v>70</v>
      </c>
      <c r="AU24" s="77" t="s">
        <v>14</v>
      </c>
    </row>
    <row r="25" spans="2:47" s="43" customFormat="1" ht="15.75" thickBot="1" x14ac:dyDescent="0.3">
      <c r="B25" s="98" t="s">
        <v>19</v>
      </c>
      <c r="C25" s="102" t="s">
        <v>111</v>
      </c>
      <c r="D25" s="94" t="str">
        <f t="array" ref="D25">INDEX(Table_Name[Name List],MATCH(B25,Table_Name[Category],0))</f>
        <v>Calves[Exercise]</v>
      </c>
      <c r="E25" s="105" t="str">
        <f t="array" ref="E25">INDEX(Links[Link],MATCH(C25,Links[Exercise],0))</f>
        <v>https://youtu.be/wrPN51LyOUE</v>
      </c>
      <c r="F25" s="108" t="str">
        <f>HYPERLINK(E25,"Video")</f>
        <v>Video</v>
      </c>
      <c r="G25" s="111">
        <v>50</v>
      </c>
      <c r="H25" s="81" t="str">
        <f>C25</f>
        <v>Calves on Calf Machine</v>
      </c>
      <c r="I25" s="82">
        <v>4</v>
      </c>
      <c r="J25" s="82">
        <f>MROUND(((G25)*0.85),5)</f>
        <v>45</v>
      </c>
      <c r="K25" s="82" t="s">
        <v>11</v>
      </c>
      <c r="L25" s="82"/>
      <c r="M25" s="64"/>
      <c r="N25" s="81" t="str">
        <f>C25</f>
        <v>Calves on Calf Machine</v>
      </c>
      <c r="O25" s="82">
        <f>I25+(M42)</f>
        <v>4</v>
      </c>
      <c r="P25" s="76">
        <f>MROUND((J25*1.02),5)</f>
        <v>45</v>
      </c>
      <c r="Q25" s="82" t="s">
        <v>11</v>
      </c>
      <c r="R25" s="82"/>
      <c r="S25" s="78"/>
      <c r="T25" s="83" t="str">
        <f>C25</f>
        <v>Calves on Calf Machine</v>
      </c>
      <c r="U25" s="82">
        <f>O25+(S42)</f>
        <v>4</v>
      </c>
      <c r="V25" s="76">
        <f>MROUND((J25*1.04),5)</f>
        <v>45</v>
      </c>
      <c r="W25" s="82" t="s">
        <v>12</v>
      </c>
      <c r="X25" s="82"/>
      <c r="Y25" s="78"/>
      <c r="Z25" s="13" t="str">
        <f>C25</f>
        <v>Calves on Calf Machine</v>
      </c>
      <c r="AA25" s="82">
        <f>U25+(Y42)</f>
        <v>4</v>
      </c>
      <c r="AB25" s="76">
        <f>MROUND((P25*1.04),5)</f>
        <v>45</v>
      </c>
      <c r="AC25" s="82" t="s">
        <v>12</v>
      </c>
      <c r="AD25" s="82"/>
      <c r="AE25" s="78"/>
      <c r="AF25" s="13" t="str">
        <f>C25</f>
        <v>Calves on Calf Machine</v>
      </c>
      <c r="AG25" s="82">
        <f>AA25+(AE42)</f>
        <v>4</v>
      </c>
      <c r="AH25" s="76">
        <f>MROUND((V25*1.04),5)</f>
        <v>45</v>
      </c>
      <c r="AI25" s="82" t="s">
        <v>12</v>
      </c>
      <c r="AJ25" s="82"/>
      <c r="AK25" s="78"/>
      <c r="AL25" s="81" t="str">
        <f>C25</f>
        <v>Calves on Calf Machine</v>
      </c>
      <c r="AM25" s="82">
        <f>AG25+(AK42)</f>
        <v>4</v>
      </c>
      <c r="AN25" s="82">
        <f>MROUND((J25*1.1),5)</f>
        <v>50</v>
      </c>
      <c r="AO25" s="82" t="s">
        <v>13</v>
      </c>
      <c r="AP25" s="82"/>
      <c r="AQ25" s="78"/>
      <c r="AR25" s="81" t="str">
        <f>C25</f>
        <v>Calves on Calf Machine</v>
      </c>
      <c r="AS25" s="82">
        <v>2</v>
      </c>
      <c r="AT25" s="84">
        <f>J25</f>
        <v>45</v>
      </c>
      <c r="AU25" s="64" t="s">
        <v>14</v>
      </c>
    </row>
    <row r="26" spans="2:47" s="43" customFormat="1" ht="19.5" thickBot="1" x14ac:dyDescent="0.3">
      <c r="B26" s="86" t="s">
        <v>346</v>
      </c>
      <c r="C26" s="57"/>
      <c r="D26" s="57"/>
      <c r="E26" s="85"/>
      <c r="F26" s="56"/>
      <c r="G26" s="62"/>
      <c r="H26" s="181" t="s">
        <v>1</v>
      </c>
      <c r="I26" s="182"/>
      <c r="J26" s="182"/>
      <c r="K26" s="182"/>
      <c r="L26" s="182"/>
      <c r="M26" s="183"/>
      <c r="N26" s="184" t="s">
        <v>2</v>
      </c>
      <c r="O26" s="185"/>
      <c r="P26" s="185"/>
      <c r="Q26" s="185"/>
      <c r="R26" s="185"/>
      <c r="S26" s="186"/>
      <c r="T26" s="172" t="s">
        <v>3</v>
      </c>
      <c r="U26" s="173"/>
      <c r="V26" s="173"/>
      <c r="W26" s="173"/>
      <c r="X26" s="173"/>
      <c r="Y26" s="174"/>
      <c r="Z26" s="172" t="s">
        <v>4</v>
      </c>
      <c r="AA26" s="173"/>
      <c r="AB26" s="173"/>
      <c r="AC26" s="173"/>
      <c r="AD26" s="173"/>
      <c r="AE26" s="174"/>
      <c r="AF26" s="172" t="s">
        <v>358</v>
      </c>
      <c r="AG26" s="173"/>
      <c r="AH26" s="173"/>
      <c r="AI26" s="173"/>
      <c r="AJ26" s="173"/>
      <c r="AK26" s="174"/>
      <c r="AL26" s="175" t="s">
        <v>359</v>
      </c>
      <c r="AM26" s="176"/>
      <c r="AN26" s="176"/>
      <c r="AO26" s="176"/>
      <c r="AP26" s="176"/>
      <c r="AQ26" s="177"/>
      <c r="AR26" s="178" t="s">
        <v>360</v>
      </c>
      <c r="AS26" s="179"/>
      <c r="AT26" s="179"/>
      <c r="AU26" s="180"/>
    </row>
    <row r="27" spans="2:47" s="43" customFormat="1" ht="15.75" thickBot="1" x14ac:dyDescent="0.3">
      <c r="B27" s="37"/>
      <c r="C27" s="57"/>
      <c r="D27" s="57"/>
      <c r="E27" s="85"/>
      <c r="F27" s="56"/>
      <c r="G27" s="57"/>
      <c r="H27" s="89" t="s">
        <v>88</v>
      </c>
      <c r="I27" s="70" t="s">
        <v>6</v>
      </c>
      <c r="J27" s="67" t="s">
        <v>7</v>
      </c>
      <c r="K27" s="68" t="s">
        <v>8</v>
      </c>
      <c r="L27" s="68" t="s">
        <v>9</v>
      </c>
      <c r="M27" s="69" t="s">
        <v>10</v>
      </c>
      <c r="N27" s="70" t="s">
        <v>88</v>
      </c>
      <c r="O27" s="70" t="s">
        <v>6</v>
      </c>
      <c r="P27" s="67" t="s">
        <v>7</v>
      </c>
      <c r="Q27" s="68" t="s">
        <v>8</v>
      </c>
      <c r="R27" s="68" t="s">
        <v>9</v>
      </c>
      <c r="S27" s="69" t="s">
        <v>10</v>
      </c>
      <c r="T27" s="70" t="s">
        <v>88</v>
      </c>
      <c r="U27" s="70" t="s">
        <v>6</v>
      </c>
      <c r="V27" s="67" t="s">
        <v>7</v>
      </c>
      <c r="W27" s="68" t="s">
        <v>8</v>
      </c>
      <c r="X27" s="68" t="s">
        <v>9</v>
      </c>
      <c r="Y27" s="69" t="s">
        <v>10</v>
      </c>
      <c r="Z27" s="70" t="s">
        <v>88</v>
      </c>
      <c r="AA27" s="70" t="s">
        <v>6</v>
      </c>
      <c r="AB27" s="67" t="s">
        <v>7</v>
      </c>
      <c r="AC27" s="68" t="s">
        <v>8</v>
      </c>
      <c r="AD27" s="68" t="s">
        <v>9</v>
      </c>
      <c r="AE27" s="69" t="s">
        <v>10</v>
      </c>
      <c r="AF27" s="70" t="s">
        <v>88</v>
      </c>
      <c r="AG27" s="70" t="s">
        <v>6</v>
      </c>
      <c r="AH27" s="67" t="s">
        <v>7</v>
      </c>
      <c r="AI27" s="68" t="s">
        <v>8</v>
      </c>
      <c r="AJ27" s="68" t="s">
        <v>9</v>
      </c>
      <c r="AK27" s="69" t="s">
        <v>10</v>
      </c>
      <c r="AL27" s="70" t="s">
        <v>88</v>
      </c>
      <c r="AM27" s="70" t="s">
        <v>6</v>
      </c>
      <c r="AN27" s="67" t="s">
        <v>7</v>
      </c>
      <c r="AO27" s="87" t="s">
        <v>15</v>
      </c>
      <c r="AP27" s="68" t="s">
        <v>9</v>
      </c>
      <c r="AQ27" s="69" t="s">
        <v>10</v>
      </c>
      <c r="AR27" s="70" t="s">
        <v>88</v>
      </c>
      <c r="AS27" s="70" t="s">
        <v>6</v>
      </c>
      <c r="AT27" s="67" t="s">
        <v>7</v>
      </c>
      <c r="AU27" s="71" t="s">
        <v>8</v>
      </c>
    </row>
    <row r="28" spans="2:47" s="43" customFormat="1" ht="15.75" thickBot="1" x14ac:dyDescent="0.3">
      <c r="B28" s="95" t="s">
        <v>347</v>
      </c>
      <c r="C28" s="99" t="s">
        <v>103</v>
      </c>
      <c r="D28" s="91"/>
      <c r="E28" s="91"/>
      <c r="F28" s="99" t="s">
        <v>356</v>
      </c>
      <c r="G28" s="99" t="s">
        <v>357</v>
      </c>
      <c r="H28" s="65" t="s">
        <v>103</v>
      </c>
      <c r="I28" s="72"/>
      <c r="J28" s="72"/>
      <c r="K28" s="72"/>
      <c r="L28" s="72"/>
      <c r="M28" s="73"/>
      <c r="N28" s="65" t="s">
        <v>103</v>
      </c>
      <c r="O28" s="72"/>
      <c r="P28" s="72"/>
      <c r="Q28" s="72"/>
      <c r="R28" s="72"/>
      <c r="S28" s="73"/>
      <c r="T28" s="65" t="s">
        <v>103</v>
      </c>
      <c r="U28" s="72"/>
      <c r="V28" s="72"/>
      <c r="W28" s="72"/>
      <c r="X28" s="72"/>
      <c r="Y28" s="72"/>
      <c r="Z28" s="65" t="s">
        <v>103</v>
      </c>
      <c r="AA28" s="72"/>
      <c r="AB28" s="72"/>
      <c r="AC28" s="72"/>
      <c r="AD28" s="72"/>
      <c r="AE28" s="72"/>
      <c r="AF28" s="65" t="s">
        <v>103</v>
      </c>
      <c r="AG28" s="72"/>
      <c r="AH28" s="72"/>
      <c r="AI28" s="72"/>
      <c r="AJ28" s="72"/>
      <c r="AK28" s="72"/>
      <c r="AL28" s="65" t="s">
        <v>103</v>
      </c>
      <c r="AM28" s="72"/>
      <c r="AN28" s="72"/>
      <c r="AO28" s="72"/>
      <c r="AP28" s="72"/>
      <c r="AQ28" s="72"/>
      <c r="AR28" s="65" t="s">
        <v>103</v>
      </c>
      <c r="AS28" s="72"/>
      <c r="AT28" s="72"/>
      <c r="AU28" s="73"/>
    </row>
    <row r="29" spans="2:47" s="43" customFormat="1" ht="15.75" thickBot="1" x14ac:dyDescent="0.3">
      <c r="B29" s="96" t="s">
        <v>339</v>
      </c>
      <c r="C29" s="100" t="s">
        <v>162</v>
      </c>
      <c r="D29" s="92" t="str">
        <f t="array" ref="D29">INDEX(Table_Name[Name List],MATCH(B29,Table_Name[Category],0))</f>
        <v>Vertical_Back[Exercise]</v>
      </c>
      <c r="E29" s="103" t="str">
        <f t="array" ref="E29">INDEX(Links[Link],MATCH(C29,Links[Exercise],0))</f>
        <v>https://youtu.be/ghHW6sETs-I</v>
      </c>
      <c r="F29" s="106" t="str">
        <f t="shared" ref="F29:F34" si="15">HYPERLINK(E29,"Video")</f>
        <v>Video</v>
      </c>
      <c r="G29" s="109">
        <v>85</v>
      </c>
      <c r="H29" s="75" t="str">
        <f t="shared" ref="H29:H34" si="16">C29</f>
        <v>Assisted Overhand Pullup</v>
      </c>
      <c r="I29" s="76">
        <v>2</v>
      </c>
      <c r="J29" s="76">
        <f t="shared" ref="J29:J34" si="17">MROUND(((G29)*0.85),5)</f>
        <v>70</v>
      </c>
      <c r="K29" s="76" t="s">
        <v>11</v>
      </c>
      <c r="L29" s="76"/>
      <c r="M29" s="78"/>
      <c r="N29" s="88" t="str">
        <f t="shared" ref="N29:N34" si="18">C29</f>
        <v>Assisted Overhand Pullup</v>
      </c>
      <c r="O29" s="76">
        <f>I29+(M50)</f>
        <v>2</v>
      </c>
      <c r="P29" s="76">
        <f t="shared" ref="P29:P34" si="19">MROUND((J29*1.02),5)</f>
        <v>70</v>
      </c>
      <c r="Q29" s="76" t="s">
        <v>11</v>
      </c>
      <c r="R29" s="76"/>
      <c r="S29" s="78"/>
      <c r="T29" s="57" t="str">
        <f t="shared" ref="T29:T34" si="20">C29</f>
        <v>Assisted Overhand Pullup</v>
      </c>
      <c r="U29" s="76">
        <f>O29+(S50)</f>
        <v>2</v>
      </c>
      <c r="V29" s="76">
        <f t="shared" ref="V29:V34" si="21">MROUND((J29*1.04),5)</f>
        <v>75</v>
      </c>
      <c r="W29" s="76" t="s">
        <v>12</v>
      </c>
      <c r="X29" s="76"/>
      <c r="Y29" s="78"/>
      <c r="Z29" s="13" t="str">
        <f t="shared" ref="Z29:Z34" si="22">C29</f>
        <v>Assisted Overhand Pullup</v>
      </c>
      <c r="AA29" s="76">
        <f>U29+(Y50)</f>
        <v>2</v>
      </c>
      <c r="AB29" s="76">
        <f t="shared" ref="AB29:AB34" si="23">MROUND((P29*1.04),5)</f>
        <v>75</v>
      </c>
      <c r="AC29" s="76" t="s">
        <v>12</v>
      </c>
      <c r="AD29" s="76"/>
      <c r="AE29" s="78"/>
      <c r="AF29" s="13" t="str">
        <f t="shared" ref="AF29:AF34" si="24">C29</f>
        <v>Assisted Overhand Pullup</v>
      </c>
      <c r="AG29" s="76">
        <f>AA29+(AE50)</f>
        <v>2</v>
      </c>
      <c r="AH29" s="76">
        <f t="shared" ref="AH29:AH34" si="25">MROUND((V29*1.04),5)</f>
        <v>80</v>
      </c>
      <c r="AI29" s="76" t="s">
        <v>12</v>
      </c>
      <c r="AJ29" s="76"/>
      <c r="AK29" s="78"/>
      <c r="AL29" s="75" t="str">
        <f t="shared" ref="AL29:AL34" si="26">C29</f>
        <v>Assisted Overhand Pullup</v>
      </c>
      <c r="AM29" s="76">
        <f>AG29+(AK50)</f>
        <v>2</v>
      </c>
      <c r="AN29" s="76">
        <f t="shared" ref="AN29:AN34" si="27">MROUND((J29*1.1),5)</f>
        <v>75</v>
      </c>
      <c r="AO29" s="76" t="s">
        <v>13</v>
      </c>
      <c r="AP29" s="76"/>
      <c r="AQ29" s="78"/>
      <c r="AR29" s="75" t="str">
        <f t="shared" ref="AR29:AR34" si="28">C29</f>
        <v>Assisted Overhand Pullup</v>
      </c>
      <c r="AS29" s="76">
        <v>2</v>
      </c>
      <c r="AT29" s="79">
        <f t="shared" ref="AT29:AT34" si="29">J29</f>
        <v>70</v>
      </c>
      <c r="AU29" s="77" t="s">
        <v>14</v>
      </c>
    </row>
    <row r="30" spans="2:47" s="43" customFormat="1" ht="15.75" thickBot="1" x14ac:dyDescent="0.3">
      <c r="B30" s="97" t="s">
        <v>339</v>
      </c>
      <c r="C30" s="101" t="s">
        <v>43</v>
      </c>
      <c r="D30" s="93" t="str">
        <f t="array" ref="D30">INDEX(Table_Name[Name List],MATCH(B30,Table_Name[Category],0))</f>
        <v>Vertical_Back[Exercise]</v>
      </c>
      <c r="E30" s="104" t="str">
        <f t="array" ref="E30">INDEX(Links[Link],MATCH(C30,Links[Exercise],0))</f>
        <v>https://youtu.be/gQ179IUjMsQ</v>
      </c>
      <c r="F30" s="107" t="str">
        <f t="shared" si="15"/>
        <v>Video</v>
      </c>
      <c r="G30" s="110">
        <v>80</v>
      </c>
      <c r="H30" s="75" t="str">
        <f t="shared" si="16"/>
        <v>Normal Grip Pulldown</v>
      </c>
      <c r="I30" s="76">
        <v>2</v>
      </c>
      <c r="J30" s="76">
        <f t="shared" si="17"/>
        <v>70</v>
      </c>
      <c r="K30" s="76" t="s">
        <v>11</v>
      </c>
      <c r="L30" s="76"/>
      <c r="M30" s="78"/>
      <c r="N30" s="88" t="str">
        <f t="shared" si="18"/>
        <v>Normal Grip Pulldown</v>
      </c>
      <c r="O30" s="76">
        <f>I30+(M50)</f>
        <v>2</v>
      </c>
      <c r="P30" s="76">
        <f t="shared" si="19"/>
        <v>70</v>
      </c>
      <c r="Q30" s="76" t="s">
        <v>11</v>
      </c>
      <c r="R30" s="76"/>
      <c r="S30" s="78"/>
      <c r="T30" s="57" t="str">
        <f t="shared" si="20"/>
        <v>Normal Grip Pulldown</v>
      </c>
      <c r="U30" s="76">
        <f>O30+(S50)</f>
        <v>2</v>
      </c>
      <c r="V30" s="76">
        <f t="shared" si="21"/>
        <v>75</v>
      </c>
      <c r="W30" s="76" t="s">
        <v>12</v>
      </c>
      <c r="X30" s="76"/>
      <c r="Y30" s="78"/>
      <c r="Z30" s="13" t="str">
        <f t="shared" si="22"/>
        <v>Normal Grip Pulldown</v>
      </c>
      <c r="AA30" s="76">
        <f>U30+(Y50)</f>
        <v>2</v>
      </c>
      <c r="AB30" s="76">
        <f t="shared" si="23"/>
        <v>75</v>
      </c>
      <c r="AC30" s="76" t="s">
        <v>12</v>
      </c>
      <c r="AD30" s="76"/>
      <c r="AE30" s="78"/>
      <c r="AF30" s="13" t="str">
        <f t="shared" si="24"/>
        <v>Normal Grip Pulldown</v>
      </c>
      <c r="AG30" s="76">
        <f>AA30+(AE50)</f>
        <v>2</v>
      </c>
      <c r="AH30" s="76">
        <f t="shared" si="25"/>
        <v>80</v>
      </c>
      <c r="AI30" s="76" t="s">
        <v>12</v>
      </c>
      <c r="AJ30" s="76"/>
      <c r="AK30" s="78"/>
      <c r="AL30" s="75" t="str">
        <f t="shared" si="26"/>
        <v>Normal Grip Pulldown</v>
      </c>
      <c r="AM30" s="76">
        <f>AG30+(AK50)</f>
        <v>2</v>
      </c>
      <c r="AN30" s="76">
        <f t="shared" si="27"/>
        <v>75</v>
      </c>
      <c r="AO30" s="76" t="s">
        <v>13</v>
      </c>
      <c r="AP30" s="76"/>
      <c r="AQ30" s="78"/>
      <c r="AR30" s="75" t="str">
        <f t="shared" si="28"/>
        <v>Normal Grip Pulldown</v>
      </c>
      <c r="AS30" s="76">
        <v>2</v>
      </c>
      <c r="AT30" s="79">
        <f t="shared" si="29"/>
        <v>70</v>
      </c>
      <c r="AU30" s="77" t="s">
        <v>14</v>
      </c>
    </row>
    <row r="31" spans="2:47" s="43" customFormat="1" ht="15.75" thickBot="1" x14ac:dyDescent="0.3">
      <c r="B31" s="97" t="s">
        <v>338</v>
      </c>
      <c r="C31" s="101" t="s">
        <v>42</v>
      </c>
      <c r="D31" s="93" t="str">
        <f t="array" ref="D31">INDEX(Table_Name[Name List],MATCH(B31,Table_Name[Category],0))</f>
        <v>Horizontal_Back[Exercise]</v>
      </c>
      <c r="E31" s="104" t="str">
        <f t="array" ref="E31">INDEX(Links[Link],MATCH(C31,Links[Exercise],0))</f>
        <v>https://youtu.be/Wdv_3ojsPhU</v>
      </c>
      <c r="F31" s="107" t="str">
        <f t="shared" si="15"/>
        <v>Video</v>
      </c>
      <c r="G31" s="110">
        <v>40</v>
      </c>
      <c r="H31" s="75" t="str">
        <f t="shared" si="16"/>
        <v>1-Arm Dumbbell Row</v>
      </c>
      <c r="I31" s="76">
        <v>2</v>
      </c>
      <c r="J31" s="76">
        <f t="shared" si="17"/>
        <v>35</v>
      </c>
      <c r="K31" s="76" t="s">
        <v>11</v>
      </c>
      <c r="L31" s="76"/>
      <c r="M31" s="78"/>
      <c r="N31" s="88" t="str">
        <f t="shared" si="18"/>
        <v>1-Arm Dumbbell Row</v>
      </c>
      <c r="O31" s="76">
        <f>I31+(M50)</f>
        <v>2</v>
      </c>
      <c r="P31" s="76">
        <f t="shared" si="19"/>
        <v>35</v>
      </c>
      <c r="Q31" s="76" t="s">
        <v>11</v>
      </c>
      <c r="R31" s="76"/>
      <c r="S31" s="78"/>
      <c r="T31" s="57" t="str">
        <f t="shared" si="20"/>
        <v>1-Arm Dumbbell Row</v>
      </c>
      <c r="U31" s="76">
        <f>O31+(S50)</f>
        <v>2</v>
      </c>
      <c r="V31" s="76">
        <f t="shared" si="21"/>
        <v>35</v>
      </c>
      <c r="W31" s="76" t="s">
        <v>12</v>
      </c>
      <c r="X31" s="76"/>
      <c r="Y31" s="78"/>
      <c r="Z31" s="13" t="str">
        <f t="shared" si="22"/>
        <v>1-Arm Dumbbell Row</v>
      </c>
      <c r="AA31" s="76">
        <f>U31+(Y50)</f>
        <v>2</v>
      </c>
      <c r="AB31" s="76">
        <f t="shared" si="23"/>
        <v>35</v>
      </c>
      <c r="AC31" s="76" t="s">
        <v>12</v>
      </c>
      <c r="AD31" s="76"/>
      <c r="AE31" s="78"/>
      <c r="AF31" s="13" t="str">
        <f t="shared" si="24"/>
        <v>1-Arm Dumbbell Row</v>
      </c>
      <c r="AG31" s="76">
        <f>AA31+(AE50)</f>
        <v>2</v>
      </c>
      <c r="AH31" s="76">
        <f t="shared" si="25"/>
        <v>35</v>
      </c>
      <c r="AI31" s="76" t="s">
        <v>12</v>
      </c>
      <c r="AJ31" s="76"/>
      <c r="AK31" s="78"/>
      <c r="AL31" s="75" t="str">
        <f t="shared" si="26"/>
        <v>1-Arm Dumbbell Row</v>
      </c>
      <c r="AM31" s="76">
        <f>AG31+(AK50)</f>
        <v>2</v>
      </c>
      <c r="AN31" s="76">
        <f t="shared" si="27"/>
        <v>40</v>
      </c>
      <c r="AO31" s="76" t="s">
        <v>13</v>
      </c>
      <c r="AP31" s="76"/>
      <c r="AQ31" s="78"/>
      <c r="AR31" s="75" t="str">
        <f t="shared" si="28"/>
        <v>1-Arm Dumbbell Row</v>
      </c>
      <c r="AS31" s="76">
        <v>2</v>
      </c>
      <c r="AT31" s="79">
        <f t="shared" si="29"/>
        <v>35</v>
      </c>
      <c r="AU31" s="77" t="s">
        <v>14</v>
      </c>
    </row>
    <row r="32" spans="2:47" s="43" customFormat="1" ht="15.75" thickBot="1" x14ac:dyDescent="0.3">
      <c r="B32" s="97" t="s">
        <v>344</v>
      </c>
      <c r="C32" s="101" t="s">
        <v>24</v>
      </c>
      <c r="D32" s="93" t="str">
        <f t="array" ref="D32">INDEX(Table_Name[Name List],MATCH(B32,Table_Name[Category],0))</f>
        <v>Horizontal_Push[Exercise]</v>
      </c>
      <c r="E32" s="104" t="str">
        <f t="array" ref="E32">INDEX(Links[Link],MATCH(C32,Links[Exercise],0))</f>
        <v>https://youtu.be/3s_QUA4HcxI</v>
      </c>
      <c r="F32" s="107" t="str">
        <f t="shared" si="15"/>
        <v>Video</v>
      </c>
      <c r="G32" s="110">
        <v>95</v>
      </c>
      <c r="H32" s="75" t="str">
        <f t="shared" si="16"/>
        <v>Close Grip Bench Press</v>
      </c>
      <c r="I32" s="76">
        <v>2</v>
      </c>
      <c r="J32" s="76">
        <f t="shared" si="17"/>
        <v>80</v>
      </c>
      <c r="K32" s="76" t="s">
        <v>11</v>
      </c>
      <c r="L32" s="76"/>
      <c r="M32" s="78"/>
      <c r="N32" s="88" t="str">
        <f t="shared" si="18"/>
        <v>Close Grip Bench Press</v>
      </c>
      <c r="O32" s="76">
        <f>I32+(M51)</f>
        <v>2</v>
      </c>
      <c r="P32" s="76">
        <f t="shared" si="19"/>
        <v>80</v>
      </c>
      <c r="Q32" s="76" t="s">
        <v>11</v>
      </c>
      <c r="R32" s="76"/>
      <c r="S32" s="78"/>
      <c r="T32" s="57" t="str">
        <f t="shared" si="20"/>
        <v>Close Grip Bench Press</v>
      </c>
      <c r="U32" s="76">
        <f>O32+(S51)</f>
        <v>2</v>
      </c>
      <c r="V32" s="76">
        <f t="shared" si="21"/>
        <v>85</v>
      </c>
      <c r="W32" s="76" t="s">
        <v>12</v>
      </c>
      <c r="X32" s="76"/>
      <c r="Y32" s="78"/>
      <c r="Z32" s="13" t="str">
        <f t="shared" si="22"/>
        <v>Close Grip Bench Press</v>
      </c>
      <c r="AA32" s="76">
        <f>U32+(Y51)</f>
        <v>2</v>
      </c>
      <c r="AB32" s="76">
        <f t="shared" si="23"/>
        <v>85</v>
      </c>
      <c r="AC32" s="76" t="s">
        <v>12</v>
      </c>
      <c r="AD32" s="76"/>
      <c r="AE32" s="78"/>
      <c r="AF32" s="13" t="str">
        <f t="shared" si="24"/>
        <v>Close Grip Bench Press</v>
      </c>
      <c r="AG32" s="76">
        <f>AA32+(AE51)</f>
        <v>2</v>
      </c>
      <c r="AH32" s="76">
        <f t="shared" si="25"/>
        <v>90</v>
      </c>
      <c r="AI32" s="76" t="s">
        <v>12</v>
      </c>
      <c r="AJ32" s="76"/>
      <c r="AK32" s="78"/>
      <c r="AL32" s="75" t="str">
        <f t="shared" si="26"/>
        <v>Close Grip Bench Press</v>
      </c>
      <c r="AM32" s="76">
        <f>AG32+(AK51)</f>
        <v>2</v>
      </c>
      <c r="AN32" s="76">
        <f t="shared" si="27"/>
        <v>90</v>
      </c>
      <c r="AO32" s="76" t="s">
        <v>13</v>
      </c>
      <c r="AP32" s="76"/>
      <c r="AQ32" s="78"/>
      <c r="AR32" s="75" t="str">
        <f t="shared" si="28"/>
        <v>Close Grip Bench Press</v>
      </c>
      <c r="AS32" s="76">
        <v>2</v>
      </c>
      <c r="AT32" s="79">
        <f t="shared" si="29"/>
        <v>80</v>
      </c>
      <c r="AU32" s="77" t="s">
        <v>14</v>
      </c>
    </row>
    <row r="33" spans="2:47" s="43" customFormat="1" ht="15.75" thickBot="1" x14ac:dyDescent="0.3">
      <c r="B33" s="97" t="s">
        <v>340</v>
      </c>
      <c r="C33" s="101" t="s">
        <v>50</v>
      </c>
      <c r="D33" s="93" t="str">
        <f t="array" ref="D33">INDEX(Table_Name[Name List],MATCH(B33,Table_Name[Category],0))</f>
        <v>Rear_or_Side_Delts[Exercise]</v>
      </c>
      <c r="E33" s="104" t="str">
        <f t="array" ref="E33">INDEX(Links[Link],MATCH(C33,Links[Exercise],0))</f>
        <v>https://youtu.be/c32OxRaEhxM</v>
      </c>
      <c r="F33" s="107" t="str">
        <f t="shared" si="15"/>
        <v>Video</v>
      </c>
      <c r="G33" s="110">
        <v>10</v>
      </c>
      <c r="H33" s="75" t="str">
        <f t="shared" si="16"/>
        <v>Dumbbell Rear Lateral Raise</v>
      </c>
      <c r="I33" s="76">
        <v>3</v>
      </c>
      <c r="J33" s="76">
        <f t="shared" si="17"/>
        <v>10</v>
      </c>
      <c r="K33" s="76" t="s">
        <v>11</v>
      </c>
      <c r="L33" s="76"/>
      <c r="M33" s="78"/>
      <c r="N33" s="88" t="str">
        <f t="shared" si="18"/>
        <v>Dumbbell Rear Lateral Raise</v>
      </c>
      <c r="O33" s="76">
        <f>I33+(S17)</f>
        <v>3</v>
      </c>
      <c r="P33" s="76">
        <f t="shared" si="19"/>
        <v>10</v>
      </c>
      <c r="Q33" s="76" t="s">
        <v>11</v>
      </c>
      <c r="R33" s="76"/>
      <c r="S33" s="78"/>
      <c r="T33" s="57" t="str">
        <f t="shared" si="20"/>
        <v>Dumbbell Rear Lateral Raise</v>
      </c>
      <c r="U33" s="76">
        <f>O33+(Y17)</f>
        <v>3</v>
      </c>
      <c r="V33" s="76">
        <f t="shared" si="21"/>
        <v>10</v>
      </c>
      <c r="W33" s="76" t="s">
        <v>12</v>
      </c>
      <c r="X33" s="76"/>
      <c r="Y33" s="78"/>
      <c r="Z33" s="13" t="str">
        <f t="shared" si="22"/>
        <v>Dumbbell Rear Lateral Raise</v>
      </c>
      <c r="AA33" s="76">
        <f>U33+(AE17)</f>
        <v>3</v>
      </c>
      <c r="AB33" s="76">
        <f t="shared" si="23"/>
        <v>10</v>
      </c>
      <c r="AC33" s="76" t="s">
        <v>12</v>
      </c>
      <c r="AD33" s="76"/>
      <c r="AE33" s="78"/>
      <c r="AF33" s="13" t="str">
        <f t="shared" si="24"/>
        <v>Dumbbell Rear Lateral Raise</v>
      </c>
      <c r="AG33" s="76">
        <f>AA33+(AK17)</f>
        <v>3</v>
      </c>
      <c r="AH33" s="76">
        <f t="shared" si="25"/>
        <v>10</v>
      </c>
      <c r="AI33" s="76" t="s">
        <v>12</v>
      </c>
      <c r="AJ33" s="76"/>
      <c r="AK33" s="78"/>
      <c r="AL33" s="75" t="str">
        <f t="shared" si="26"/>
        <v>Dumbbell Rear Lateral Raise</v>
      </c>
      <c r="AM33" s="76">
        <f>AG33+(AQ17)</f>
        <v>3</v>
      </c>
      <c r="AN33" s="76">
        <f t="shared" si="27"/>
        <v>10</v>
      </c>
      <c r="AO33" s="76" t="s">
        <v>13</v>
      </c>
      <c r="AP33" s="76"/>
      <c r="AQ33" s="78"/>
      <c r="AR33" s="75" t="str">
        <f t="shared" si="28"/>
        <v>Dumbbell Rear Lateral Raise</v>
      </c>
      <c r="AS33" s="76">
        <v>2</v>
      </c>
      <c r="AT33" s="79">
        <f t="shared" si="29"/>
        <v>10</v>
      </c>
      <c r="AU33" s="77" t="s">
        <v>14</v>
      </c>
    </row>
    <row r="34" spans="2:47" s="43" customFormat="1" ht="15.75" thickBot="1" x14ac:dyDescent="0.3">
      <c r="B34" s="98" t="s">
        <v>77</v>
      </c>
      <c r="C34" s="102" t="s">
        <v>109</v>
      </c>
      <c r="D34" s="94" t="str">
        <f t="array" ref="D34">INDEX(Table_Name[Name List],MATCH(B34,Table_Name[Category],0))</f>
        <v>Abs[Exercise]</v>
      </c>
      <c r="E34" s="105" t="str">
        <f t="array" ref="E34">INDEX(Links[Link],MATCH(C34,Links[Exercise],0))</f>
        <v>https://youtu.be/GWeVF2aVk8g</v>
      </c>
      <c r="F34" s="108" t="str">
        <f t="shared" si="15"/>
        <v>Video</v>
      </c>
      <c r="G34" s="111">
        <v>80</v>
      </c>
      <c r="H34" s="81" t="str">
        <f t="shared" si="16"/>
        <v>Machine Crunch</v>
      </c>
      <c r="I34" s="82">
        <v>2</v>
      </c>
      <c r="J34" s="82">
        <f t="shared" si="17"/>
        <v>70</v>
      </c>
      <c r="K34" s="82" t="s">
        <v>11</v>
      </c>
      <c r="L34" s="82"/>
      <c r="M34" s="78"/>
      <c r="N34" s="81" t="str">
        <f t="shared" si="18"/>
        <v>Machine Crunch</v>
      </c>
      <c r="O34" s="82">
        <f>I34+(M52)</f>
        <v>2</v>
      </c>
      <c r="P34" s="76">
        <f t="shared" si="19"/>
        <v>70</v>
      </c>
      <c r="Q34" s="82" t="s">
        <v>11</v>
      </c>
      <c r="R34" s="82"/>
      <c r="S34" s="78"/>
      <c r="T34" s="83" t="str">
        <f t="shared" si="20"/>
        <v>Machine Crunch</v>
      </c>
      <c r="U34" s="82">
        <f>O34+(S52)</f>
        <v>2</v>
      </c>
      <c r="V34" s="76">
        <f t="shared" si="21"/>
        <v>75</v>
      </c>
      <c r="W34" s="82" t="s">
        <v>12</v>
      </c>
      <c r="X34" s="82"/>
      <c r="Y34" s="78"/>
      <c r="Z34" s="13" t="str">
        <f t="shared" si="22"/>
        <v>Machine Crunch</v>
      </c>
      <c r="AA34" s="82">
        <f>U34+(Y52)</f>
        <v>2</v>
      </c>
      <c r="AB34" s="76">
        <f t="shared" si="23"/>
        <v>75</v>
      </c>
      <c r="AC34" s="82" t="s">
        <v>12</v>
      </c>
      <c r="AD34" s="82"/>
      <c r="AE34" s="78"/>
      <c r="AF34" s="13" t="str">
        <f t="shared" si="24"/>
        <v>Machine Crunch</v>
      </c>
      <c r="AG34" s="82">
        <f>AA34+(AE52)</f>
        <v>2</v>
      </c>
      <c r="AH34" s="76">
        <f t="shared" si="25"/>
        <v>80</v>
      </c>
      <c r="AI34" s="82" t="s">
        <v>12</v>
      </c>
      <c r="AJ34" s="82"/>
      <c r="AK34" s="78"/>
      <c r="AL34" s="81" t="str">
        <f t="shared" si="26"/>
        <v>Machine Crunch</v>
      </c>
      <c r="AM34" s="82">
        <f>AG34+(AK52)</f>
        <v>2</v>
      </c>
      <c r="AN34" s="82">
        <f t="shared" si="27"/>
        <v>75</v>
      </c>
      <c r="AO34" s="82" t="s">
        <v>13</v>
      </c>
      <c r="AP34" s="82"/>
      <c r="AQ34" s="78"/>
      <c r="AR34" s="81" t="str">
        <f t="shared" si="28"/>
        <v>Machine Crunch</v>
      </c>
      <c r="AS34" s="82">
        <v>2</v>
      </c>
      <c r="AT34" s="84">
        <f t="shared" si="29"/>
        <v>70</v>
      </c>
      <c r="AU34" s="64" t="s">
        <v>14</v>
      </c>
    </row>
    <row r="35" spans="2:47" s="43" customFormat="1" ht="19.5" thickBot="1" x14ac:dyDescent="0.3">
      <c r="B35" s="86" t="s">
        <v>348</v>
      </c>
      <c r="C35" s="57"/>
      <c r="D35" s="57"/>
      <c r="E35" s="85"/>
      <c r="F35" s="56"/>
      <c r="G35" s="62"/>
      <c r="H35" s="181" t="s">
        <v>1</v>
      </c>
      <c r="I35" s="182"/>
      <c r="J35" s="182"/>
      <c r="K35" s="182"/>
      <c r="L35" s="182"/>
      <c r="M35" s="183"/>
      <c r="N35" s="184" t="s">
        <v>2</v>
      </c>
      <c r="O35" s="185"/>
      <c r="P35" s="185"/>
      <c r="Q35" s="185"/>
      <c r="R35" s="185"/>
      <c r="S35" s="186"/>
      <c r="T35" s="172" t="s">
        <v>3</v>
      </c>
      <c r="U35" s="173"/>
      <c r="V35" s="173"/>
      <c r="W35" s="173"/>
      <c r="X35" s="173"/>
      <c r="Y35" s="174"/>
      <c r="Z35" s="172" t="s">
        <v>4</v>
      </c>
      <c r="AA35" s="173"/>
      <c r="AB35" s="173"/>
      <c r="AC35" s="173"/>
      <c r="AD35" s="173"/>
      <c r="AE35" s="174"/>
      <c r="AF35" s="172" t="s">
        <v>358</v>
      </c>
      <c r="AG35" s="173"/>
      <c r="AH35" s="173"/>
      <c r="AI35" s="173"/>
      <c r="AJ35" s="173"/>
      <c r="AK35" s="174"/>
      <c r="AL35" s="175" t="s">
        <v>359</v>
      </c>
      <c r="AM35" s="176"/>
      <c r="AN35" s="176"/>
      <c r="AO35" s="176"/>
      <c r="AP35" s="176"/>
      <c r="AQ35" s="177"/>
      <c r="AR35" s="178" t="s">
        <v>360</v>
      </c>
      <c r="AS35" s="179"/>
      <c r="AT35" s="179"/>
      <c r="AU35" s="180"/>
    </row>
    <row r="36" spans="2:47" s="43" customFormat="1" ht="15.75" thickBot="1" x14ac:dyDescent="0.3">
      <c r="B36" s="37"/>
      <c r="C36" s="57"/>
      <c r="D36" s="57"/>
      <c r="E36" s="85"/>
      <c r="F36" s="56"/>
      <c r="G36" s="57"/>
      <c r="H36" s="65" t="s">
        <v>88</v>
      </c>
      <c r="I36" s="66" t="s">
        <v>6</v>
      </c>
      <c r="J36" s="67" t="s">
        <v>7</v>
      </c>
      <c r="K36" s="68" t="s">
        <v>8</v>
      </c>
      <c r="L36" s="68" t="s">
        <v>9</v>
      </c>
      <c r="M36" s="69" t="s">
        <v>10</v>
      </c>
      <c r="N36" s="70" t="s">
        <v>88</v>
      </c>
      <c r="O36" s="70" t="s">
        <v>6</v>
      </c>
      <c r="P36" s="67" t="s">
        <v>7</v>
      </c>
      <c r="Q36" s="68" t="s">
        <v>8</v>
      </c>
      <c r="R36" s="68" t="s">
        <v>9</v>
      </c>
      <c r="S36" s="69" t="s">
        <v>10</v>
      </c>
      <c r="T36" s="70" t="s">
        <v>88</v>
      </c>
      <c r="U36" s="70" t="s">
        <v>6</v>
      </c>
      <c r="V36" s="67" t="s">
        <v>7</v>
      </c>
      <c r="W36" s="68" t="s">
        <v>8</v>
      </c>
      <c r="X36" s="68" t="s">
        <v>9</v>
      </c>
      <c r="Y36" s="69" t="s">
        <v>10</v>
      </c>
      <c r="Z36" s="70" t="s">
        <v>88</v>
      </c>
      <c r="AA36" s="70" t="s">
        <v>6</v>
      </c>
      <c r="AB36" s="67" t="s">
        <v>7</v>
      </c>
      <c r="AC36" s="68" t="s">
        <v>8</v>
      </c>
      <c r="AD36" s="68" t="s">
        <v>9</v>
      </c>
      <c r="AE36" s="69" t="s">
        <v>10</v>
      </c>
      <c r="AF36" s="70" t="s">
        <v>88</v>
      </c>
      <c r="AG36" s="70" t="s">
        <v>6</v>
      </c>
      <c r="AH36" s="67" t="s">
        <v>7</v>
      </c>
      <c r="AI36" s="68" t="s">
        <v>8</v>
      </c>
      <c r="AJ36" s="68" t="s">
        <v>9</v>
      </c>
      <c r="AK36" s="69" t="s">
        <v>10</v>
      </c>
      <c r="AL36" s="70" t="s">
        <v>88</v>
      </c>
      <c r="AM36" s="70" t="s">
        <v>6</v>
      </c>
      <c r="AN36" s="67" t="s">
        <v>7</v>
      </c>
      <c r="AO36" s="87" t="s">
        <v>15</v>
      </c>
      <c r="AP36" s="68" t="s">
        <v>9</v>
      </c>
      <c r="AQ36" s="69" t="s">
        <v>10</v>
      </c>
      <c r="AR36" s="70" t="s">
        <v>88</v>
      </c>
      <c r="AS36" s="70" t="s">
        <v>6</v>
      </c>
      <c r="AT36" s="67" t="s">
        <v>7</v>
      </c>
      <c r="AU36" s="71" t="s">
        <v>8</v>
      </c>
    </row>
    <row r="37" spans="2:47" s="43" customFormat="1" ht="15.75" thickBot="1" x14ac:dyDescent="0.3">
      <c r="B37" s="95" t="s">
        <v>349</v>
      </c>
      <c r="C37" s="99" t="s">
        <v>336</v>
      </c>
      <c r="D37" s="91"/>
      <c r="E37" s="91"/>
      <c r="F37" s="99" t="s">
        <v>356</v>
      </c>
      <c r="G37" s="99" t="s">
        <v>357</v>
      </c>
      <c r="H37" s="65" t="s">
        <v>336</v>
      </c>
      <c r="I37" s="72"/>
      <c r="J37" s="72"/>
      <c r="K37" s="72"/>
      <c r="L37" s="72"/>
      <c r="M37" s="73"/>
      <c r="N37" s="65" t="s">
        <v>336</v>
      </c>
      <c r="O37" s="72"/>
      <c r="P37" s="72"/>
      <c r="Q37" s="72"/>
      <c r="R37" s="72"/>
      <c r="S37" s="73"/>
      <c r="T37" s="65" t="s">
        <v>336</v>
      </c>
      <c r="U37" s="72"/>
      <c r="V37" s="72"/>
      <c r="W37" s="72"/>
      <c r="X37" s="72"/>
      <c r="Y37" s="72"/>
      <c r="Z37" s="65" t="s">
        <v>336</v>
      </c>
      <c r="AA37" s="72"/>
      <c r="AB37" s="72"/>
      <c r="AC37" s="72"/>
      <c r="AD37" s="72"/>
      <c r="AE37" s="72"/>
      <c r="AF37" s="65" t="s">
        <v>336</v>
      </c>
      <c r="AG37" s="72"/>
      <c r="AH37" s="72"/>
      <c r="AI37" s="72"/>
      <c r="AJ37" s="72"/>
      <c r="AK37" s="72"/>
      <c r="AL37" s="65" t="s">
        <v>336</v>
      </c>
      <c r="AM37" s="72"/>
      <c r="AN37" s="72"/>
      <c r="AO37" s="72"/>
      <c r="AP37" s="72"/>
      <c r="AQ37" s="72"/>
      <c r="AR37" s="65" t="s">
        <v>336</v>
      </c>
      <c r="AS37" s="72"/>
      <c r="AT37" s="72"/>
      <c r="AU37" s="73"/>
    </row>
    <row r="38" spans="2:47" s="43" customFormat="1" ht="15.75" thickBot="1" x14ac:dyDescent="0.3">
      <c r="B38" s="96" t="s">
        <v>108</v>
      </c>
      <c r="C38" s="100" t="s">
        <v>134</v>
      </c>
      <c r="D38" s="92" t="str">
        <f t="array" ref="D38">INDEX(Table_Name[Name List],MATCH(B38,Table_Name[Category],0))</f>
        <v>Glutes[Exercise]</v>
      </c>
      <c r="E38" s="103" t="str">
        <f t="array" ref="E38">INDEX(Links[Link],MATCH(C38,Links[Exercise],0))</f>
        <v>https://youtu.be/euEPxA3gsDo</v>
      </c>
      <c r="F38" s="106" t="str">
        <f>HYPERLINK(E38,"Video")</f>
        <v>Video</v>
      </c>
      <c r="G38" s="109">
        <v>135</v>
      </c>
      <c r="H38" s="75" t="str">
        <f>C38</f>
        <v>Deadlift</v>
      </c>
      <c r="I38" s="76">
        <v>3</v>
      </c>
      <c r="J38" s="76">
        <f>MROUND(((G38)*0.85),5)</f>
        <v>115</v>
      </c>
      <c r="K38" s="76" t="s">
        <v>11</v>
      </c>
      <c r="L38" s="76"/>
      <c r="M38" s="78"/>
      <c r="N38" s="88" t="str">
        <f>C38</f>
        <v>Deadlift</v>
      </c>
      <c r="O38" s="76">
        <f>I38+(S22)</f>
        <v>3</v>
      </c>
      <c r="P38" s="76">
        <f>MROUND((J38*1.02),5)</f>
        <v>115</v>
      </c>
      <c r="Q38" s="76" t="s">
        <v>11</v>
      </c>
      <c r="R38" s="76"/>
      <c r="S38" s="78"/>
      <c r="T38" s="57" t="str">
        <f>C38</f>
        <v>Deadlift</v>
      </c>
      <c r="U38" s="76">
        <f>O38+(Y22)</f>
        <v>3</v>
      </c>
      <c r="V38" s="76">
        <f>MROUND((J38*1.04),5)</f>
        <v>120</v>
      </c>
      <c r="W38" s="76" t="s">
        <v>12</v>
      </c>
      <c r="X38" s="76"/>
      <c r="Y38" s="78"/>
      <c r="Z38" s="13" t="str">
        <f>C38</f>
        <v>Deadlift</v>
      </c>
      <c r="AA38" s="76">
        <f>U38+(AE22)</f>
        <v>3</v>
      </c>
      <c r="AB38" s="76">
        <f>MROUND((P38*1.04),5)</f>
        <v>120</v>
      </c>
      <c r="AC38" s="76" t="s">
        <v>12</v>
      </c>
      <c r="AD38" s="76"/>
      <c r="AE38" s="78"/>
      <c r="AF38" s="13" t="str">
        <f>C38</f>
        <v>Deadlift</v>
      </c>
      <c r="AG38" s="76">
        <f>AA38+(AK22)</f>
        <v>3</v>
      </c>
      <c r="AH38" s="76">
        <f>MROUND((V38*1.04),5)</f>
        <v>125</v>
      </c>
      <c r="AI38" s="76" t="s">
        <v>12</v>
      </c>
      <c r="AJ38" s="76"/>
      <c r="AK38" s="78"/>
      <c r="AL38" s="75" t="str">
        <f>C38</f>
        <v>Deadlift</v>
      </c>
      <c r="AM38" s="76">
        <f>AG38+(AQ22)</f>
        <v>3</v>
      </c>
      <c r="AN38" s="76">
        <f>MROUND((J38*1.1),5)</f>
        <v>125</v>
      </c>
      <c r="AO38" s="76" t="s">
        <v>13</v>
      </c>
      <c r="AP38" s="76"/>
      <c r="AQ38" s="78"/>
      <c r="AR38" s="75" t="str">
        <f>C38</f>
        <v>Deadlift</v>
      </c>
      <c r="AS38" s="76">
        <v>2</v>
      </c>
      <c r="AT38" s="79">
        <f>MROUND((J38*0.5),5)</f>
        <v>60</v>
      </c>
      <c r="AU38" s="77" t="s">
        <v>14</v>
      </c>
    </row>
    <row r="39" spans="2:47" s="43" customFormat="1" ht="15.75" thickBot="1" x14ac:dyDescent="0.3">
      <c r="B39" s="97" t="s">
        <v>108</v>
      </c>
      <c r="C39" s="101" t="s">
        <v>67</v>
      </c>
      <c r="D39" s="93" t="str">
        <f t="array" ref="D39">INDEX(Table_Name[Name List],MATCH(B39,Table_Name[Category],0))</f>
        <v>Glutes[Exercise]</v>
      </c>
      <c r="E39" s="104" t="str">
        <f t="array" ref="E39">INDEX(Links[Link],MATCH(C39,Links[Exercise],0))</f>
        <v>https://youtu.be/LRgZFHceZGo</v>
      </c>
      <c r="F39" s="107" t="str">
        <f>HYPERLINK(E39,"Video")</f>
        <v>Video</v>
      </c>
      <c r="G39" s="110">
        <v>15</v>
      </c>
      <c r="H39" s="75" t="str">
        <f>C39</f>
        <v>Dumbbell Walking Lunge</v>
      </c>
      <c r="I39" s="76">
        <v>3</v>
      </c>
      <c r="J39" s="76">
        <f>MROUND(((G39)*0.85),5)</f>
        <v>15</v>
      </c>
      <c r="K39" s="76" t="s">
        <v>11</v>
      </c>
      <c r="L39" s="76"/>
      <c r="M39" s="78"/>
      <c r="N39" s="88" t="str">
        <f>C39</f>
        <v>Dumbbell Walking Lunge</v>
      </c>
      <c r="O39" s="76">
        <f>I39+(S22)</f>
        <v>3</v>
      </c>
      <c r="P39" s="76">
        <f>MROUND((J39*1.02),5)</f>
        <v>15</v>
      </c>
      <c r="Q39" s="76" t="s">
        <v>11</v>
      </c>
      <c r="R39" s="76"/>
      <c r="S39" s="78"/>
      <c r="T39" s="57" t="str">
        <f>C39</f>
        <v>Dumbbell Walking Lunge</v>
      </c>
      <c r="U39" s="76">
        <f>O39+(Y22)</f>
        <v>3</v>
      </c>
      <c r="V39" s="76">
        <f>MROUND((J39*1.04),5)</f>
        <v>15</v>
      </c>
      <c r="W39" s="76" t="s">
        <v>12</v>
      </c>
      <c r="X39" s="76"/>
      <c r="Y39" s="78"/>
      <c r="Z39" s="13" t="str">
        <f>C39</f>
        <v>Dumbbell Walking Lunge</v>
      </c>
      <c r="AA39" s="76">
        <f>U39+(AE22)</f>
        <v>3</v>
      </c>
      <c r="AB39" s="76">
        <f>MROUND((P39*1.04),5)</f>
        <v>15</v>
      </c>
      <c r="AC39" s="76" t="s">
        <v>12</v>
      </c>
      <c r="AD39" s="76"/>
      <c r="AE39" s="78"/>
      <c r="AF39" s="13" t="str">
        <f>C39</f>
        <v>Dumbbell Walking Lunge</v>
      </c>
      <c r="AG39" s="76">
        <f>AA39+(AK22)</f>
        <v>3</v>
      </c>
      <c r="AH39" s="76">
        <f>MROUND((V39*1.04),5)</f>
        <v>15</v>
      </c>
      <c r="AI39" s="76" t="s">
        <v>12</v>
      </c>
      <c r="AJ39" s="76"/>
      <c r="AK39" s="78"/>
      <c r="AL39" s="75" t="str">
        <f>C39</f>
        <v>Dumbbell Walking Lunge</v>
      </c>
      <c r="AM39" s="76">
        <f>AG39+(AQ22)</f>
        <v>3</v>
      </c>
      <c r="AN39" s="76">
        <f>MROUND((J39*1.1),5)</f>
        <v>15</v>
      </c>
      <c r="AO39" s="76" t="s">
        <v>13</v>
      </c>
      <c r="AP39" s="76"/>
      <c r="AQ39" s="78"/>
      <c r="AR39" s="75" t="str">
        <f>C39</f>
        <v>Dumbbell Walking Lunge</v>
      </c>
      <c r="AS39" s="76">
        <v>2</v>
      </c>
      <c r="AT39" s="79">
        <f>MROUND((J39*0.5),5)</f>
        <v>10</v>
      </c>
      <c r="AU39" s="77" t="s">
        <v>14</v>
      </c>
    </row>
    <row r="40" spans="2:47" s="43" customFormat="1" ht="15.75" thickBot="1" x14ac:dyDescent="0.3">
      <c r="B40" s="97" t="s">
        <v>107</v>
      </c>
      <c r="C40" s="101" t="s">
        <v>136</v>
      </c>
      <c r="D40" s="93" t="str">
        <f t="array" ref="D40">INDEX(Table_Name[Name List],MATCH(B40,Table_Name[Category],0))</f>
        <v>Hamstrings_Hip_Hinge[Exercise]</v>
      </c>
      <c r="E40" s="104" t="str">
        <f t="array" ref="E40">INDEX(Links[Link],MATCH(C40,Links[Exercise],0))</f>
        <v>https://youtu.be/OMUGU1Vh8Ao</v>
      </c>
      <c r="F40" s="107" t="str">
        <f>HYPERLINK(E40,"Video")</f>
        <v>Video</v>
      </c>
      <c r="G40" s="110">
        <v>167</v>
      </c>
      <c r="H40" s="75" t="str">
        <f>C40</f>
        <v>45 Degree Back Raise</v>
      </c>
      <c r="I40" s="76">
        <v>3</v>
      </c>
      <c r="J40" s="76">
        <f>MROUND(((G40)*0.85),5)</f>
        <v>140</v>
      </c>
      <c r="K40" s="76" t="s">
        <v>11</v>
      </c>
      <c r="L40" s="76"/>
      <c r="M40" s="78"/>
      <c r="N40" s="88" t="str">
        <f>C40</f>
        <v>45 Degree Back Raise</v>
      </c>
      <c r="O40" s="76">
        <f>I40+(S24)</f>
        <v>3</v>
      </c>
      <c r="P40" s="76">
        <f>MROUND((J40*1.02),5)</f>
        <v>145</v>
      </c>
      <c r="Q40" s="76" t="s">
        <v>11</v>
      </c>
      <c r="R40" s="76"/>
      <c r="S40" s="78"/>
      <c r="T40" s="57" t="str">
        <f>C40</f>
        <v>45 Degree Back Raise</v>
      </c>
      <c r="U40" s="76">
        <f>O40+(Y24)</f>
        <v>3</v>
      </c>
      <c r="V40" s="76">
        <f>MROUND((J40*1.04),5)</f>
        <v>145</v>
      </c>
      <c r="W40" s="76" t="s">
        <v>12</v>
      </c>
      <c r="X40" s="76"/>
      <c r="Y40" s="78"/>
      <c r="Z40" s="13" t="str">
        <f>C40</f>
        <v>45 Degree Back Raise</v>
      </c>
      <c r="AA40" s="76">
        <f>U40+(AE24)</f>
        <v>3</v>
      </c>
      <c r="AB40" s="76">
        <f>MROUND((P40*1.04),5)</f>
        <v>150</v>
      </c>
      <c r="AC40" s="76" t="s">
        <v>12</v>
      </c>
      <c r="AD40" s="76"/>
      <c r="AE40" s="78"/>
      <c r="AF40" s="13" t="str">
        <f>C40</f>
        <v>45 Degree Back Raise</v>
      </c>
      <c r="AG40" s="76">
        <f>AA40+(AK24)</f>
        <v>3</v>
      </c>
      <c r="AH40" s="76">
        <f>MROUND((V40*1.04),5)</f>
        <v>150</v>
      </c>
      <c r="AI40" s="76" t="s">
        <v>12</v>
      </c>
      <c r="AJ40" s="76"/>
      <c r="AK40" s="78"/>
      <c r="AL40" s="75" t="str">
        <f>C40</f>
        <v>45 Degree Back Raise</v>
      </c>
      <c r="AM40" s="76">
        <f>AG40+(AQ24)</f>
        <v>3</v>
      </c>
      <c r="AN40" s="76">
        <f>MROUND((J40*1.1),5)</f>
        <v>155</v>
      </c>
      <c r="AO40" s="76" t="s">
        <v>13</v>
      </c>
      <c r="AP40" s="76"/>
      <c r="AQ40" s="78"/>
      <c r="AR40" s="75" t="str">
        <f>C40</f>
        <v>45 Degree Back Raise</v>
      </c>
      <c r="AS40" s="76">
        <v>2</v>
      </c>
      <c r="AT40" s="79">
        <f>MROUND((J40*0.5),5)</f>
        <v>70</v>
      </c>
      <c r="AU40" s="77" t="s">
        <v>14</v>
      </c>
    </row>
    <row r="41" spans="2:47" s="43" customFormat="1" ht="15.75" thickBot="1" x14ac:dyDescent="0.3">
      <c r="B41" s="97" t="s">
        <v>20</v>
      </c>
      <c r="C41" s="101" t="s">
        <v>132</v>
      </c>
      <c r="D41" s="93" t="str">
        <f t="array" ref="D41">INDEX(Table_Name[Name List],MATCH(B41,Table_Name[Category],0))</f>
        <v>Quads[Exercise]</v>
      </c>
      <c r="E41" s="104" t="str">
        <f t="array" ref="E41">INDEX(Links[Link],MATCH(C41,Links[Exercise],0))</f>
        <v>https://youtu.be/SOyO4LHjhX4</v>
      </c>
      <c r="F41" s="107" t="str">
        <f>HYPERLINK(E41,"Video")</f>
        <v>Video</v>
      </c>
      <c r="G41" s="110">
        <v>200</v>
      </c>
      <c r="H41" s="75" t="str">
        <f>C41</f>
        <v>Hack Squat</v>
      </c>
      <c r="I41" s="76">
        <v>3</v>
      </c>
      <c r="J41" s="76">
        <f>MROUND(((G41)*0.85),5)</f>
        <v>170</v>
      </c>
      <c r="K41" s="76" t="s">
        <v>11</v>
      </c>
      <c r="L41" s="76"/>
      <c r="M41" s="78"/>
      <c r="N41" s="88" t="str">
        <f>C41</f>
        <v>Hack Squat</v>
      </c>
      <c r="O41" s="76">
        <f>I41+(S22)</f>
        <v>3</v>
      </c>
      <c r="P41" s="76">
        <f>MROUND((J41*1.02),5)</f>
        <v>175</v>
      </c>
      <c r="Q41" s="76" t="s">
        <v>11</v>
      </c>
      <c r="R41" s="76"/>
      <c r="S41" s="78"/>
      <c r="T41" s="57" t="str">
        <f>C41</f>
        <v>Hack Squat</v>
      </c>
      <c r="U41" s="76">
        <f>O41+(Y22)</f>
        <v>3</v>
      </c>
      <c r="V41" s="76">
        <f>MROUND((J41*1.04),5)</f>
        <v>175</v>
      </c>
      <c r="W41" s="76" t="s">
        <v>12</v>
      </c>
      <c r="X41" s="76"/>
      <c r="Y41" s="78"/>
      <c r="Z41" s="13" t="str">
        <f>C41</f>
        <v>Hack Squat</v>
      </c>
      <c r="AA41" s="76">
        <f>U41+(AE22)</f>
        <v>3</v>
      </c>
      <c r="AB41" s="76">
        <f>MROUND((P41*1.04),5)</f>
        <v>180</v>
      </c>
      <c r="AC41" s="76" t="s">
        <v>12</v>
      </c>
      <c r="AD41" s="76"/>
      <c r="AE41" s="78"/>
      <c r="AF41" s="13" t="str">
        <f>C41</f>
        <v>Hack Squat</v>
      </c>
      <c r="AG41" s="76">
        <f>AA41+(AK22)</f>
        <v>3</v>
      </c>
      <c r="AH41" s="76">
        <f>MROUND((V41*1.04),5)</f>
        <v>180</v>
      </c>
      <c r="AI41" s="76" t="s">
        <v>12</v>
      </c>
      <c r="AJ41" s="76"/>
      <c r="AK41" s="78"/>
      <c r="AL41" s="75" t="str">
        <f>C41</f>
        <v>Hack Squat</v>
      </c>
      <c r="AM41" s="76">
        <f>AG41+(AQ22)</f>
        <v>3</v>
      </c>
      <c r="AN41" s="76">
        <f>MROUND((J41*1.1),5)</f>
        <v>185</v>
      </c>
      <c r="AO41" s="76" t="s">
        <v>13</v>
      </c>
      <c r="AP41" s="76"/>
      <c r="AQ41" s="78"/>
      <c r="AR41" s="75" t="str">
        <f>C41</f>
        <v>Hack Squat</v>
      </c>
      <c r="AS41" s="76">
        <v>2</v>
      </c>
      <c r="AT41" s="79">
        <f>MROUND((J41*0.5),5)</f>
        <v>85</v>
      </c>
      <c r="AU41" s="77" t="s">
        <v>14</v>
      </c>
    </row>
    <row r="42" spans="2:47" s="43" customFormat="1" ht="15.75" thickBot="1" x14ac:dyDescent="0.3">
      <c r="B42" s="98" t="s">
        <v>19</v>
      </c>
      <c r="C42" s="102" t="s">
        <v>75</v>
      </c>
      <c r="D42" s="94" t="str">
        <f t="array" ref="D42">INDEX(Table_Name[Name List],MATCH(B42,Table_Name[Category],0))</f>
        <v>Calves[Exercise]</v>
      </c>
      <c r="E42" s="105" t="str">
        <f t="array" ref="E42">INDEX(Links[Link],MATCH(C42,Links[Exercise],0))</f>
        <v>https://youtu.be/mucRuC4sEjQ</v>
      </c>
      <c r="F42" s="108" t="str">
        <f>HYPERLINK(E42,"Video")</f>
        <v>Video</v>
      </c>
      <c r="G42" s="111">
        <v>167</v>
      </c>
      <c r="H42" s="81" t="str">
        <f>C42</f>
        <v>Stair Calves</v>
      </c>
      <c r="I42" s="82">
        <v>4</v>
      </c>
      <c r="J42" s="82">
        <f>MROUND(((G42)*0.85),5)</f>
        <v>140</v>
      </c>
      <c r="K42" s="82" t="s">
        <v>11</v>
      </c>
      <c r="L42" s="82"/>
      <c r="M42" s="78"/>
      <c r="N42" s="81" t="str">
        <f>C42</f>
        <v>Stair Calves</v>
      </c>
      <c r="O42" s="82">
        <f>I42+(S25)</f>
        <v>4</v>
      </c>
      <c r="P42" s="76">
        <f>MROUND((J42*1.02),5)</f>
        <v>145</v>
      </c>
      <c r="Q42" s="82" t="s">
        <v>11</v>
      </c>
      <c r="R42" s="82"/>
      <c r="S42" s="78"/>
      <c r="T42" s="83" t="str">
        <f>C42</f>
        <v>Stair Calves</v>
      </c>
      <c r="U42" s="82">
        <f>O42+(Y25)</f>
        <v>4</v>
      </c>
      <c r="V42" s="76">
        <f>MROUND((J42*1.04),5)</f>
        <v>145</v>
      </c>
      <c r="W42" s="82" t="s">
        <v>12</v>
      </c>
      <c r="X42" s="82"/>
      <c r="Y42" s="78"/>
      <c r="Z42" s="13" t="str">
        <f>C42</f>
        <v>Stair Calves</v>
      </c>
      <c r="AA42" s="82">
        <f>U42+(AE25)</f>
        <v>4</v>
      </c>
      <c r="AB42" s="76">
        <f>MROUND((P42*1.04),5)</f>
        <v>150</v>
      </c>
      <c r="AC42" s="82" t="s">
        <v>12</v>
      </c>
      <c r="AD42" s="82"/>
      <c r="AE42" s="78"/>
      <c r="AF42" s="13" t="str">
        <f>C42</f>
        <v>Stair Calves</v>
      </c>
      <c r="AG42" s="82">
        <f>AA42+(AK25)</f>
        <v>4</v>
      </c>
      <c r="AH42" s="76">
        <f>MROUND((V42*1.04),5)</f>
        <v>150</v>
      </c>
      <c r="AI42" s="82" t="s">
        <v>12</v>
      </c>
      <c r="AJ42" s="82"/>
      <c r="AK42" s="78"/>
      <c r="AL42" s="81" t="str">
        <f>C42</f>
        <v>Stair Calves</v>
      </c>
      <c r="AM42" s="82">
        <f>AG42+(AQ25)</f>
        <v>4</v>
      </c>
      <c r="AN42" s="82">
        <f>MROUND((J42*1.1),5)</f>
        <v>155</v>
      </c>
      <c r="AO42" s="82" t="s">
        <v>13</v>
      </c>
      <c r="AP42" s="82"/>
      <c r="AQ42" s="78"/>
      <c r="AR42" s="81" t="str">
        <f>C42</f>
        <v>Stair Calves</v>
      </c>
      <c r="AS42" s="82">
        <v>2</v>
      </c>
      <c r="AT42" s="84">
        <f>MROUND((J42*0.5),5)</f>
        <v>70</v>
      </c>
      <c r="AU42" s="64" t="s">
        <v>14</v>
      </c>
    </row>
    <row r="43" spans="2:47" s="43" customFormat="1" ht="19.5" thickBot="1" x14ac:dyDescent="0.3">
      <c r="B43" s="86" t="s">
        <v>350</v>
      </c>
      <c r="C43" s="57"/>
      <c r="D43" s="57"/>
      <c r="E43" s="85"/>
      <c r="F43" s="56"/>
      <c r="G43" s="62"/>
      <c r="H43" s="181" t="s">
        <v>1</v>
      </c>
      <c r="I43" s="182"/>
      <c r="J43" s="182"/>
      <c r="K43" s="182"/>
      <c r="L43" s="182"/>
      <c r="M43" s="183"/>
      <c r="N43" s="184" t="s">
        <v>2</v>
      </c>
      <c r="O43" s="185"/>
      <c r="P43" s="185"/>
      <c r="Q43" s="185"/>
      <c r="R43" s="185"/>
      <c r="S43" s="186"/>
      <c r="T43" s="172" t="s">
        <v>3</v>
      </c>
      <c r="U43" s="173"/>
      <c r="V43" s="173"/>
      <c r="W43" s="173"/>
      <c r="X43" s="173"/>
      <c r="Y43" s="174"/>
      <c r="Z43" s="172" t="s">
        <v>4</v>
      </c>
      <c r="AA43" s="173"/>
      <c r="AB43" s="173"/>
      <c r="AC43" s="173"/>
      <c r="AD43" s="173"/>
      <c r="AE43" s="174"/>
      <c r="AF43" s="172" t="s">
        <v>358</v>
      </c>
      <c r="AG43" s="173"/>
      <c r="AH43" s="173"/>
      <c r="AI43" s="173"/>
      <c r="AJ43" s="173"/>
      <c r="AK43" s="174"/>
      <c r="AL43" s="175" t="s">
        <v>359</v>
      </c>
      <c r="AM43" s="176"/>
      <c r="AN43" s="176"/>
      <c r="AO43" s="176"/>
      <c r="AP43" s="176"/>
      <c r="AQ43" s="177"/>
      <c r="AR43" s="178" t="s">
        <v>360</v>
      </c>
      <c r="AS43" s="179"/>
      <c r="AT43" s="179"/>
      <c r="AU43" s="180"/>
    </row>
    <row r="44" spans="2:47" s="43" customFormat="1" ht="15.75" thickBot="1" x14ac:dyDescent="0.3">
      <c r="B44" s="37"/>
      <c r="C44" s="57"/>
      <c r="D44" s="57"/>
      <c r="E44" s="85"/>
      <c r="F44" s="56"/>
      <c r="G44" s="57"/>
      <c r="H44" s="65" t="s">
        <v>88</v>
      </c>
      <c r="I44" s="66" t="s">
        <v>6</v>
      </c>
      <c r="J44" s="67" t="s">
        <v>7</v>
      </c>
      <c r="K44" s="68" t="s">
        <v>8</v>
      </c>
      <c r="L44" s="68" t="s">
        <v>9</v>
      </c>
      <c r="M44" s="69" t="s">
        <v>10</v>
      </c>
      <c r="N44" s="70" t="s">
        <v>88</v>
      </c>
      <c r="O44" s="70" t="s">
        <v>6</v>
      </c>
      <c r="P44" s="67" t="s">
        <v>7</v>
      </c>
      <c r="Q44" s="68" t="s">
        <v>8</v>
      </c>
      <c r="R44" s="68" t="s">
        <v>9</v>
      </c>
      <c r="S44" s="69" t="s">
        <v>10</v>
      </c>
      <c r="T44" s="70" t="s">
        <v>88</v>
      </c>
      <c r="U44" s="70" t="s">
        <v>6</v>
      </c>
      <c r="V44" s="67" t="s">
        <v>7</v>
      </c>
      <c r="W44" s="68" t="s">
        <v>8</v>
      </c>
      <c r="X44" s="68" t="s">
        <v>9</v>
      </c>
      <c r="Y44" s="69" t="s">
        <v>10</v>
      </c>
      <c r="Z44" s="70" t="s">
        <v>88</v>
      </c>
      <c r="AA44" s="70" t="s">
        <v>6</v>
      </c>
      <c r="AB44" s="67" t="s">
        <v>7</v>
      </c>
      <c r="AC44" s="68" t="s">
        <v>8</v>
      </c>
      <c r="AD44" s="68" t="s">
        <v>9</v>
      </c>
      <c r="AE44" s="69" t="s">
        <v>10</v>
      </c>
      <c r="AF44" s="70" t="s">
        <v>88</v>
      </c>
      <c r="AG44" s="70" t="s">
        <v>6</v>
      </c>
      <c r="AH44" s="67" t="s">
        <v>7</v>
      </c>
      <c r="AI44" s="68" t="s">
        <v>8</v>
      </c>
      <c r="AJ44" s="68" t="s">
        <v>9</v>
      </c>
      <c r="AK44" s="69" t="s">
        <v>10</v>
      </c>
      <c r="AL44" s="70" t="s">
        <v>88</v>
      </c>
      <c r="AM44" s="70" t="s">
        <v>6</v>
      </c>
      <c r="AN44" s="67" t="s">
        <v>7</v>
      </c>
      <c r="AO44" s="87" t="s">
        <v>15</v>
      </c>
      <c r="AP44" s="68" t="s">
        <v>9</v>
      </c>
      <c r="AQ44" s="69" t="s">
        <v>10</v>
      </c>
      <c r="AR44" s="70" t="s">
        <v>88</v>
      </c>
      <c r="AS44" s="70" t="s">
        <v>6</v>
      </c>
      <c r="AT44" s="67" t="s">
        <v>7</v>
      </c>
      <c r="AU44" s="71" t="s">
        <v>8</v>
      </c>
    </row>
    <row r="45" spans="2:47" s="43" customFormat="1" ht="15.75" thickBot="1" x14ac:dyDescent="0.3">
      <c r="B45" s="95" t="s">
        <v>351</v>
      </c>
      <c r="C45" s="99" t="s">
        <v>341</v>
      </c>
      <c r="D45" s="91"/>
      <c r="E45" s="91"/>
      <c r="F45" s="99" t="s">
        <v>356</v>
      </c>
      <c r="G45" s="99" t="s">
        <v>357</v>
      </c>
      <c r="H45" s="65" t="s">
        <v>341</v>
      </c>
      <c r="I45" s="72"/>
      <c r="J45" s="72"/>
      <c r="K45" s="72"/>
      <c r="L45" s="72"/>
      <c r="M45" s="73"/>
      <c r="N45" s="65" t="s">
        <v>341</v>
      </c>
      <c r="O45" s="72"/>
      <c r="P45" s="72"/>
      <c r="Q45" s="72"/>
      <c r="R45" s="72"/>
      <c r="S45" s="73"/>
      <c r="T45" s="65" t="s">
        <v>341</v>
      </c>
      <c r="U45" s="72"/>
      <c r="V45" s="72"/>
      <c r="W45" s="72"/>
      <c r="X45" s="72"/>
      <c r="Y45" s="72"/>
      <c r="Z45" s="65" t="s">
        <v>341</v>
      </c>
      <c r="AA45" s="72"/>
      <c r="AB45" s="72"/>
      <c r="AC45" s="72"/>
      <c r="AD45" s="72"/>
      <c r="AE45" s="72"/>
      <c r="AF45" s="65" t="s">
        <v>341</v>
      </c>
      <c r="AG45" s="72"/>
      <c r="AH45" s="72"/>
      <c r="AI45" s="72"/>
      <c r="AJ45" s="72"/>
      <c r="AK45" s="72"/>
      <c r="AL45" s="65" t="s">
        <v>341</v>
      </c>
      <c r="AM45" s="72"/>
      <c r="AN45" s="72"/>
      <c r="AO45" s="72"/>
      <c r="AP45" s="72"/>
      <c r="AQ45" s="72"/>
      <c r="AR45" s="65" t="s">
        <v>341</v>
      </c>
      <c r="AS45" s="72"/>
      <c r="AT45" s="72"/>
      <c r="AU45" s="73"/>
    </row>
    <row r="46" spans="2:47" s="43" customFormat="1" ht="15.75" thickBot="1" x14ac:dyDescent="0.3">
      <c r="B46" s="96" t="s">
        <v>18</v>
      </c>
      <c r="C46" s="100" t="s">
        <v>62</v>
      </c>
      <c r="D46" s="92" t="str">
        <f t="array" ref="D46">INDEX(Table_Name[Name List],MATCH(B46,Table_Name[Category],0))</f>
        <v>Biceps[Exercise]</v>
      </c>
      <c r="E46" s="103" t="str">
        <f t="array" ref="E46">INDEX(Links[Link],MATCH(C46,Links[Exercise],0))</f>
        <v>https://youtu.be/MCjBeB844rU</v>
      </c>
      <c r="F46" s="106" t="str">
        <f t="shared" ref="F46:F52" si="30">HYPERLINK(E46,"Video")</f>
        <v>Video</v>
      </c>
      <c r="G46" s="109">
        <v>40</v>
      </c>
      <c r="H46" s="75" t="str">
        <f t="shared" ref="H46:H52" si="31">C46</f>
        <v xml:space="preserve">EZ Curl </v>
      </c>
      <c r="I46" s="76">
        <v>3</v>
      </c>
      <c r="J46" s="76">
        <f t="shared" ref="J46:J52" si="32">MROUND(((G46)*0.85),5)</f>
        <v>35</v>
      </c>
      <c r="K46" s="76" t="s">
        <v>11</v>
      </c>
      <c r="L46" s="76"/>
      <c r="M46" s="78"/>
      <c r="N46" s="88" t="str">
        <f t="shared" ref="N46:N52" si="33">C46</f>
        <v xml:space="preserve">EZ Curl </v>
      </c>
      <c r="O46" s="76">
        <f>I46+(S16)</f>
        <v>3</v>
      </c>
      <c r="P46" s="76">
        <f>MROUND((J46*1.02),5)</f>
        <v>35</v>
      </c>
      <c r="Q46" s="76" t="s">
        <v>11</v>
      </c>
      <c r="R46" s="76"/>
      <c r="S46" s="78"/>
      <c r="T46" s="57" t="str">
        <f t="shared" ref="T46:T52" si="34">C46</f>
        <v xml:space="preserve">EZ Curl </v>
      </c>
      <c r="U46" s="76">
        <f>O46+(Y16)</f>
        <v>3</v>
      </c>
      <c r="V46" s="76">
        <f>MROUND((J46*1.04),5)</f>
        <v>35</v>
      </c>
      <c r="W46" s="76" t="s">
        <v>12</v>
      </c>
      <c r="X46" s="76"/>
      <c r="Y46" s="78"/>
      <c r="Z46" s="13" t="str">
        <f>C46</f>
        <v xml:space="preserve">EZ Curl </v>
      </c>
      <c r="AA46" s="76">
        <f>U46+(AE16)</f>
        <v>3</v>
      </c>
      <c r="AB46" s="76">
        <f t="shared" ref="AB46:AB52" si="35">MROUND((P46*1.04),5)</f>
        <v>35</v>
      </c>
      <c r="AC46" s="76" t="s">
        <v>12</v>
      </c>
      <c r="AD46" s="76"/>
      <c r="AE46" s="78"/>
      <c r="AF46" s="13" t="str">
        <f>C46</f>
        <v xml:space="preserve">EZ Curl </v>
      </c>
      <c r="AG46" s="76">
        <f>AA46+(AK16)</f>
        <v>3</v>
      </c>
      <c r="AH46" s="76">
        <f t="shared" ref="AH46:AH52" si="36">MROUND((V46*1.04),5)</f>
        <v>35</v>
      </c>
      <c r="AI46" s="76" t="s">
        <v>12</v>
      </c>
      <c r="AJ46" s="76"/>
      <c r="AK46" s="78"/>
      <c r="AL46" s="75" t="str">
        <f t="shared" ref="AL46:AL52" si="37">C46</f>
        <v xml:space="preserve">EZ Curl </v>
      </c>
      <c r="AM46" s="76">
        <f>AG46+(AQ16)</f>
        <v>3</v>
      </c>
      <c r="AN46" s="76">
        <f t="shared" ref="AN46:AN52" si="38">MROUND((J46*1.1),5)</f>
        <v>40</v>
      </c>
      <c r="AO46" s="76" t="s">
        <v>13</v>
      </c>
      <c r="AP46" s="76"/>
      <c r="AQ46" s="77"/>
      <c r="AR46" s="75" t="str">
        <f t="shared" ref="AR46:AR52" si="39">C46</f>
        <v xml:space="preserve">EZ Curl </v>
      </c>
      <c r="AS46" s="76">
        <v>2</v>
      </c>
      <c r="AT46" s="79">
        <f t="shared" ref="AT46:AT52" si="40">MROUND((J46*0.5),5)</f>
        <v>20</v>
      </c>
      <c r="AU46" s="77" t="s">
        <v>14</v>
      </c>
    </row>
    <row r="47" spans="2:47" s="43" customFormat="1" ht="15.75" thickBot="1" x14ac:dyDescent="0.3">
      <c r="B47" s="97" t="s">
        <v>17</v>
      </c>
      <c r="C47" s="101" t="s">
        <v>53</v>
      </c>
      <c r="D47" s="93" t="str">
        <f t="array" ref="D47">INDEX(Table_Name[Name List],MATCH(B47,Table_Name[Category],0))</f>
        <v>Triceps[Exercise]</v>
      </c>
      <c r="E47" s="104" t="str">
        <f t="array" ref="E47">INDEX(Links[Link],MATCH(C47,Links[Exercise],0))</f>
        <v>https://youtu.be/B33bKk_r5PU</v>
      </c>
      <c r="F47" s="107" t="str">
        <f t="shared" si="30"/>
        <v>Video</v>
      </c>
      <c r="G47" s="110">
        <v>40</v>
      </c>
      <c r="H47" s="75" t="str">
        <f t="shared" si="31"/>
        <v>Cable Tricep Pushdown</v>
      </c>
      <c r="I47" s="76">
        <v>3</v>
      </c>
      <c r="J47" s="76">
        <f t="shared" si="32"/>
        <v>35</v>
      </c>
      <c r="K47" s="76" t="s">
        <v>11</v>
      </c>
      <c r="L47" s="76"/>
      <c r="M47" s="78"/>
      <c r="N47" s="88" t="str">
        <f t="shared" si="33"/>
        <v>Cable Tricep Pushdown</v>
      </c>
      <c r="O47" s="76">
        <f>I47+(S13)</f>
        <v>3</v>
      </c>
      <c r="P47" s="76">
        <f t="shared" ref="P47:P52" si="41">MROUND((J47*1.02),5)</f>
        <v>35</v>
      </c>
      <c r="Q47" s="76" t="s">
        <v>11</v>
      </c>
      <c r="R47" s="76"/>
      <c r="S47" s="78"/>
      <c r="T47" s="57" t="str">
        <f t="shared" si="34"/>
        <v>Cable Tricep Pushdown</v>
      </c>
      <c r="U47" s="76">
        <f>O47+(Y13)</f>
        <v>3</v>
      </c>
      <c r="V47" s="76">
        <f t="shared" ref="V47:V52" si="42">MROUND((J47*1.04),5)</f>
        <v>35</v>
      </c>
      <c r="W47" s="76" t="s">
        <v>12</v>
      </c>
      <c r="X47" s="76"/>
      <c r="Y47" s="78"/>
      <c r="Z47" s="13" t="str">
        <f t="shared" ref="Z47:Z52" si="43">C47</f>
        <v>Cable Tricep Pushdown</v>
      </c>
      <c r="AA47" s="76">
        <f>U47+(AE13)</f>
        <v>3</v>
      </c>
      <c r="AB47" s="76">
        <f t="shared" si="35"/>
        <v>35</v>
      </c>
      <c r="AC47" s="76" t="s">
        <v>12</v>
      </c>
      <c r="AD47" s="76"/>
      <c r="AE47" s="78"/>
      <c r="AF47" s="13" t="str">
        <f t="shared" ref="AF47:AF52" si="44">C47</f>
        <v>Cable Tricep Pushdown</v>
      </c>
      <c r="AG47" s="76">
        <f>AA47+(AK13)</f>
        <v>3</v>
      </c>
      <c r="AH47" s="76">
        <f t="shared" si="36"/>
        <v>35</v>
      </c>
      <c r="AI47" s="76" t="s">
        <v>12</v>
      </c>
      <c r="AJ47" s="76"/>
      <c r="AK47" s="78"/>
      <c r="AL47" s="75" t="str">
        <f t="shared" si="37"/>
        <v>Cable Tricep Pushdown</v>
      </c>
      <c r="AM47" s="76">
        <f>AG47+(AQ13)</f>
        <v>3</v>
      </c>
      <c r="AN47" s="76">
        <f t="shared" si="38"/>
        <v>40</v>
      </c>
      <c r="AO47" s="76" t="s">
        <v>13</v>
      </c>
      <c r="AP47" s="76"/>
      <c r="AQ47" s="77"/>
      <c r="AR47" s="75" t="str">
        <f t="shared" si="39"/>
        <v>Cable Tricep Pushdown</v>
      </c>
      <c r="AS47" s="76">
        <v>2</v>
      </c>
      <c r="AT47" s="79">
        <f t="shared" si="40"/>
        <v>20</v>
      </c>
      <c r="AU47" s="77" t="s">
        <v>14</v>
      </c>
    </row>
    <row r="48" spans="2:47" s="43" customFormat="1" ht="15.75" thickBot="1" x14ac:dyDescent="0.3">
      <c r="B48" s="97" t="s">
        <v>104</v>
      </c>
      <c r="C48" s="101" t="s">
        <v>35</v>
      </c>
      <c r="D48" s="93" t="str">
        <f t="array" ref="D48">INDEX(Table_Name[Name List],MATCH(B48,Table_Name[Category],0))</f>
        <v>Front_Delts[Exercise]</v>
      </c>
      <c r="E48" s="104" t="str">
        <f t="array" ref="E48">INDEX(Links[Link],MATCH(C48,Links[Exercise],0))</f>
        <v>https://youtu.be/RGFdTZznnRs</v>
      </c>
      <c r="F48" s="107" t="str">
        <f t="shared" si="30"/>
        <v>Video</v>
      </c>
      <c r="G48" s="110">
        <v>30</v>
      </c>
      <c r="H48" s="75" t="str">
        <f t="shared" si="31"/>
        <v>Seated Dumbbell Shoulder Press</v>
      </c>
      <c r="I48" s="76">
        <v>3</v>
      </c>
      <c r="J48" s="76">
        <f t="shared" si="32"/>
        <v>25</v>
      </c>
      <c r="K48" s="76" t="s">
        <v>11</v>
      </c>
      <c r="L48" s="76"/>
      <c r="M48" s="78"/>
      <c r="N48" s="88" t="str">
        <f t="shared" si="33"/>
        <v>Seated Dumbbell Shoulder Press</v>
      </c>
      <c r="O48" s="76">
        <f>I48+(S13)</f>
        <v>3</v>
      </c>
      <c r="P48" s="76">
        <f t="shared" si="41"/>
        <v>25</v>
      </c>
      <c r="Q48" s="76" t="s">
        <v>11</v>
      </c>
      <c r="R48" s="76"/>
      <c r="S48" s="78"/>
      <c r="T48" s="57" t="str">
        <f t="shared" si="34"/>
        <v>Seated Dumbbell Shoulder Press</v>
      </c>
      <c r="U48" s="76">
        <f>O48+(Y13)</f>
        <v>3</v>
      </c>
      <c r="V48" s="76">
        <f t="shared" si="42"/>
        <v>25</v>
      </c>
      <c r="W48" s="76" t="s">
        <v>12</v>
      </c>
      <c r="X48" s="76"/>
      <c r="Y48" s="78"/>
      <c r="Z48" s="13" t="str">
        <f t="shared" si="43"/>
        <v>Seated Dumbbell Shoulder Press</v>
      </c>
      <c r="AA48" s="76">
        <f>U48+(AE13)</f>
        <v>3</v>
      </c>
      <c r="AB48" s="76">
        <f t="shared" si="35"/>
        <v>25</v>
      </c>
      <c r="AC48" s="76" t="s">
        <v>12</v>
      </c>
      <c r="AD48" s="76"/>
      <c r="AE48" s="78"/>
      <c r="AF48" s="13" t="str">
        <f t="shared" si="44"/>
        <v>Seated Dumbbell Shoulder Press</v>
      </c>
      <c r="AG48" s="76">
        <f>AA48+(AK13)</f>
        <v>3</v>
      </c>
      <c r="AH48" s="76">
        <f t="shared" si="36"/>
        <v>25</v>
      </c>
      <c r="AI48" s="76" t="s">
        <v>12</v>
      </c>
      <c r="AJ48" s="76"/>
      <c r="AK48" s="78"/>
      <c r="AL48" s="75" t="str">
        <f t="shared" si="37"/>
        <v>Seated Dumbbell Shoulder Press</v>
      </c>
      <c r="AM48" s="76">
        <f>AG48+(AQ13)</f>
        <v>3</v>
      </c>
      <c r="AN48" s="76">
        <f t="shared" si="38"/>
        <v>30</v>
      </c>
      <c r="AO48" s="76" t="s">
        <v>13</v>
      </c>
      <c r="AP48" s="76"/>
      <c r="AQ48" s="77"/>
      <c r="AR48" s="75" t="str">
        <f t="shared" si="39"/>
        <v>Seated Dumbbell Shoulder Press</v>
      </c>
      <c r="AS48" s="76">
        <v>2</v>
      </c>
      <c r="AT48" s="79">
        <f t="shared" si="40"/>
        <v>15</v>
      </c>
      <c r="AU48" s="77" t="s">
        <v>14</v>
      </c>
    </row>
    <row r="49" spans="2:47" s="43" customFormat="1" ht="15.75" thickBot="1" x14ac:dyDescent="0.3">
      <c r="B49" s="97" t="s">
        <v>120</v>
      </c>
      <c r="C49" s="101" t="s">
        <v>122</v>
      </c>
      <c r="D49" s="93" t="str">
        <f t="array" ref="D49">INDEX(Table_Name[Name List],MATCH(B49,Table_Name[Category],0))</f>
        <v>Traps[Exercise]</v>
      </c>
      <c r="E49" s="104" t="str">
        <f t="array" ref="E49">INDEX(Links[Link],MATCH(C49,Links[Exercise],0))</f>
        <v>https://youtu.be/z3yCDRGrQTM</v>
      </c>
      <c r="F49" s="107" t="str">
        <f t="shared" si="30"/>
        <v>Video</v>
      </c>
      <c r="G49" s="110">
        <v>60</v>
      </c>
      <c r="H49" s="75" t="str">
        <f t="shared" si="31"/>
        <v>Dumbbell Shrug</v>
      </c>
      <c r="I49" s="76">
        <v>3</v>
      </c>
      <c r="J49" s="76">
        <f t="shared" si="32"/>
        <v>50</v>
      </c>
      <c r="K49" s="76" t="s">
        <v>11</v>
      </c>
      <c r="L49" s="76"/>
      <c r="M49" s="78"/>
      <c r="N49" s="88" t="str">
        <f t="shared" si="33"/>
        <v>Dumbbell Shrug</v>
      </c>
      <c r="O49" s="76">
        <f>I49+(S17)</f>
        <v>3</v>
      </c>
      <c r="P49" s="76">
        <f t="shared" si="41"/>
        <v>50</v>
      </c>
      <c r="Q49" s="76" t="s">
        <v>11</v>
      </c>
      <c r="R49" s="76"/>
      <c r="S49" s="78"/>
      <c r="T49" s="57" t="str">
        <f t="shared" si="34"/>
        <v>Dumbbell Shrug</v>
      </c>
      <c r="U49" s="76">
        <f>O49+(Y17)</f>
        <v>3</v>
      </c>
      <c r="V49" s="76">
        <f t="shared" si="42"/>
        <v>50</v>
      </c>
      <c r="W49" s="76" t="s">
        <v>12</v>
      </c>
      <c r="X49" s="76"/>
      <c r="Y49" s="78"/>
      <c r="Z49" s="13" t="str">
        <f t="shared" si="43"/>
        <v>Dumbbell Shrug</v>
      </c>
      <c r="AA49" s="76">
        <f>U49+(AE17)</f>
        <v>3</v>
      </c>
      <c r="AB49" s="76">
        <f t="shared" si="35"/>
        <v>50</v>
      </c>
      <c r="AC49" s="76" t="s">
        <v>12</v>
      </c>
      <c r="AD49" s="76"/>
      <c r="AE49" s="78"/>
      <c r="AF49" s="13" t="str">
        <f t="shared" si="44"/>
        <v>Dumbbell Shrug</v>
      </c>
      <c r="AG49" s="76">
        <f>AA49+(AK17)</f>
        <v>3</v>
      </c>
      <c r="AH49" s="76">
        <f t="shared" si="36"/>
        <v>50</v>
      </c>
      <c r="AI49" s="76" t="s">
        <v>12</v>
      </c>
      <c r="AJ49" s="76"/>
      <c r="AK49" s="78"/>
      <c r="AL49" s="75" t="str">
        <f t="shared" si="37"/>
        <v>Dumbbell Shrug</v>
      </c>
      <c r="AM49" s="76">
        <f>AG49+(AQ17)</f>
        <v>3</v>
      </c>
      <c r="AN49" s="76">
        <f t="shared" si="38"/>
        <v>55</v>
      </c>
      <c r="AO49" s="76" t="s">
        <v>13</v>
      </c>
      <c r="AP49" s="76"/>
      <c r="AQ49" s="77"/>
      <c r="AR49" s="75" t="str">
        <f t="shared" si="39"/>
        <v>Dumbbell Shrug</v>
      </c>
      <c r="AS49" s="76">
        <v>2</v>
      </c>
      <c r="AT49" s="79">
        <f t="shared" si="40"/>
        <v>25</v>
      </c>
      <c r="AU49" s="77" t="s">
        <v>14</v>
      </c>
    </row>
    <row r="50" spans="2:47" s="43" customFormat="1" ht="15.75" thickBot="1" x14ac:dyDescent="0.3">
      <c r="B50" s="97" t="s">
        <v>339</v>
      </c>
      <c r="C50" s="101" t="s">
        <v>164</v>
      </c>
      <c r="D50" s="93" t="str">
        <f t="array" ref="D50">INDEX(Table_Name[Name List],MATCH(B50,Table_Name[Category],0))</f>
        <v>Vertical_Back[Exercise]</v>
      </c>
      <c r="E50" s="104" t="str">
        <f t="array" ref="E50">INDEX(Links[Link],MATCH(C50,Links[Exercise],0))</f>
        <v>https://youtu.be/2PC8eYTte5w</v>
      </c>
      <c r="F50" s="107" t="str">
        <f t="shared" si="30"/>
        <v>Video</v>
      </c>
      <c r="G50" s="110">
        <v>100</v>
      </c>
      <c r="H50" s="75" t="str">
        <f t="shared" si="31"/>
        <v>Assisted Underhand Pullup</v>
      </c>
      <c r="I50" s="76">
        <v>2</v>
      </c>
      <c r="J50" s="76">
        <f t="shared" si="32"/>
        <v>85</v>
      </c>
      <c r="K50" s="76" t="s">
        <v>11</v>
      </c>
      <c r="L50" s="76"/>
      <c r="M50" s="78"/>
      <c r="N50" s="88" t="str">
        <f t="shared" si="33"/>
        <v>Assisted Underhand Pullup</v>
      </c>
      <c r="O50" s="76">
        <f>I50+(S16)</f>
        <v>2</v>
      </c>
      <c r="P50" s="76">
        <f t="shared" si="41"/>
        <v>85</v>
      </c>
      <c r="Q50" s="76" t="s">
        <v>11</v>
      </c>
      <c r="R50" s="76"/>
      <c r="S50" s="78"/>
      <c r="T50" s="57" t="str">
        <f t="shared" si="34"/>
        <v>Assisted Underhand Pullup</v>
      </c>
      <c r="U50" s="76">
        <f>O50+(Y16)</f>
        <v>2</v>
      </c>
      <c r="V50" s="76">
        <f t="shared" si="42"/>
        <v>90</v>
      </c>
      <c r="W50" s="76" t="s">
        <v>12</v>
      </c>
      <c r="X50" s="76"/>
      <c r="Y50" s="78"/>
      <c r="Z50" s="13" t="str">
        <f t="shared" si="43"/>
        <v>Assisted Underhand Pullup</v>
      </c>
      <c r="AA50" s="76">
        <f>U50+(AE16)</f>
        <v>2</v>
      </c>
      <c r="AB50" s="76">
        <f t="shared" si="35"/>
        <v>90</v>
      </c>
      <c r="AC50" s="76" t="s">
        <v>12</v>
      </c>
      <c r="AD50" s="76"/>
      <c r="AE50" s="78"/>
      <c r="AF50" s="13" t="str">
        <f t="shared" si="44"/>
        <v>Assisted Underhand Pullup</v>
      </c>
      <c r="AG50" s="76">
        <f>AA50+(AK16)</f>
        <v>2</v>
      </c>
      <c r="AH50" s="76">
        <f t="shared" si="36"/>
        <v>95</v>
      </c>
      <c r="AI50" s="76" t="s">
        <v>12</v>
      </c>
      <c r="AJ50" s="76"/>
      <c r="AK50" s="78"/>
      <c r="AL50" s="75" t="str">
        <f t="shared" si="37"/>
        <v>Assisted Underhand Pullup</v>
      </c>
      <c r="AM50" s="76">
        <f>AG50+(AQ16)</f>
        <v>2</v>
      </c>
      <c r="AN50" s="76">
        <f t="shared" si="38"/>
        <v>95</v>
      </c>
      <c r="AO50" s="76" t="s">
        <v>13</v>
      </c>
      <c r="AP50" s="76"/>
      <c r="AQ50" s="77"/>
      <c r="AR50" s="75" t="str">
        <f t="shared" si="39"/>
        <v>Assisted Underhand Pullup</v>
      </c>
      <c r="AS50" s="76">
        <v>2</v>
      </c>
      <c r="AT50" s="79">
        <f t="shared" si="40"/>
        <v>45</v>
      </c>
      <c r="AU50" s="77" t="s">
        <v>14</v>
      </c>
    </row>
    <row r="51" spans="2:47" s="43" customFormat="1" ht="15.75" thickBot="1" x14ac:dyDescent="0.3">
      <c r="B51" s="97" t="s">
        <v>343</v>
      </c>
      <c r="C51" s="101" t="s">
        <v>28</v>
      </c>
      <c r="D51" s="93" t="str">
        <f t="array" ref="D51">INDEX(Table_Name[Name List],MATCH(B51,Table_Name[Category],0))</f>
        <v>Incline_Push[Exercise]</v>
      </c>
      <c r="E51" s="104" t="str">
        <f t="array" ref="E51">INDEX(Links[Link],MATCH(C51,Links[Exercise],0))</f>
        <v>https://youtu.be/efDlxayx234</v>
      </c>
      <c r="F51" s="107" t="str">
        <f t="shared" si="30"/>
        <v>Video</v>
      </c>
      <c r="G51" s="110">
        <v>30</v>
      </c>
      <c r="H51" s="75" t="str">
        <f t="shared" si="31"/>
        <v>Low Incline Dumbbell Press</v>
      </c>
      <c r="I51" s="76">
        <v>2</v>
      </c>
      <c r="J51" s="76">
        <f t="shared" si="32"/>
        <v>25</v>
      </c>
      <c r="K51" s="76" t="s">
        <v>11</v>
      </c>
      <c r="L51" s="76"/>
      <c r="M51" s="78"/>
      <c r="N51" s="88" t="str">
        <f t="shared" si="33"/>
        <v>Low Incline Dumbbell Press</v>
      </c>
      <c r="O51" s="76">
        <f>I51+(S13)</f>
        <v>2</v>
      </c>
      <c r="P51" s="76">
        <f t="shared" si="41"/>
        <v>25</v>
      </c>
      <c r="Q51" s="76" t="s">
        <v>11</v>
      </c>
      <c r="R51" s="76"/>
      <c r="S51" s="78"/>
      <c r="T51" s="57" t="str">
        <f t="shared" si="34"/>
        <v>Low Incline Dumbbell Press</v>
      </c>
      <c r="U51" s="76">
        <f>O51+(Y13)</f>
        <v>2</v>
      </c>
      <c r="V51" s="76">
        <f t="shared" si="42"/>
        <v>25</v>
      </c>
      <c r="W51" s="76" t="s">
        <v>12</v>
      </c>
      <c r="X51" s="76"/>
      <c r="Y51" s="78"/>
      <c r="Z51" s="13" t="str">
        <f t="shared" si="43"/>
        <v>Low Incline Dumbbell Press</v>
      </c>
      <c r="AA51" s="76">
        <f>U51+(AE13)</f>
        <v>2</v>
      </c>
      <c r="AB51" s="76">
        <f t="shared" si="35"/>
        <v>25</v>
      </c>
      <c r="AC51" s="76" t="s">
        <v>12</v>
      </c>
      <c r="AD51" s="76"/>
      <c r="AE51" s="78"/>
      <c r="AF51" s="13" t="str">
        <f t="shared" si="44"/>
        <v>Low Incline Dumbbell Press</v>
      </c>
      <c r="AG51" s="76">
        <f>AA51+(AK13)</f>
        <v>2</v>
      </c>
      <c r="AH51" s="76">
        <f t="shared" si="36"/>
        <v>25</v>
      </c>
      <c r="AI51" s="76" t="s">
        <v>12</v>
      </c>
      <c r="AJ51" s="76"/>
      <c r="AK51" s="78"/>
      <c r="AL51" s="75" t="str">
        <f t="shared" si="37"/>
        <v>Low Incline Dumbbell Press</v>
      </c>
      <c r="AM51" s="76">
        <f>AG51+(AQ13)</f>
        <v>2</v>
      </c>
      <c r="AN51" s="76">
        <f t="shared" si="38"/>
        <v>30</v>
      </c>
      <c r="AO51" s="76" t="s">
        <v>13</v>
      </c>
      <c r="AP51" s="76"/>
      <c r="AQ51" s="77"/>
      <c r="AR51" s="75" t="str">
        <f t="shared" si="39"/>
        <v>Low Incline Dumbbell Press</v>
      </c>
      <c r="AS51" s="76">
        <v>2</v>
      </c>
      <c r="AT51" s="79">
        <f t="shared" si="40"/>
        <v>15</v>
      </c>
      <c r="AU51" s="77" t="s">
        <v>14</v>
      </c>
    </row>
    <row r="52" spans="2:47" s="43" customFormat="1" ht="15.75" thickBot="1" x14ac:dyDescent="0.3">
      <c r="B52" s="98" t="s">
        <v>77</v>
      </c>
      <c r="C52" s="102" t="s">
        <v>146</v>
      </c>
      <c r="D52" s="93" t="str">
        <f t="array" ref="D52">INDEX(Table_Name[Name List],MATCH(B52,Table_Name[Category],0))</f>
        <v>Abs[Exercise]</v>
      </c>
      <c r="E52" s="104" t="str">
        <f t="array" ref="E52">INDEX(Links[Link],MATCH(C52,Links[Exercise],0))</f>
        <v>https://youtu.be/5p-vP_XyNaA</v>
      </c>
      <c r="F52" s="108" t="str">
        <f t="shared" si="30"/>
        <v>Video</v>
      </c>
      <c r="G52" s="111">
        <v>167</v>
      </c>
      <c r="H52" s="81" t="str">
        <f t="shared" si="31"/>
        <v>Hanging Strait Leg Raise</v>
      </c>
      <c r="I52" s="82">
        <v>2</v>
      </c>
      <c r="J52" s="82">
        <f t="shared" si="32"/>
        <v>140</v>
      </c>
      <c r="K52" s="82" t="s">
        <v>11</v>
      </c>
      <c r="L52" s="82"/>
      <c r="M52" s="78"/>
      <c r="N52" s="81" t="str">
        <f t="shared" si="33"/>
        <v>Hanging Strait Leg Raise</v>
      </c>
      <c r="O52" s="82">
        <f>I52+(S18)</f>
        <v>2</v>
      </c>
      <c r="P52" s="76">
        <f t="shared" si="41"/>
        <v>145</v>
      </c>
      <c r="Q52" s="82" t="s">
        <v>11</v>
      </c>
      <c r="R52" s="82"/>
      <c r="S52" s="78"/>
      <c r="T52" s="83" t="str">
        <f t="shared" si="34"/>
        <v>Hanging Strait Leg Raise</v>
      </c>
      <c r="U52" s="82">
        <f>O52+(Y18)</f>
        <v>2</v>
      </c>
      <c r="V52" s="76">
        <f t="shared" si="42"/>
        <v>145</v>
      </c>
      <c r="W52" s="82" t="s">
        <v>12</v>
      </c>
      <c r="X52" s="82"/>
      <c r="Y52" s="78"/>
      <c r="Z52" s="81" t="str">
        <f t="shared" si="43"/>
        <v>Hanging Strait Leg Raise</v>
      </c>
      <c r="AA52" s="82">
        <f>U52+(AE18)</f>
        <v>2</v>
      </c>
      <c r="AB52" s="82">
        <f t="shared" si="35"/>
        <v>150</v>
      </c>
      <c r="AC52" s="82" t="s">
        <v>12</v>
      </c>
      <c r="AD52" s="82"/>
      <c r="AE52" s="78"/>
      <c r="AF52" s="13" t="str">
        <f t="shared" si="44"/>
        <v>Hanging Strait Leg Raise</v>
      </c>
      <c r="AG52" s="82">
        <f>AA52+(AK18)</f>
        <v>2</v>
      </c>
      <c r="AH52" s="82">
        <f t="shared" si="36"/>
        <v>150</v>
      </c>
      <c r="AI52" s="82" t="s">
        <v>12</v>
      </c>
      <c r="AJ52" s="82"/>
      <c r="AK52" s="78"/>
      <c r="AL52" s="81" t="str">
        <f t="shared" si="37"/>
        <v>Hanging Strait Leg Raise</v>
      </c>
      <c r="AM52" s="82">
        <f>AG52+(AQ18)</f>
        <v>2</v>
      </c>
      <c r="AN52" s="82">
        <f t="shared" si="38"/>
        <v>155</v>
      </c>
      <c r="AO52" s="82" t="s">
        <v>13</v>
      </c>
      <c r="AP52" s="82"/>
      <c r="AQ52" s="64"/>
      <c r="AR52" s="81" t="str">
        <f t="shared" si="39"/>
        <v>Hanging Strait Leg Raise</v>
      </c>
      <c r="AS52" s="82">
        <v>2</v>
      </c>
      <c r="AT52" s="84">
        <f t="shared" si="40"/>
        <v>70</v>
      </c>
      <c r="AU52" s="64" t="s">
        <v>14</v>
      </c>
    </row>
    <row r="53" spans="2:47" s="43" customFormat="1" x14ac:dyDescent="0.25">
      <c r="B53"/>
      <c r="C53" s="60"/>
      <c r="D53" s="35"/>
      <c r="E53" s="55"/>
      <c r="F53" s="56"/>
      <c r="G53" s="61"/>
      <c r="H53" s="35"/>
      <c r="I53" s="4"/>
      <c r="J53" s="4"/>
      <c r="K53" s="4"/>
      <c r="L53" s="4"/>
      <c r="M53" s="4"/>
      <c r="N53" s="35"/>
      <c r="O53" s="4"/>
      <c r="P53" s="170"/>
      <c r="Q53" s="4"/>
      <c r="R53" s="4"/>
      <c r="S53" s="4"/>
      <c r="T53" s="35"/>
      <c r="U53" s="4"/>
      <c r="V53" s="170"/>
      <c r="W53" s="4"/>
      <c r="X53" s="4"/>
      <c r="Y53" s="4"/>
      <c r="Z53" s="35"/>
      <c r="AA53" s="4"/>
      <c r="AB53" s="4"/>
      <c r="AC53" s="4"/>
      <c r="AD53" s="4"/>
      <c r="AE53" s="4"/>
      <c r="AF53" s="60"/>
      <c r="AG53" s="4"/>
      <c r="AH53" s="4"/>
      <c r="AI53" s="4"/>
      <c r="AJ53" s="4"/>
      <c r="AK53" s="4"/>
      <c r="AL53" s="35"/>
      <c r="AM53" s="4"/>
      <c r="AN53" s="4"/>
      <c r="AO53" s="4"/>
      <c r="AP53" s="4"/>
      <c r="AQ53" s="4"/>
      <c r="AR53" s="35"/>
      <c r="AS53" s="4"/>
      <c r="AT53" s="4"/>
      <c r="AU53" s="4"/>
    </row>
    <row r="54" spans="2:47" s="43" customFormat="1" x14ac:dyDescent="0.25">
      <c r="B54" s="17" t="s">
        <v>352</v>
      </c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  <c r="X54" s="4"/>
      <c r="Y54" s="4"/>
      <c r="Z54" s="35"/>
      <c r="AA54" s="4"/>
      <c r="AB54" s="4"/>
      <c r="AC54" s="4"/>
      <c r="AD54" s="4"/>
      <c r="AE54" s="4"/>
      <c r="AF54" s="35"/>
      <c r="AG54" s="4"/>
      <c r="AH54" s="4"/>
      <c r="AI54" s="4"/>
      <c r="AJ54" s="4"/>
      <c r="AK54" s="4"/>
      <c r="AL54" s="35"/>
      <c r="AM54" s="4"/>
      <c r="AN54" s="4"/>
      <c r="AO54" s="4"/>
      <c r="AP54" s="4"/>
      <c r="AQ54" s="4"/>
      <c r="AR54" s="35"/>
      <c r="AS54" s="4"/>
      <c r="AT54" s="4"/>
      <c r="AU54" s="4"/>
    </row>
    <row r="55" spans="2:47" s="43" customFormat="1" x14ac:dyDescent="0.25">
      <c r="B55" s="17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  <c r="AJ55" s="4"/>
      <c r="AK55" s="4"/>
      <c r="AL55" s="35"/>
      <c r="AM55" s="4"/>
      <c r="AN55" s="4"/>
      <c r="AO55" s="4"/>
      <c r="AP55" s="4"/>
      <c r="AQ55" s="4"/>
      <c r="AR55" s="35"/>
      <c r="AS55" s="4"/>
      <c r="AT55" s="4"/>
      <c r="AU55" s="4"/>
    </row>
    <row r="56" spans="2:47" s="43" customFormat="1" x14ac:dyDescent="0.25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  <c r="AJ56" s="4"/>
      <c r="AK56" s="4"/>
      <c r="AL56" s="35"/>
      <c r="AM56" s="4"/>
      <c r="AN56" s="4"/>
      <c r="AO56" s="4"/>
      <c r="AP56" s="4"/>
      <c r="AQ56" s="4"/>
      <c r="AR56" s="35"/>
      <c r="AS56" s="4"/>
      <c r="AT56" s="4"/>
      <c r="AU56" s="4"/>
    </row>
    <row r="57" spans="2:47" s="43" customFormat="1" x14ac:dyDescent="0.25">
      <c r="B57" s="17"/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  <c r="AJ57" s="4"/>
      <c r="AK57" s="4"/>
      <c r="AL57" s="35"/>
      <c r="AM57" s="4"/>
      <c r="AN57" s="4"/>
      <c r="AO57" s="4"/>
      <c r="AP57" s="4"/>
      <c r="AQ57" s="4"/>
      <c r="AR57" s="35"/>
      <c r="AS57" s="4"/>
      <c r="AT57" s="4"/>
      <c r="AU57" s="4"/>
    </row>
    <row r="58" spans="2:47" s="43" customFormat="1" x14ac:dyDescent="0.25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  <c r="AJ58" s="4"/>
      <c r="AK58" s="4"/>
      <c r="AL58" s="35"/>
      <c r="AM58" s="4"/>
      <c r="AN58" s="4"/>
      <c r="AO58" s="4"/>
      <c r="AP58" s="4"/>
      <c r="AQ58" s="4"/>
      <c r="AR58" s="35"/>
      <c r="AS58" s="4"/>
      <c r="AT58" s="4"/>
      <c r="AU58" s="4"/>
    </row>
    <row r="59" spans="2:47" ht="14.45" hidden="1" customHeight="1" x14ac:dyDescent="0.25">
      <c r="C59" t="s">
        <v>21</v>
      </c>
      <c r="E59" s="43"/>
    </row>
    <row r="60" spans="2:47" ht="14.45" hidden="1" customHeight="1" x14ac:dyDescent="0.25">
      <c r="C60">
        <v>2</v>
      </c>
      <c r="E60" s="43"/>
    </row>
    <row r="61" spans="2:47" ht="14.45" hidden="1" customHeight="1" x14ac:dyDescent="0.25">
      <c r="C61">
        <v>1</v>
      </c>
      <c r="E61" s="43"/>
    </row>
    <row r="62" spans="2:47" ht="14.45" hidden="1" customHeight="1" x14ac:dyDescent="0.25">
      <c r="C62">
        <v>0</v>
      </c>
      <c r="E62" s="43"/>
    </row>
    <row r="63" spans="2:47" ht="14.45" hidden="1" customHeight="1" x14ac:dyDescent="0.25">
      <c r="C63">
        <v>-1</v>
      </c>
      <c r="E63" s="43"/>
    </row>
    <row r="64" spans="2:47" ht="14.45" hidden="1" customHeight="1" x14ac:dyDescent="0.25">
      <c r="C64">
        <v>-2</v>
      </c>
      <c r="E64" s="43"/>
    </row>
    <row r="65" spans="1:9" ht="14.45" hidden="1" customHeight="1" x14ac:dyDescent="0.25">
      <c r="E65" s="43"/>
    </row>
    <row r="66" spans="1:9" ht="14.45" hidden="1" customHeight="1" x14ac:dyDescent="0.25">
      <c r="E66" s="43"/>
      <c r="F66" s="9"/>
      <c r="G66" s="9"/>
      <c r="H66" s="9"/>
    </row>
    <row r="67" spans="1:9" ht="14.45" hidden="1" customHeight="1" x14ac:dyDescent="0.25">
      <c r="A67" s="36" t="s">
        <v>77</v>
      </c>
      <c r="B67" s="47" t="s">
        <v>88</v>
      </c>
      <c r="C67" s="51" t="s">
        <v>294</v>
      </c>
      <c r="D67" s="9"/>
      <c r="E67" s="43"/>
      <c r="H67" s="13"/>
    </row>
    <row r="68" spans="1:9" ht="14.45" hidden="1" customHeight="1" x14ac:dyDescent="0.25">
      <c r="A68" s="13"/>
      <c r="B68" s="52" t="s">
        <v>109</v>
      </c>
      <c r="C68" s="47" t="s">
        <v>178</v>
      </c>
      <c r="D68" s="37"/>
      <c r="E68" s="43"/>
      <c r="H68" s="13"/>
    </row>
    <row r="69" spans="1:9" ht="14.45" hidden="1" customHeight="1" x14ac:dyDescent="0.25">
      <c r="A69" s="13"/>
      <c r="B69" s="52" t="s">
        <v>79</v>
      </c>
      <c r="C69" s="47" t="s">
        <v>179</v>
      </c>
      <c r="D69" s="37"/>
      <c r="E69" s="43"/>
      <c r="H69" s="13"/>
    </row>
    <row r="70" spans="1:9" ht="14.45" hidden="1" customHeight="1" x14ac:dyDescent="0.25">
      <c r="A70" s="13"/>
      <c r="B70" s="52" t="s">
        <v>80</v>
      </c>
      <c r="C70" s="47" t="s">
        <v>180</v>
      </c>
      <c r="D70" s="37"/>
      <c r="E70" s="43"/>
      <c r="H70" s="13"/>
    </row>
    <row r="71" spans="1:9" ht="14.45" hidden="1" customHeight="1" x14ac:dyDescent="0.25">
      <c r="A71" s="13"/>
      <c r="B71" s="52" t="s">
        <v>78</v>
      </c>
      <c r="C71" s="47" t="s">
        <v>181</v>
      </c>
      <c r="D71" s="37"/>
      <c r="E71" s="43"/>
      <c r="H71" s="13"/>
    </row>
    <row r="72" spans="1:9" ht="14.45" hidden="1" customHeight="1" x14ac:dyDescent="0.25">
      <c r="A72" s="13"/>
      <c r="B72" s="52" t="s">
        <v>110</v>
      </c>
      <c r="C72" s="52" t="s">
        <v>182</v>
      </c>
      <c r="D72" s="39"/>
      <c r="E72" s="43"/>
      <c r="H72" s="13"/>
    </row>
    <row r="73" spans="1:9" ht="14.45" hidden="1" customHeight="1" x14ac:dyDescent="0.25">
      <c r="A73" s="13"/>
      <c r="B73" s="52" t="s">
        <v>81</v>
      </c>
      <c r="C73" s="47" t="s">
        <v>183</v>
      </c>
      <c r="D73" s="37"/>
      <c r="E73" s="43"/>
      <c r="H73" s="13"/>
    </row>
    <row r="74" spans="1:9" ht="14.45" hidden="1" customHeight="1" x14ac:dyDescent="0.25">
      <c r="A74" s="13"/>
      <c r="B74" s="52" t="s">
        <v>146</v>
      </c>
      <c r="C74" s="47" t="s">
        <v>184</v>
      </c>
      <c r="D74" s="37"/>
      <c r="E74" s="43"/>
      <c r="H74" s="37"/>
      <c r="I74" s="37"/>
    </row>
    <row r="75" spans="1:9" ht="14.45" hidden="1" customHeight="1" x14ac:dyDescent="0.25">
      <c r="A75" s="37"/>
      <c r="B75" s="47"/>
      <c r="C75" s="51"/>
      <c r="D75" s="9"/>
      <c r="E75" s="43"/>
    </row>
    <row r="76" spans="1:9" ht="14.45" hidden="1" customHeight="1" x14ac:dyDescent="0.25">
      <c r="A76" s="36" t="s">
        <v>19</v>
      </c>
      <c r="B76" s="48" t="s">
        <v>88</v>
      </c>
      <c r="C76" s="53" t="s">
        <v>294</v>
      </c>
      <c r="D76" s="42"/>
      <c r="E76" s="43"/>
      <c r="H76" s="36"/>
      <c r="I76" s="37"/>
    </row>
    <row r="77" spans="1:9" ht="14.45" hidden="1" customHeight="1" x14ac:dyDescent="0.25">
      <c r="A77" s="13"/>
      <c r="B77" s="52" t="s">
        <v>111</v>
      </c>
      <c r="C77" s="47" t="s">
        <v>185</v>
      </c>
      <c r="D77" s="37"/>
      <c r="E77" s="43"/>
      <c r="H77" s="13"/>
    </row>
    <row r="78" spans="1:9" ht="14.45" hidden="1" customHeight="1" x14ac:dyDescent="0.25">
      <c r="A78" s="13"/>
      <c r="B78" s="52" t="s">
        <v>75</v>
      </c>
      <c r="C78" s="47" t="s">
        <v>186</v>
      </c>
      <c r="D78" s="37"/>
      <c r="E78" s="43"/>
      <c r="H78" s="13"/>
    </row>
    <row r="79" spans="1:9" ht="14.45" hidden="1" customHeight="1" x14ac:dyDescent="0.25">
      <c r="A79" s="13"/>
      <c r="B79" s="52" t="s">
        <v>74</v>
      </c>
      <c r="C79" s="47" t="s">
        <v>187</v>
      </c>
      <c r="D79" s="37"/>
      <c r="E79" s="43"/>
      <c r="H79" s="13"/>
    </row>
    <row r="80" spans="1:9" ht="14.45" hidden="1" customHeight="1" x14ac:dyDescent="0.25">
      <c r="A80" s="13"/>
      <c r="B80" s="52" t="s">
        <v>76</v>
      </c>
      <c r="C80" s="47" t="s">
        <v>188</v>
      </c>
      <c r="D80" s="37"/>
      <c r="E80" s="43"/>
      <c r="H80" s="13"/>
    </row>
    <row r="81" spans="1:9" ht="14.45" hidden="1" customHeight="1" x14ac:dyDescent="0.25">
      <c r="A81" s="37"/>
      <c r="B81" s="47"/>
      <c r="C81" s="51"/>
      <c r="D81" s="9"/>
      <c r="E81" s="43"/>
      <c r="H81" s="37"/>
      <c r="I81" s="37"/>
    </row>
    <row r="82" spans="1:9" ht="14.45" hidden="1" customHeight="1" x14ac:dyDescent="0.25">
      <c r="A82" s="36" t="s">
        <v>18</v>
      </c>
      <c r="B82" s="48" t="s">
        <v>88</v>
      </c>
      <c r="C82" s="53" t="s">
        <v>294</v>
      </c>
      <c r="D82" s="42"/>
      <c r="E82" s="43"/>
      <c r="H82" s="36"/>
      <c r="I82" s="37"/>
    </row>
    <row r="83" spans="1:9" ht="14.45" hidden="1" customHeight="1" x14ac:dyDescent="0.25">
      <c r="A83" s="13"/>
      <c r="B83" s="52" t="s">
        <v>61</v>
      </c>
      <c r="C83" s="47" t="s">
        <v>189</v>
      </c>
      <c r="D83" s="37"/>
      <c r="E83" s="43"/>
      <c r="H83" s="13"/>
    </row>
    <row r="84" spans="1:9" ht="14.45" hidden="1" customHeight="1" x14ac:dyDescent="0.25">
      <c r="A84" s="13"/>
      <c r="B84" s="52" t="s">
        <v>62</v>
      </c>
      <c r="C84" s="47" t="s">
        <v>190</v>
      </c>
      <c r="D84" s="37"/>
      <c r="E84" s="43"/>
      <c r="H84" s="13"/>
    </row>
    <row r="85" spans="1:9" ht="14.45" hidden="1" customHeight="1" x14ac:dyDescent="0.25">
      <c r="A85" s="13"/>
      <c r="B85" s="52" t="s">
        <v>112</v>
      </c>
      <c r="C85" s="47" t="s">
        <v>191</v>
      </c>
      <c r="D85" s="37"/>
      <c r="E85" s="43"/>
      <c r="H85" s="13"/>
    </row>
    <row r="86" spans="1:9" ht="14.45" hidden="1" customHeight="1" x14ac:dyDescent="0.25">
      <c r="A86" s="13"/>
      <c r="B86" s="52" t="s">
        <v>63</v>
      </c>
      <c r="C86" s="47" t="s">
        <v>192</v>
      </c>
      <c r="D86" s="37"/>
      <c r="E86" s="43"/>
      <c r="H86" s="13"/>
    </row>
    <row r="87" spans="1:9" ht="14.45" hidden="1" customHeight="1" x14ac:dyDescent="0.25">
      <c r="A87" s="13"/>
      <c r="B87" s="52" t="s">
        <v>113</v>
      </c>
      <c r="C87" s="47" t="s">
        <v>193</v>
      </c>
      <c r="D87" s="37"/>
      <c r="E87" s="43"/>
      <c r="H87" s="13"/>
    </row>
    <row r="88" spans="1:9" ht="14.45" hidden="1" customHeight="1" x14ac:dyDescent="0.25">
      <c r="A88" s="13"/>
      <c r="B88" s="52" t="s">
        <v>114</v>
      </c>
      <c r="C88" s="47" t="s">
        <v>194</v>
      </c>
      <c r="D88" s="37"/>
      <c r="E88" s="43"/>
      <c r="H88" s="13"/>
    </row>
    <row r="89" spans="1:9" ht="14.45" hidden="1" customHeight="1" x14ac:dyDescent="0.25">
      <c r="A89" s="13"/>
      <c r="B89" s="52" t="s">
        <v>147</v>
      </c>
      <c r="C89" s="47" t="s">
        <v>195</v>
      </c>
      <c r="D89" s="37"/>
      <c r="E89" s="43"/>
      <c r="H89" s="13"/>
    </row>
    <row r="90" spans="1:9" ht="14.45" hidden="1" customHeight="1" x14ac:dyDescent="0.25">
      <c r="A90" s="13"/>
      <c r="B90" s="52" t="s">
        <v>148</v>
      </c>
      <c r="C90" s="47" t="s">
        <v>196</v>
      </c>
      <c r="D90" s="37"/>
      <c r="E90" s="43"/>
      <c r="H90" s="13"/>
    </row>
    <row r="91" spans="1:9" ht="14.45" hidden="1" customHeight="1" x14ac:dyDescent="0.25">
      <c r="A91" s="13"/>
      <c r="B91" s="52" t="s">
        <v>115</v>
      </c>
      <c r="C91" s="52" t="s">
        <v>197</v>
      </c>
      <c r="D91" s="39"/>
      <c r="E91" s="43"/>
      <c r="H91" s="13"/>
    </row>
    <row r="92" spans="1:9" ht="14.45" hidden="1" customHeight="1" x14ac:dyDescent="0.25">
      <c r="A92" s="13"/>
      <c r="B92" s="52" t="s">
        <v>116</v>
      </c>
      <c r="C92" s="47" t="s">
        <v>198</v>
      </c>
      <c r="D92" s="37"/>
      <c r="E92" s="43"/>
      <c r="H92" s="13"/>
    </row>
    <row r="93" spans="1:9" ht="14.45" hidden="1" customHeight="1" x14ac:dyDescent="0.25">
      <c r="A93" s="13"/>
      <c r="B93" s="52" t="s">
        <v>149</v>
      </c>
      <c r="C93" s="47" t="s">
        <v>199</v>
      </c>
      <c r="D93" s="37"/>
      <c r="E93" s="43"/>
      <c r="H93" s="13"/>
    </row>
    <row r="94" spans="1:9" ht="14.45" hidden="1" customHeight="1" x14ac:dyDescent="0.25">
      <c r="A94" s="37"/>
      <c r="B94" s="47"/>
      <c r="C94" s="49"/>
      <c r="E94" s="43"/>
      <c r="H94" s="37"/>
      <c r="I94" s="37"/>
    </row>
    <row r="95" spans="1:9" ht="14.45" hidden="1" customHeight="1" x14ac:dyDescent="0.25">
      <c r="A95" s="36" t="s">
        <v>117</v>
      </c>
      <c r="B95" s="48" t="s">
        <v>88</v>
      </c>
      <c r="C95" s="53" t="s">
        <v>294</v>
      </c>
      <c r="D95" s="42"/>
      <c r="E95" s="43"/>
      <c r="H95" s="36"/>
      <c r="I95" s="37"/>
    </row>
    <row r="96" spans="1:9" ht="14.45" hidden="1" customHeight="1" x14ac:dyDescent="0.25">
      <c r="A96" s="13"/>
      <c r="B96" s="52" t="s">
        <v>51</v>
      </c>
      <c r="C96" s="47" t="s">
        <v>200</v>
      </c>
      <c r="D96" s="37"/>
      <c r="E96" s="43"/>
      <c r="H96" s="13"/>
    </row>
    <row r="97" spans="1:8" ht="14.45" hidden="1" customHeight="1" x14ac:dyDescent="0.25">
      <c r="A97" s="13"/>
      <c r="B97" s="52" t="s">
        <v>118</v>
      </c>
      <c r="C97" s="47" t="s">
        <v>201</v>
      </c>
      <c r="D97" s="37"/>
      <c r="E97" s="43"/>
      <c r="H97" s="13"/>
    </row>
    <row r="98" spans="1:8" ht="14.45" hidden="1" customHeight="1" x14ac:dyDescent="0.25">
      <c r="A98" s="13"/>
      <c r="B98" s="52" t="s">
        <v>150</v>
      </c>
      <c r="C98" s="47" t="s">
        <v>202</v>
      </c>
      <c r="D98" s="37"/>
      <c r="E98" s="43"/>
      <c r="H98" s="13"/>
    </row>
    <row r="99" spans="1:8" ht="14.45" hidden="1" customHeight="1" x14ac:dyDescent="0.25">
      <c r="A99" s="13"/>
      <c r="B99" s="52" t="s">
        <v>50</v>
      </c>
      <c r="C99" s="47" t="s">
        <v>203</v>
      </c>
      <c r="D99" s="37"/>
      <c r="E99" s="43"/>
      <c r="H99" s="13"/>
    </row>
    <row r="100" spans="1:8" ht="14.45" hidden="1" customHeight="1" x14ac:dyDescent="0.25">
      <c r="A100" s="37"/>
      <c r="B100" s="47"/>
      <c r="C100" s="47"/>
      <c r="D100" s="37"/>
      <c r="E100" s="43"/>
      <c r="H100" s="37"/>
    </row>
    <row r="101" spans="1:8" ht="14.45" hidden="1" customHeight="1" x14ac:dyDescent="0.25">
      <c r="A101" s="38" t="s">
        <v>105</v>
      </c>
      <c r="B101" s="48" t="s">
        <v>88</v>
      </c>
      <c r="C101" s="53" t="s">
        <v>294</v>
      </c>
      <c r="D101" s="42"/>
      <c r="E101" s="43"/>
      <c r="H101" s="38"/>
    </row>
    <row r="102" spans="1:8" ht="14.45" hidden="1" customHeight="1" x14ac:dyDescent="0.25">
      <c r="A102" s="13"/>
      <c r="B102" s="52" t="s">
        <v>46</v>
      </c>
      <c r="C102" s="47" t="s">
        <v>204</v>
      </c>
      <c r="D102" s="37"/>
      <c r="E102" s="43"/>
      <c r="H102" s="13"/>
    </row>
    <row r="103" spans="1:8" ht="14.45" hidden="1" customHeight="1" x14ac:dyDescent="0.25">
      <c r="A103" s="13"/>
      <c r="B103" s="52" t="s">
        <v>47</v>
      </c>
      <c r="C103" s="47" t="s">
        <v>205</v>
      </c>
      <c r="D103" s="37"/>
      <c r="E103" s="43"/>
      <c r="H103" s="13"/>
    </row>
    <row r="104" spans="1:8" ht="14.45" hidden="1" customHeight="1" x14ac:dyDescent="0.25">
      <c r="A104" s="13"/>
      <c r="B104" s="52" t="s">
        <v>49</v>
      </c>
      <c r="C104" s="47" t="s">
        <v>206</v>
      </c>
      <c r="D104" s="37"/>
      <c r="E104" s="43"/>
      <c r="H104" s="13"/>
    </row>
    <row r="105" spans="1:8" ht="14.45" hidden="1" customHeight="1" x14ac:dyDescent="0.25">
      <c r="A105" s="13"/>
      <c r="B105" s="52" t="s">
        <v>48</v>
      </c>
      <c r="C105" s="47" t="s">
        <v>207</v>
      </c>
      <c r="D105" s="37"/>
      <c r="E105" s="43"/>
      <c r="H105" s="13"/>
    </row>
    <row r="106" spans="1:8" ht="14.45" hidden="1" customHeight="1" x14ac:dyDescent="0.25">
      <c r="A106" s="13"/>
      <c r="B106" s="52" t="s">
        <v>119</v>
      </c>
      <c r="C106" s="47" t="s">
        <v>208</v>
      </c>
      <c r="D106" s="37"/>
      <c r="E106" s="43"/>
      <c r="H106" s="13"/>
    </row>
    <row r="107" spans="1:8" ht="14.45" hidden="1" customHeight="1" x14ac:dyDescent="0.25">
      <c r="A107" s="37"/>
      <c r="B107" s="47"/>
      <c r="C107" s="47"/>
      <c r="D107" s="37"/>
      <c r="E107" s="43"/>
      <c r="H107" s="37"/>
    </row>
    <row r="108" spans="1:8" ht="14.45" hidden="1" customHeight="1" x14ac:dyDescent="0.25">
      <c r="A108" s="38" t="s">
        <v>120</v>
      </c>
      <c r="B108" s="48" t="s">
        <v>88</v>
      </c>
      <c r="C108" s="53" t="s">
        <v>294</v>
      </c>
      <c r="D108" s="42"/>
      <c r="E108" s="43"/>
      <c r="H108" s="38"/>
    </row>
    <row r="109" spans="1:8" ht="14.45" hidden="1" customHeight="1" x14ac:dyDescent="0.25">
      <c r="A109" s="13"/>
      <c r="B109" s="52" t="s">
        <v>151</v>
      </c>
      <c r="C109" s="47" t="s">
        <v>209</v>
      </c>
      <c r="D109" s="37"/>
      <c r="E109" s="43"/>
      <c r="H109" s="13"/>
    </row>
    <row r="110" spans="1:8" ht="14.45" hidden="1" customHeight="1" x14ac:dyDescent="0.25">
      <c r="A110" s="13"/>
      <c r="B110" s="52" t="s">
        <v>121</v>
      </c>
      <c r="C110" s="47" t="s">
        <v>210</v>
      </c>
      <c r="D110" s="37"/>
      <c r="E110" s="43"/>
      <c r="H110" s="13"/>
    </row>
    <row r="111" spans="1:8" ht="14.45" hidden="1" customHeight="1" x14ac:dyDescent="0.25">
      <c r="A111" s="13"/>
      <c r="B111" s="52" t="s">
        <v>122</v>
      </c>
      <c r="C111" s="47" t="s">
        <v>211</v>
      </c>
      <c r="D111" s="37"/>
      <c r="E111" s="43"/>
      <c r="H111" s="13"/>
    </row>
    <row r="112" spans="1:8" ht="14.45" hidden="1" customHeight="1" x14ac:dyDescent="0.25">
      <c r="A112" s="13"/>
      <c r="B112" s="52" t="s">
        <v>123</v>
      </c>
      <c r="C112" s="47" t="s">
        <v>212</v>
      </c>
      <c r="D112" s="37"/>
      <c r="E112" s="43"/>
      <c r="H112" s="13"/>
    </row>
    <row r="113" spans="1:8" ht="14.45" hidden="1" customHeight="1" x14ac:dyDescent="0.25">
      <c r="A113" s="13"/>
      <c r="B113" s="52"/>
      <c r="C113" s="47"/>
      <c r="D113" s="37"/>
      <c r="E113" s="43"/>
      <c r="H113" s="13"/>
    </row>
    <row r="114" spans="1:8" ht="14.45" hidden="1" customHeight="1" x14ac:dyDescent="0.25">
      <c r="A114" s="38" t="s">
        <v>52</v>
      </c>
      <c r="B114" s="48" t="s">
        <v>88</v>
      </c>
      <c r="C114" s="53" t="s">
        <v>294</v>
      </c>
      <c r="D114" s="42"/>
      <c r="E114" s="43"/>
      <c r="H114" s="38"/>
    </row>
    <row r="115" spans="1:8" ht="14.45" hidden="1" customHeight="1" x14ac:dyDescent="0.25">
      <c r="A115" s="13"/>
      <c r="B115" s="52" t="s">
        <v>152</v>
      </c>
      <c r="C115" s="47" t="s">
        <v>213</v>
      </c>
      <c r="D115" s="37"/>
      <c r="E115" s="43"/>
      <c r="H115" s="13"/>
    </row>
    <row r="116" spans="1:8" ht="14.45" hidden="1" customHeight="1" x14ac:dyDescent="0.25">
      <c r="A116" s="13"/>
      <c r="B116" s="52" t="s">
        <v>124</v>
      </c>
      <c r="C116" s="47" t="s">
        <v>214</v>
      </c>
      <c r="D116" s="37"/>
      <c r="E116" s="43"/>
      <c r="H116" s="13"/>
    </row>
    <row r="117" spans="1:8" ht="14.45" hidden="1" customHeight="1" x14ac:dyDescent="0.25">
      <c r="A117" s="13"/>
      <c r="B117" s="52" t="s">
        <v>56</v>
      </c>
      <c r="C117" s="47" t="s">
        <v>215</v>
      </c>
      <c r="D117" s="37"/>
      <c r="E117" s="43"/>
      <c r="H117" s="13"/>
    </row>
    <row r="118" spans="1:8" ht="14.45" hidden="1" customHeight="1" x14ac:dyDescent="0.25">
      <c r="A118" s="13"/>
      <c r="B118" s="52" t="s">
        <v>55</v>
      </c>
      <c r="C118" s="47" t="s">
        <v>216</v>
      </c>
      <c r="D118" s="37"/>
      <c r="E118" s="43"/>
      <c r="H118" s="13"/>
    </row>
    <row r="119" spans="1:8" ht="14.45" hidden="1" customHeight="1" x14ac:dyDescent="0.25">
      <c r="A119" s="13"/>
      <c r="B119" s="52" t="s">
        <v>153</v>
      </c>
      <c r="C119" s="47" t="s">
        <v>217</v>
      </c>
      <c r="D119" s="37"/>
      <c r="E119" s="43"/>
      <c r="H119" s="13"/>
    </row>
    <row r="120" spans="1:8" ht="14.45" hidden="1" customHeight="1" x14ac:dyDescent="0.25">
      <c r="A120" s="13"/>
      <c r="B120" s="52" t="s">
        <v>53</v>
      </c>
      <c r="C120" s="47" t="s">
        <v>218</v>
      </c>
      <c r="D120" s="37"/>
      <c r="E120" s="43"/>
      <c r="H120" s="13"/>
    </row>
    <row r="121" spans="1:8" ht="14.45" hidden="1" customHeight="1" x14ac:dyDescent="0.25">
      <c r="A121" s="13"/>
      <c r="B121" s="52" t="s">
        <v>125</v>
      </c>
      <c r="C121" s="47" t="s">
        <v>219</v>
      </c>
      <c r="D121" s="37"/>
      <c r="E121" s="43"/>
      <c r="H121" s="13"/>
    </row>
    <row r="122" spans="1:8" ht="14.45" hidden="1" customHeight="1" x14ac:dyDescent="0.25">
      <c r="A122" s="13"/>
      <c r="B122" s="52" t="s">
        <v>54</v>
      </c>
      <c r="C122" s="47" t="s">
        <v>220</v>
      </c>
      <c r="D122" s="37"/>
      <c r="E122" s="43"/>
      <c r="H122" s="13"/>
    </row>
    <row r="123" spans="1:8" ht="14.45" hidden="1" customHeight="1" x14ac:dyDescent="0.25">
      <c r="A123" s="37"/>
      <c r="B123" s="47"/>
      <c r="C123" s="47"/>
      <c r="D123" s="37"/>
      <c r="E123" s="43"/>
      <c r="H123" s="37"/>
    </row>
    <row r="124" spans="1:8" ht="14.45" hidden="1" customHeight="1" x14ac:dyDescent="0.25">
      <c r="A124" s="38" t="s">
        <v>57</v>
      </c>
      <c r="B124" s="48" t="s">
        <v>88</v>
      </c>
      <c r="C124" s="53" t="s">
        <v>294</v>
      </c>
      <c r="D124" s="42"/>
      <c r="E124" s="43"/>
      <c r="H124" s="38"/>
    </row>
    <row r="125" spans="1:8" ht="14.45" hidden="1" customHeight="1" x14ac:dyDescent="0.25">
      <c r="A125" s="13"/>
      <c r="B125" s="52" t="s">
        <v>59</v>
      </c>
      <c r="C125" s="47" t="s">
        <v>221</v>
      </c>
      <c r="D125" s="37"/>
      <c r="E125" s="43"/>
      <c r="H125" s="13"/>
    </row>
    <row r="126" spans="1:8" ht="14.45" hidden="1" customHeight="1" x14ac:dyDescent="0.25">
      <c r="A126" s="13"/>
      <c r="B126" s="52" t="s">
        <v>58</v>
      </c>
      <c r="C126" s="47" t="s">
        <v>222</v>
      </c>
      <c r="D126" s="37"/>
      <c r="E126" s="43"/>
      <c r="H126" s="13"/>
    </row>
    <row r="127" spans="1:8" ht="14.45" hidden="1" customHeight="1" x14ac:dyDescent="0.25">
      <c r="A127" s="13"/>
      <c r="B127" s="52" t="s">
        <v>154</v>
      </c>
      <c r="C127" s="47" t="s">
        <v>223</v>
      </c>
      <c r="D127" s="37"/>
      <c r="E127" s="43"/>
      <c r="H127" s="13"/>
    </row>
    <row r="128" spans="1:8" ht="14.45" hidden="1" customHeight="1" x14ac:dyDescent="0.25">
      <c r="A128" s="13"/>
      <c r="B128" s="52" t="s">
        <v>155</v>
      </c>
      <c r="C128" s="47" t="s">
        <v>224</v>
      </c>
      <c r="D128" s="37"/>
      <c r="E128" s="43"/>
      <c r="H128" s="13"/>
    </row>
    <row r="129" spans="1:8" ht="14.45" hidden="1" customHeight="1" x14ac:dyDescent="0.25">
      <c r="A129" s="13"/>
      <c r="B129" s="52" t="s">
        <v>60</v>
      </c>
      <c r="C129" s="47" t="s">
        <v>225</v>
      </c>
      <c r="D129" s="37"/>
      <c r="E129" s="43"/>
      <c r="H129" s="13"/>
    </row>
    <row r="130" spans="1:8" ht="14.45" hidden="1" customHeight="1" x14ac:dyDescent="0.25">
      <c r="A130" s="37"/>
      <c r="B130" s="47"/>
      <c r="C130" s="47"/>
      <c r="D130" s="37"/>
      <c r="E130" s="43"/>
      <c r="H130" s="37"/>
    </row>
    <row r="131" spans="1:8" ht="14.45" hidden="1" customHeight="1" x14ac:dyDescent="0.25">
      <c r="A131" s="36" t="s">
        <v>126</v>
      </c>
      <c r="B131" s="48" t="s">
        <v>88</v>
      </c>
      <c r="C131" s="53" t="s">
        <v>294</v>
      </c>
      <c r="D131" s="42"/>
      <c r="E131" s="43"/>
      <c r="H131" s="36"/>
    </row>
    <row r="132" spans="1:8" ht="14.45" hidden="1" customHeight="1" x14ac:dyDescent="0.25">
      <c r="A132" s="13"/>
      <c r="B132" s="52" t="s">
        <v>156</v>
      </c>
      <c r="C132" s="47" t="s">
        <v>226</v>
      </c>
      <c r="D132" s="37"/>
      <c r="E132" s="43"/>
      <c r="H132" s="13"/>
    </row>
    <row r="133" spans="1:8" ht="14.45" hidden="1" customHeight="1" x14ac:dyDescent="0.25">
      <c r="A133" s="13"/>
      <c r="B133" s="52" t="s">
        <v>157</v>
      </c>
      <c r="C133" s="47" t="s">
        <v>227</v>
      </c>
      <c r="D133" s="37"/>
      <c r="E133" s="43"/>
      <c r="H133" s="13"/>
    </row>
    <row r="134" spans="1:8" ht="14.45" hidden="1" customHeight="1" x14ac:dyDescent="0.25">
      <c r="A134" s="13"/>
      <c r="B134" s="52" t="s">
        <v>158</v>
      </c>
      <c r="C134" s="47" t="s">
        <v>228</v>
      </c>
      <c r="D134" s="37"/>
      <c r="E134" s="43"/>
      <c r="H134" s="13"/>
    </row>
    <row r="135" spans="1:8" ht="14.45" hidden="1" customHeight="1" x14ac:dyDescent="0.25">
      <c r="A135" s="13"/>
      <c r="B135" s="52" t="s">
        <v>42</v>
      </c>
      <c r="C135" s="47" t="s">
        <v>229</v>
      </c>
      <c r="D135" s="37"/>
      <c r="E135" s="43"/>
      <c r="H135" s="13"/>
    </row>
    <row r="136" spans="1:8" ht="14.45" hidden="1" customHeight="1" x14ac:dyDescent="0.25">
      <c r="A136" s="13"/>
      <c r="B136" s="52" t="s">
        <v>127</v>
      </c>
      <c r="C136" s="47" t="s">
        <v>230</v>
      </c>
      <c r="D136" s="37"/>
      <c r="E136" s="43"/>
      <c r="H136" s="13"/>
    </row>
    <row r="137" spans="1:8" ht="14.45" hidden="1" customHeight="1" x14ac:dyDescent="0.25">
      <c r="A137" s="13"/>
      <c r="B137" s="52" t="s">
        <v>128</v>
      </c>
      <c r="C137" s="47" t="s">
        <v>231</v>
      </c>
      <c r="D137" s="37"/>
      <c r="E137" s="43"/>
      <c r="H137" s="13"/>
    </row>
    <row r="138" spans="1:8" ht="14.45" hidden="1" customHeight="1" x14ac:dyDescent="0.25">
      <c r="A138" s="13"/>
      <c r="B138" s="52" t="s">
        <v>41</v>
      </c>
      <c r="C138" s="47" t="s">
        <v>232</v>
      </c>
      <c r="D138" s="37"/>
      <c r="E138" s="43"/>
      <c r="H138" s="13"/>
    </row>
    <row r="139" spans="1:8" ht="14.45" hidden="1" customHeight="1" x14ac:dyDescent="0.25">
      <c r="A139" s="13"/>
      <c r="B139" s="52" t="s">
        <v>129</v>
      </c>
      <c r="C139" s="47" t="s">
        <v>233</v>
      </c>
      <c r="D139" s="37"/>
      <c r="E139" s="43"/>
      <c r="H139" s="13"/>
    </row>
    <row r="140" spans="1:8" ht="14.45" hidden="1" customHeight="1" x14ac:dyDescent="0.25">
      <c r="A140" s="37"/>
      <c r="B140" s="47"/>
      <c r="C140" s="47"/>
      <c r="D140" s="37"/>
      <c r="E140" s="43"/>
      <c r="H140" s="37"/>
    </row>
    <row r="141" spans="1:8" ht="14.45" hidden="1" customHeight="1" x14ac:dyDescent="0.25">
      <c r="A141" s="38" t="s">
        <v>130</v>
      </c>
      <c r="B141" s="48" t="s">
        <v>88</v>
      </c>
      <c r="C141" s="53" t="s">
        <v>294</v>
      </c>
      <c r="D141" s="42"/>
      <c r="E141" s="43"/>
      <c r="H141" s="38"/>
    </row>
    <row r="142" spans="1:8" ht="14.45" hidden="1" customHeight="1" x14ac:dyDescent="0.25">
      <c r="A142" s="13"/>
      <c r="B142" s="52" t="s">
        <v>131</v>
      </c>
      <c r="C142" s="47" t="s">
        <v>234</v>
      </c>
      <c r="D142" s="37"/>
      <c r="E142" s="43"/>
      <c r="H142" s="13"/>
    </row>
    <row r="143" spans="1:8" ht="14.45" hidden="1" customHeight="1" x14ac:dyDescent="0.25">
      <c r="A143" s="13"/>
      <c r="B143" s="52" t="s">
        <v>159</v>
      </c>
      <c r="C143" s="47" t="s">
        <v>235</v>
      </c>
      <c r="D143" s="37"/>
      <c r="E143" s="43"/>
      <c r="H143" s="13"/>
    </row>
    <row r="144" spans="1:8" ht="14.45" hidden="1" customHeight="1" x14ac:dyDescent="0.25">
      <c r="A144" s="13"/>
      <c r="B144" s="52" t="s">
        <v>160</v>
      </c>
      <c r="C144" s="47" t="s">
        <v>236</v>
      </c>
      <c r="D144" s="37"/>
      <c r="E144" s="43"/>
      <c r="H144" s="13"/>
    </row>
    <row r="145" spans="1:8" ht="14.45" hidden="1" customHeight="1" x14ac:dyDescent="0.25">
      <c r="A145" s="13"/>
      <c r="B145" s="52" t="s">
        <v>161</v>
      </c>
      <c r="C145" s="47" t="s">
        <v>237</v>
      </c>
      <c r="D145" s="37"/>
      <c r="E145" s="43"/>
      <c r="H145" s="13"/>
    </row>
    <row r="146" spans="1:8" ht="14.45" hidden="1" customHeight="1" x14ac:dyDescent="0.25">
      <c r="A146" s="13"/>
      <c r="B146" s="52" t="s">
        <v>162</v>
      </c>
      <c r="C146" s="47" t="s">
        <v>238</v>
      </c>
      <c r="D146" s="37"/>
      <c r="E146" s="43"/>
      <c r="H146" s="13"/>
    </row>
    <row r="147" spans="1:8" ht="14.45" hidden="1" customHeight="1" x14ac:dyDescent="0.25">
      <c r="A147" s="13"/>
      <c r="B147" s="52" t="s">
        <v>163</v>
      </c>
      <c r="C147" s="52" t="s">
        <v>239</v>
      </c>
      <c r="D147" s="39"/>
      <c r="E147" s="43"/>
      <c r="H147" s="13"/>
    </row>
    <row r="148" spans="1:8" ht="14.45" hidden="1" customHeight="1" x14ac:dyDescent="0.25">
      <c r="A148" s="13"/>
      <c r="B148" s="52" t="s">
        <v>164</v>
      </c>
      <c r="C148" s="52" t="s">
        <v>240</v>
      </c>
      <c r="D148" s="39"/>
      <c r="E148" s="43"/>
      <c r="H148" s="13"/>
    </row>
    <row r="149" spans="1:8" ht="14.45" hidden="1" customHeight="1" x14ac:dyDescent="0.25">
      <c r="A149" s="13"/>
      <c r="B149" s="52" t="s">
        <v>43</v>
      </c>
      <c r="C149" s="47" t="s">
        <v>241</v>
      </c>
      <c r="D149" s="37"/>
      <c r="E149" s="43"/>
      <c r="H149" s="13"/>
    </row>
    <row r="150" spans="1:8" ht="14.45" hidden="1" customHeight="1" x14ac:dyDescent="0.25">
      <c r="A150" s="13"/>
      <c r="B150" s="52" t="s">
        <v>165</v>
      </c>
      <c r="C150" s="52" t="s">
        <v>242</v>
      </c>
      <c r="D150" s="39"/>
      <c r="E150" s="43"/>
      <c r="H150" s="13"/>
    </row>
    <row r="151" spans="1:8" ht="14.45" hidden="1" customHeight="1" x14ac:dyDescent="0.25">
      <c r="A151" s="13"/>
      <c r="B151" s="52" t="s">
        <v>166</v>
      </c>
      <c r="C151" s="52" t="s">
        <v>243</v>
      </c>
      <c r="D151" s="39"/>
      <c r="E151" s="43"/>
      <c r="H151" s="13"/>
    </row>
    <row r="152" spans="1:8" ht="14.45" hidden="1" customHeight="1" x14ac:dyDescent="0.25">
      <c r="A152" s="13"/>
      <c r="B152" s="52" t="s">
        <v>44</v>
      </c>
      <c r="C152" s="47" t="s">
        <v>244</v>
      </c>
      <c r="D152" s="37"/>
      <c r="E152" s="43"/>
      <c r="H152" s="13"/>
    </row>
    <row r="153" spans="1:8" ht="14.45" hidden="1" customHeight="1" x14ac:dyDescent="0.25">
      <c r="A153" s="13"/>
      <c r="B153" s="52" t="s">
        <v>45</v>
      </c>
      <c r="C153" s="52" t="s">
        <v>245</v>
      </c>
      <c r="D153" s="39"/>
      <c r="E153" s="43"/>
      <c r="H153" s="13"/>
    </row>
    <row r="154" spans="1:8" ht="14.45" hidden="1" customHeight="1" x14ac:dyDescent="0.25">
      <c r="A154" s="37"/>
      <c r="B154" s="47"/>
      <c r="C154" s="47"/>
      <c r="D154" s="37"/>
      <c r="E154" s="43"/>
      <c r="H154" s="37"/>
    </row>
    <row r="155" spans="1:8" ht="14.45" hidden="1" customHeight="1" x14ac:dyDescent="0.25">
      <c r="A155" s="36" t="s">
        <v>20</v>
      </c>
      <c r="B155" s="48" t="s">
        <v>88</v>
      </c>
      <c r="C155" s="53" t="s">
        <v>294</v>
      </c>
      <c r="D155" s="42"/>
      <c r="E155" s="43"/>
      <c r="H155" s="36"/>
    </row>
    <row r="156" spans="1:8" ht="14.45" hidden="1" customHeight="1" x14ac:dyDescent="0.25">
      <c r="A156" s="13"/>
      <c r="B156" s="52" t="s">
        <v>64</v>
      </c>
      <c r="C156" s="47" t="s">
        <v>246</v>
      </c>
      <c r="D156" s="37"/>
      <c r="E156" s="43"/>
      <c r="H156" s="13"/>
    </row>
    <row r="157" spans="1:8" ht="14.45" hidden="1" customHeight="1" x14ac:dyDescent="0.25">
      <c r="A157" s="13"/>
      <c r="B157" s="52" t="s">
        <v>167</v>
      </c>
      <c r="C157" s="47" t="s">
        <v>247</v>
      </c>
      <c r="D157" s="37"/>
      <c r="E157" s="43"/>
      <c r="H157" s="13"/>
    </row>
    <row r="158" spans="1:8" ht="14.45" hidden="1" customHeight="1" x14ac:dyDescent="0.25">
      <c r="A158" s="13"/>
      <c r="B158" s="52" t="s">
        <v>168</v>
      </c>
      <c r="C158" s="47" t="s">
        <v>248</v>
      </c>
      <c r="D158" s="37"/>
      <c r="E158" s="43"/>
      <c r="H158" s="13"/>
    </row>
    <row r="159" spans="1:8" ht="14.45" hidden="1" customHeight="1" x14ac:dyDescent="0.25">
      <c r="A159" s="13"/>
      <c r="B159" s="52" t="s">
        <v>65</v>
      </c>
      <c r="C159" s="47" t="s">
        <v>249</v>
      </c>
      <c r="D159" s="37"/>
      <c r="E159" s="43"/>
      <c r="H159" s="13"/>
    </row>
    <row r="160" spans="1:8" ht="14.45" hidden="1" customHeight="1" x14ac:dyDescent="0.25">
      <c r="A160" s="13"/>
      <c r="B160" s="52" t="s">
        <v>132</v>
      </c>
      <c r="C160" s="47" t="s">
        <v>250</v>
      </c>
      <c r="D160" s="37"/>
      <c r="E160" s="43"/>
      <c r="H160" s="13"/>
    </row>
    <row r="161" spans="1:8" ht="14.45" hidden="1" customHeight="1" x14ac:dyDescent="0.25">
      <c r="A161" s="13"/>
      <c r="B161" s="52" t="s">
        <v>68</v>
      </c>
      <c r="C161" s="47" t="s">
        <v>251</v>
      </c>
      <c r="D161" s="37"/>
      <c r="E161" s="43"/>
      <c r="H161" s="13"/>
    </row>
    <row r="162" spans="1:8" ht="14.45" hidden="1" customHeight="1" x14ac:dyDescent="0.25">
      <c r="A162" s="13"/>
      <c r="B162" s="52" t="s">
        <v>169</v>
      </c>
      <c r="C162" s="47" t="s">
        <v>252</v>
      </c>
      <c r="D162" s="37"/>
      <c r="E162" s="43"/>
      <c r="H162" s="13"/>
    </row>
    <row r="163" spans="1:8" ht="14.45" hidden="1" customHeight="1" x14ac:dyDescent="0.25">
      <c r="A163" s="13"/>
      <c r="B163" s="52"/>
      <c r="C163" s="47"/>
      <c r="D163" s="37"/>
      <c r="E163" s="43"/>
      <c r="H163" s="13"/>
    </row>
    <row r="164" spans="1:8" ht="14.45" hidden="1" customHeight="1" x14ac:dyDescent="0.25">
      <c r="A164" s="38" t="s">
        <v>108</v>
      </c>
      <c r="B164" s="48" t="s">
        <v>88</v>
      </c>
      <c r="C164" s="53" t="s">
        <v>294</v>
      </c>
      <c r="D164" s="42"/>
      <c r="E164" s="43"/>
      <c r="H164" s="38"/>
    </row>
    <row r="165" spans="1:8" ht="14.45" hidden="1" customHeight="1" x14ac:dyDescent="0.25">
      <c r="A165" s="13"/>
      <c r="B165" s="52" t="s">
        <v>66</v>
      </c>
      <c r="C165" s="47" t="s">
        <v>253</v>
      </c>
      <c r="D165" s="37"/>
      <c r="E165" s="43"/>
      <c r="H165" s="13"/>
    </row>
    <row r="166" spans="1:8" ht="14.45" hidden="1" customHeight="1" x14ac:dyDescent="0.25">
      <c r="A166" s="13"/>
      <c r="B166" s="52" t="s">
        <v>67</v>
      </c>
      <c r="C166" s="47" t="s">
        <v>254</v>
      </c>
      <c r="D166" s="37"/>
      <c r="E166" s="43"/>
      <c r="H166" s="13"/>
    </row>
    <row r="167" spans="1:8" ht="14.45" hidden="1" customHeight="1" x14ac:dyDescent="0.25">
      <c r="A167" s="13"/>
      <c r="B167" s="52" t="s">
        <v>133</v>
      </c>
      <c r="C167" s="47" t="s">
        <v>255</v>
      </c>
      <c r="D167" s="37"/>
      <c r="E167" s="43"/>
      <c r="H167" s="13"/>
    </row>
    <row r="168" spans="1:8" ht="14.45" hidden="1" customHeight="1" x14ac:dyDescent="0.25">
      <c r="A168" s="13"/>
      <c r="B168" s="52" t="s">
        <v>170</v>
      </c>
      <c r="C168" s="47" t="s">
        <v>256</v>
      </c>
      <c r="D168" s="37"/>
      <c r="E168" s="43"/>
      <c r="H168" s="13"/>
    </row>
    <row r="169" spans="1:8" ht="14.45" hidden="1" customHeight="1" x14ac:dyDescent="0.25">
      <c r="A169" s="13"/>
      <c r="B169" s="52" t="s">
        <v>70</v>
      </c>
      <c r="C169" s="47" t="s">
        <v>257</v>
      </c>
      <c r="D169" s="37"/>
      <c r="E169" s="43"/>
      <c r="H169" s="13"/>
    </row>
    <row r="170" spans="1:8" ht="14.45" hidden="1" customHeight="1" x14ac:dyDescent="0.25">
      <c r="A170" s="13"/>
      <c r="B170" s="52" t="s">
        <v>69</v>
      </c>
      <c r="C170" s="47" t="s">
        <v>258</v>
      </c>
      <c r="D170" s="37"/>
      <c r="E170" s="43"/>
      <c r="H170" s="13"/>
    </row>
    <row r="171" spans="1:8" ht="14.45" hidden="1" customHeight="1" x14ac:dyDescent="0.25">
      <c r="A171" s="13"/>
      <c r="B171" s="52" t="s">
        <v>134</v>
      </c>
      <c r="C171" s="47" t="s">
        <v>259</v>
      </c>
      <c r="D171" s="37"/>
      <c r="E171" s="43"/>
      <c r="H171" s="13"/>
    </row>
    <row r="172" spans="1:8" ht="14.45" hidden="1" customHeight="1" x14ac:dyDescent="0.25">
      <c r="A172" s="13"/>
      <c r="B172" s="52" t="s">
        <v>171</v>
      </c>
      <c r="C172" s="47" t="s">
        <v>260</v>
      </c>
      <c r="D172" s="37"/>
      <c r="E172" s="43"/>
      <c r="H172" s="13"/>
    </row>
    <row r="173" spans="1:8" ht="14.45" hidden="1" customHeight="1" x14ac:dyDescent="0.25">
      <c r="A173" s="37"/>
      <c r="B173" s="47"/>
      <c r="C173" s="47"/>
      <c r="D173" s="37"/>
      <c r="E173" s="43"/>
      <c r="H173" s="37"/>
    </row>
    <row r="174" spans="1:8" ht="14.45" hidden="1" customHeight="1" x14ac:dyDescent="0.25">
      <c r="A174" s="38" t="s">
        <v>107</v>
      </c>
      <c r="B174" s="48" t="s">
        <v>88</v>
      </c>
      <c r="C174" s="53" t="s">
        <v>294</v>
      </c>
      <c r="D174" s="42"/>
      <c r="E174" s="43"/>
      <c r="H174" s="38"/>
    </row>
    <row r="175" spans="1:8" ht="14.45" hidden="1" customHeight="1" x14ac:dyDescent="0.25">
      <c r="A175" s="13"/>
      <c r="B175" s="52" t="s">
        <v>135</v>
      </c>
      <c r="C175" s="47" t="s">
        <v>261</v>
      </c>
      <c r="D175" s="37"/>
      <c r="E175" s="43"/>
      <c r="H175" s="13"/>
    </row>
    <row r="176" spans="1:8" ht="14.45" hidden="1" customHeight="1" x14ac:dyDescent="0.25">
      <c r="A176" s="13"/>
      <c r="B176" s="52" t="s">
        <v>71</v>
      </c>
      <c r="C176" s="47" t="s">
        <v>262</v>
      </c>
      <c r="D176" s="37"/>
      <c r="E176" s="43"/>
      <c r="H176" s="13"/>
    </row>
    <row r="177" spans="1:8" ht="14.45" hidden="1" customHeight="1" x14ac:dyDescent="0.25">
      <c r="A177" s="13"/>
      <c r="B177" s="52" t="s">
        <v>72</v>
      </c>
      <c r="C177" s="47" t="s">
        <v>263</v>
      </c>
      <c r="D177" s="37"/>
      <c r="E177" s="43"/>
      <c r="H177" s="13"/>
    </row>
    <row r="178" spans="1:8" ht="14.45" hidden="1" customHeight="1" x14ac:dyDescent="0.25">
      <c r="A178" s="13"/>
      <c r="B178" s="52" t="s">
        <v>136</v>
      </c>
      <c r="C178" s="47" t="s">
        <v>264</v>
      </c>
      <c r="D178" s="37"/>
      <c r="E178" s="43"/>
      <c r="H178" s="13"/>
    </row>
    <row r="179" spans="1:8" ht="14.45" hidden="1" customHeight="1" x14ac:dyDescent="0.25">
      <c r="A179" s="13"/>
      <c r="B179" s="47"/>
      <c r="C179" s="47"/>
      <c r="D179" s="37"/>
      <c r="E179" s="43"/>
      <c r="H179" s="13"/>
    </row>
    <row r="180" spans="1:8" ht="14.45" hidden="1" customHeight="1" x14ac:dyDescent="0.25">
      <c r="A180" s="38" t="s">
        <v>106</v>
      </c>
      <c r="B180" s="48" t="s">
        <v>88</v>
      </c>
      <c r="C180" s="53" t="s">
        <v>294</v>
      </c>
      <c r="D180" s="42"/>
      <c r="E180" s="43"/>
      <c r="H180" s="38"/>
    </row>
    <row r="181" spans="1:8" ht="14.45" hidden="1" customHeight="1" x14ac:dyDescent="0.25">
      <c r="A181" s="13"/>
      <c r="B181" s="52" t="s">
        <v>172</v>
      </c>
      <c r="C181" s="47" t="s">
        <v>265</v>
      </c>
      <c r="D181" s="37"/>
      <c r="E181" s="43"/>
      <c r="H181" s="13"/>
    </row>
    <row r="182" spans="1:8" ht="14.45" hidden="1" customHeight="1" x14ac:dyDescent="0.25">
      <c r="A182" s="13"/>
      <c r="B182" s="52" t="s">
        <v>73</v>
      </c>
      <c r="C182" s="47" t="s">
        <v>266</v>
      </c>
      <c r="D182" s="37"/>
      <c r="E182" s="43"/>
      <c r="H182" s="13"/>
    </row>
    <row r="183" spans="1:8" ht="14.45" hidden="1" customHeight="1" x14ac:dyDescent="0.25">
      <c r="A183" s="13"/>
      <c r="B183" s="52" t="s">
        <v>137</v>
      </c>
      <c r="C183" s="47" t="s">
        <v>267</v>
      </c>
      <c r="D183" s="37"/>
      <c r="E183" s="43"/>
      <c r="H183" s="13"/>
    </row>
    <row r="184" spans="1:8" ht="14.45" hidden="1" customHeight="1" x14ac:dyDescent="0.25">
      <c r="A184" s="37"/>
      <c r="B184" s="47"/>
      <c r="C184" s="47"/>
      <c r="D184" s="37"/>
      <c r="E184" s="43"/>
      <c r="H184" s="37"/>
    </row>
    <row r="185" spans="1:8" ht="14.45" hidden="1" customHeight="1" x14ac:dyDescent="0.25">
      <c r="A185" s="38" t="s">
        <v>37</v>
      </c>
      <c r="B185" s="48" t="s">
        <v>88</v>
      </c>
      <c r="C185" s="53" t="s">
        <v>294</v>
      </c>
      <c r="D185" s="42"/>
      <c r="E185" s="43"/>
      <c r="H185" s="38"/>
    </row>
    <row r="186" spans="1:8" ht="14.45" hidden="1" customHeight="1" x14ac:dyDescent="0.25">
      <c r="A186" s="13"/>
      <c r="B186" s="52" t="s">
        <v>138</v>
      </c>
      <c r="C186" s="47" t="s">
        <v>268</v>
      </c>
      <c r="D186" s="37"/>
      <c r="E186" s="43"/>
      <c r="H186" s="13"/>
    </row>
    <row r="187" spans="1:8" ht="14.45" hidden="1" customHeight="1" x14ac:dyDescent="0.25">
      <c r="A187" s="13"/>
      <c r="B187" s="52" t="s">
        <v>38</v>
      </c>
      <c r="C187" s="47" t="s">
        <v>269</v>
      </c>
      <c r="D187" s="37"/>
      <c r="E187" s="43"/>
      <c r="H187" s="13"/>
    </row>
    <row r="188" spans="1:8" ht="14.45" hidden="1" customHeight="1" x14ac:dyDescent="0.25">
      <c r="A188" s="13"/>
      <c r="B188" s="52" t="s">
        <v>39</v>
      </c>
      <c r="C188" s="47" t="s">
        <v>270</v>
      </c>
      <c r="D188" s="37"/>
      <c r="E188" s="43"/>
      <c r="H188" s="13"/>
    </row>
    <row r="189" spans="1:8" ht="14.45" hidden="1" customHeight="1" x14ac:dyDescent="0.25">
      <c r="A189" s="13"/>
      <c r="B189" s="52" t="s">
        <v>139</v>
      </c>
      <c r="C189" s="47" t="s">
        <v>271</v>
      </c>
      <c r="D189" s="37"/>
      <c r="E189" s="43"/>
      <c r="H189" s="13"/>
    </row>
    <row r="190" spans="1:8" ht="14.45" hidden="1" customHeight="1" x14ac:dyDescent="0.25">
      <c r="A190" s="13"/>
      <c r="B190" s="52" t="s">
        <v>40</v>
      </c>
      <c r="C190" s="47" t="s">
        <v>272</v>
      </c>
      <c r="D190" s="37"/>
      <c r="E190" s="43"/>
      <c r="H190" s="13"/>
    </row>
    <row r="191" spans="1:8" ht="14.45" hidden="1" customHeight="1" x14ac:dyDescent="0.25">
      <c r="A191" s="13"/>
      <c r="B191" s="52" t="s">
        <v>140</v>
      </c>
      <c r="C191" s="47" t="s">
        <v>273</v>
      </c>
      <c r="D191" s="37"/>
      <c r="E191" s="43"/>
      <c r="H191" s="13"/>
    </row>
    <row r="192" spans="1:8" ht="14.45" hidden="1" customHeight="1" x14ac:dyDescent="0.25">
      <c r="A192" s="13"/>
      <c r="B192" s="52" t="s">
        <v>141</v>
      </c>
      <c r="C192" s="47" t="s">
        <v>274</v>
      </c>
      <c r="D192" s="37"/>
      <c r="E192" s="43"/>
      <c r="H192" s="13"/>
    </row>
    <row r="193" spans="1:8" ht="14.45" hidden="1" customHeight="1" x14ac:dyDescent="0.25">
      <c r="A193" s="37"/>
      <c r="B193" s="47"/>
      <c r="C193" s="47"/>
      <c r="D193" s="37"/>
      <c r="E193" s="43"/>
      <c r="H193" s="37"/>
    </row>
    <row r="194" spans="1:8" ht="14.45" hidden="1" customHeight="1" x14ac:dyDescent="0.25">
      <c r="A194" s="38" t="s">
        <v>22</v>
      </c>
      <c r="B194" s="48" t="s">
        <v>88</v>
      </c>
      <c r="C194" s="53" t="s">
        <v>294</v>
      </c>
      <c r="D194" s="42"/>
      <c r="E194" s="43"/>
      <c r="H194" s="38"/>
    </row>
    <row r="195" spans="1:8" ht="14.45" hidden="1" customHeight="1" x14ac:dyDescent="0.25">
      <c r="A195" s="13"/>
      <c r="B195" s="52" t="s">
        <v>23</v>
      </c>
      <c r="C195" s="47" t="s">
        <v>275</v>
      </c>
      <c r="D195" s="37"/>
      <c r="E195" s="43"/>
      <c r="H195" s="13"/>
    </row>
    <row r="196" spans="1:8" ht="14.45" hidden="1" customHeight="1" x14ac:dyDescent="0.25">
      <c r="A196" s="13"/>
      <c r="B196" s="52" t="s">
        <v>25</v>
      </c>
      <c r="C196" s="47" t="s">
        <v>276</v>
      </c>
      <c r="D196" s="37"/>
      <c r="E196" s="43"/>
      <c r="H196" s="13"/>
    </row>
    <row r="197" spans="1:8" ht="14.45" hidden="1" customHeight="1" x14ac:dyDescent="0.25">
      <c r="A197" s="13"/>
      <c r="B197" s="52" t="s">
        <v>142</v>
      </c>
      <c r="C197" s="47" t="s">
        <v>277</v>
      </c>
      <c r="D197" s="37"/>
      <c r="E197" s="43"/>
      <c r="H197" s="13"/>
    </row>
    <row r="198" spans="1:8" ht="14.45" hidden="1" customHeight="1" x14ac:dyDescent="0.25">
      <c r="A198" s="13"/>
      <c r="B198" s="52" t="s">
        <v>24</v>
      </c>
      <c r="C198" s="47" t="s">
        <v>278</v>
      </c>
      <c r="D198" s="37"/>
      <c r="E198" s="43"/>
      <c r="H198" s="13"/>
    </row>
    <row r="199" spans="1:8" ht="14.45" hidden="1" customHeight="1" x14ac:dyDescent="0.25">
      <c r="A199" s="13"/>
      <c r="B199" s="54" t="s">
        <v>173</v>
      </c>
      <c r="C199" s="50" t="s">
        <v>279</v>
      </c>
      <c r="D199" s="13"/>
      <c r="E199" s="43"/>
      <c r="H199" s="13"/>
    </row>
    <row r="200" spans="1:8" ht="14.45" hidden="1" customHeight="1" x14ac:dyDescent="0.25">
      <c r="A200" s="13"/>
      <c r="B200" s="52" t="s">
        <v>26</v>
      </c>
      <c r="C200" s="47" t="s">
        <v>280</v>
      </c>
      <c r="D200" s="37"/>
      <c r="E200" s="43"/>
      <c r="H200" s="13"/>
    </row>
    <row r="201" spans="1:8" ht="14.45" hidden="1" customHeight="1" x14ac:dyDescent="0.25">
      <c r="A201" s="13"/>
      <c r="B201" s="52" t="s">
        <v>27</v>
      </c>
      <c r="C201" s="47" t="s">
        <v>281</v>
      </c>
      <c r="D201" s="37"/>
      <c r="E201" s="43"/>
      <c r="H201" s="13"/>
    </row>
    <row r="202" spans="1:8" ht="14.45" hidden="1" customHeight="1" x14ac:dyDescent="0.25">
      <c r="A202" s="37"/>
      <c r="B202" s="47"/>
      <c r="C202" s="47"/>
      <c r="D202" s="37"/>
      <c r="E202" s="43"/>
      <c r="H202" s="37"/>
    </row>
    <row r="203" spans="1:8" ht="14.45" hidden="1" customHeight="1" x14ac:dyDescent="0.25">
      <c r="A203" s="38" t="s">
        <v>143</v>
      </c>
      <c r="B203" s="48" t="s">
        <v>88</v>
      </c>
      <c r="C203" s="53" t="s">
        <v>294</v>
      </c>
      <c r="D203" s="42"/>
      <c r="E203" s="43"/>
      <c r="H203" s="38"/>
    </row>
    <row r="204" spans="1:8" ht="14.45" hidden="1" customHeight="1" x14ac:dyDescent="0.25">
      <c r="A204" s="13"/>
      <c r="B204" s="52" t="s">
        <v>29</v>
      </c>
      <c r="C204" s="52" t="s">
        <v>282</v>
      </c>
      <c r="D204" s="39"/>
      <c r="E204" s="43"/>
      <c r="H204" s="13"/>
    </row>
    <row r="205" spans="1:8" ht="14.45" hidden="1" customHeight="1" x14ac:dyDescent="0.25">
      <c r="A205" s="13"/>
      <c r="B205" s="52" t="s">
        <v>31</v>
      </c>
      <c r="C205" s="47" t="s">
        <v>283</v>
      </c>
      <c r="D205" s="37"/>
      <c r="E205" s="43"/>
      <c r="H205" s="13"/>
    </row>
    <row r="206" spans="1:8" ht="14.45" hidden="1" customHeight="1" x14ac:dyDescent="0.25">
      <c r="A206" s="13"/>
      <c r="B206" s="52" t="s">
        <v>28</v>
      </c>
      <c r="C206" s="47" t="s">
        <v>284</v>
      </c>
      <c r="D206" s="37"/>
      <c r="E206" s="43"/>
      <c r="H206" s="13"/>
    </row>
    <row r="207" spans="1:8" ht="14.45" hidden="1" customHeight="1" x14ac:dyDescent="0.25">
      <c r="A207" s="13"/>
      <c r="B207" s="52" t="s">
        <v>36</v>
      </c>
      <c r="C207" s="47" t="s">
        <v>285</v>
      </c>
      <c r="D207" s="37"/>
      <c r="E207" s="43"/>
      <c r="H207" s="13"/>
    </row>
    <row r="208" spans="1:8" ht="14.45" hidden="1" customHeight="1" x14ac:dyDescent="0.25">
      <c r="A208" s="13"/>
      <c r="B208" s="52" t="s">
        <v>30</v>
      </c>
      <c r="C208" s="47" t="s">
        <v>286</v>
      </c>
      <c r="D208" s="37"/>
      <c r="E208" s="43"/>
      <c r="H208" s="13"/>
    </row>
    <row r="209" spans="1:9" ht="14.45" hidden="1" customHeight="1" x14ac:dyDescent="0.25">
      <c r="A209" s="13"/>
      <c r="B209" s="54" t="s">
        <v>144</v>
      </c>
      <c r="C209" s="50" t="s">
        <v>287</v>
      </c>
      <c r="D209" s="13"/>
      <c r="E209" s="43"/>
      <c r="H209" s="13"/>
    </row>
    <row r="210" spans="1:9" ht="14.45" hidden="1" customHeight="1" x14ac:dyDescent="0.25">
      <c r="A210" s="13"/>
      <c r="B210" s="52"/>
      <c r="C210" s="47"/>
      <c r="D210" s="37"/>
      <c r="E210" s="43"/>
      <c r="H210" s="13"/>
    </row>
    <row r="211" spans="1:9" ht="14.45" hidden="1" customHeight="1" x14ac:dyDescent="0.25">
      <c r="A211" s="38" t="s">
        <v>104</v>
      </c>
      <c r="B211" s="48" t="s">
        <v>88</v>
      </c>
      <c r="C211" s="53" t="s">
        <v>294</v>
      </c>
      <c r="D211" s="42"/>
      <c r="E211" s="43"/>
      <c r="H211" s="38"/>
    </row>
    <row r="212" spans="1:9" ht="14.45" hidden="1" customHeight="1" x14ac:dyDescent="0.25">
      <c r="A212" s="13"/>
      <c r="B212" s="52" t="s">
        <v>32</v>
      </c>
      <c r="C212" s="47" t="s">
        <v>288</v>
      </c>
      <c r="D212" s="37"/>
      <c r="E212" s="43"/>
      <c r="H212" s="13"/>
    </row>
    <row r="213" spans="1:9" ht="14.45" hidden="1" customHeight="1" x14ac:dyDescent="0.25">
      <c r="A213" s="13"/>
      <c r="B213" s="52" t="s">
        <v>34</v>
      </c>
      <c r="C213" s="47" t="s">
        <v>289</v>
      </c>
      <c r="D213" s="37"/>
      <c r="E213" s="43"/>
      <c r="H213" s="13"/>
    </row>
    <row r="214" spans="1:9" ht="14.45" hidden="1" customHeight="1" x14ac:dyDescent="0.25">
      <c r="A214" s="13"/>
      <c r="B214" s="52" t="s">
        <v>35</v>
      </c>
      <c r="C214" s="47" t="s">
        <v>290</v>
      </c>
      <c r="D214" s="37"/>
      <c r="E214" s="43"/>
      <c r="H214" s="13"/>
    </row>
    <row r="215" spans="1:9" ht="14.45" hidden="1" customHeight="1" x14ac:dyDescent="0.25">
      <c r="A215" s="13"/>
      <c r="B215" s="52" t="s">
        <v>174</v>
      </c>
      <c r="C215" s="47" t="s">
        <v>291</v>
      </c>
      <c r="D215" s="37"/>
      <c r="E215" s="43"/>
      <c r="H215" s="13"/>
    </row>
    <row r="216" spans="1:9" ht="14.45" hidden="1" customHeight="1" x14ac:dyDescent="0.25">
      <c r="A216" s="13"/>
      <c r="B216" s="54" t="s">
        <v>145</v>
      </c>
      <c r="C216" s="50" t="s">
        <v>292</v>
      </c>
      <c r="D216" s="13"/>
      <c r="E216" s="43"/>
      <c r="H216" s="13"/>
    </row>
    <row r="217" spans="1:9" ht="14.45" hidden="1" customHeight="1" x14ac:dyDescent="0.25">
      <c r="A217" s="13"/>
      <c r="B217" s="52" t="s">
        <v>33</v>
      </c>
      <c r="C217" s="47" t="s">
        <v>293</v>
      </c>
      <c r="D217" s="37"/>
      <c r="E217" s="43"/>
      <c r="H217" s="13"/>
    </row>
    <row r="218" spans="1:9" ht="14.45" hidden="1" customHeight="1" x14ac:dyDescent="0.25">
      <c r="B218" s="49"/>
      <c r="C218" s="49"/>
      <c r="E218" s="43"/>
    </row>
    <row r="219" spans="1:9" ht="14.45" hidden="1" customHeight="1" x14ac:dyDescent="0.25">
      <c r="B219" s="49"/>
      <c r="C219" s="49"/>
      <c r="E219" s="43"/>
    </row>
    <row r="220" spans="1:9" ht="14.45" hidden="1" customHeight="1" x14ac:dyDescent="0.25">
      <c r="A220" s="38" t="s">
        <v>17</v>
      </c>
      <c r="B220" s="48" t="s">
        <v>88</v>
      </c>
      <c r="C220" s="53" t="s">
        <v>294</v>
      </c>
      <c r="D220" s="42"/>
      <c r="E220" s="43"/>
    </row>
    <row r="221" spans="1:9" ht="14.45" hidden="1" customHeight="1" x14ac:dyDescent="0.25">
      <c r="B221" s="52" t="s">
        <v>152</v>
      </c>
      <c r="C221" s="47" t="s">
        <v>213</v>
      </c>
      <c r="D221" s="37"/>
      <c r="E221" s="43"/>
      <c r="I221" s="39"/>
    </row>
    <row r="222" spans="1:9" ht="14.45" hidden="1" customHeight="1" x14ac:dyDescent="0.25">
      <c r="B222" s="52" t="s">
        <v>59</v>
      </c>
      <c r="C222" s="47" t="s">
        <v>221</v>
      </c>
      <c r="D222" s="37"/>
      <c r="E222" s="43"/>
      <c r="I222" s="39"/>
    </row>
    <row r="223" spans="1:9" ht="14.45" hidden="1" customHeight="1" x14ac:dyDescent="0.25">
      <c r="B223" s="52" t="s">
        <v>124</v>
      </c>
      <c r="C223" s="47" t="s">
        <v>214</v>
      </c>
      <c r="D223" s="37"/>
      <c r="E223" s="43"/>
      <c r="I223" s="39"/>
    </row>
    <row r="224" spans="1:9" ht="14.45" hidden="1" customHeight="1" x14ac:dyDescent="0.25">
      <c r="B224" s="52" t="s">
        <v>58</v>
      </c>
      <c r="C224" s="47" t="s">
        <v>222</v>
      </c>
      <c r="D224" s="37"/>
      <c r="E224" s="43"/>
      <c r="I224" s="39"/>
    </row>
    <row r="225" spans="1:11" ht="14.45" hidden="1" customHeight="1" x14ac:dyDescent="0.25">
      <c r="B225" s="52" t="s">
        <v>56</v>
      </c>
      <c r="C225" s="47" t="s">
        <v>215</v>
      </c>
      <c r="D225" s="37"/>
      <c r="E225" s="43"/>
      <c r="I225" s="39"/>
    </row>
    <row r="226" spans="1:11" ht="14.45" hidden="1" customHeight="1" x14ac:dyDescent="0.25">
      <c r="B226" s="52" t="s">
        <v>154</v>
      </c>
      <c r="C226" s="47" t="s">
        <v>223</v>
      </c>
      <c r="D226" s="37"/>
      <c r="E226" s="43"/>
      <c r="I226" s="39"/>
    </row>
    <row r="227" spans="1:11" ht="14.45" hidden="1" customHeight="1" x14ac:dyDescent="0.25">
      <c r="B227" s="52" t="s">
        <v>55</v>
      </c>
      <c r="C227" s="47" t="s">
        <v>216</v>
      </c>
      <c r="D227" s="37"/>
      <c r="E227" s="43"/>
      <c r="I227" s="39"/>
    </row>
    <row r="228" spans="1:11" ht="14.45" hidden="1" customHeight="1" x14ac:dyDescent="0.25">
      <c r="B228" s="52" t="s">
        <v>155</v>
      </c>
      <c r="C228" s="47" t="s">
        <v>224</v>
      </c>
      <c r="D228" s="37"/>
      <c r="E228" s="43"/>
      <c r="I228" s="39"/>
    </row>
    <row r="229" spans="1:11" ht="14.45" hidden="1" customHeight="1" x14ac:dyDescent="0.25">
      <c r="B229" s="52" t="s">
        <v>153</v>
      </c>
      <c r="C229" s="47" t="s">
        <v>217</v>
      </c>
      <c r="D229" s="37"/>
      <c r="E229" s="43"/>
      <c r="I229" s="37"/>
      <c r="K229" s="37"/>
    </row>
    <row r="230" spans="1:11" ht="14.45" hidden="1" customHeight="1" x14ac:dyDescent="0.25">
      <c r="B230" s="52" t="s">
        <v>60</v>
      </c>
      <c r="C230" s="47" t="s">
        <v>225</v>
      </c>
      <c r="D230" s="37"/>
      <c r="E230" s="43"/>
      <c r="I230" s="37"/>
      <c r="K230" s="37"/>
    </row>
    <row r="231" spans="1:11" ht="14.45" hidden="1" customHeight="1" x14ac:dyDescent="0.25">
      <c r="B231" s="52" t="s">
        <v>53</v>
      </c>
      <c r="C231" s="47" t="s">
        <v>218</v>
      </c>
      <c r="D231" s="37"/>
      <c r="E231" s="43"/>
      <c r="I231" s="39"/>
    </row>
    <row r="232" spans="1:11" ht="14.45" hidden="1" customHeight="1" x14ac:dyDescent="0.25">
      <c r="B232" s="52" t="s">
        <v>125</v>
      </c>
      <c r="C232" s="47" t="s">
        <v>219</v>
      </c>
      <c r="D232" s="37"/>
      <c r="E232" s="43"/>
      <c r="I232" s="39"/>
    </row>
    <row r="233" spans="1:11" ht="14.45" hidden="1" customHeight="1" x14ac:dyDescent="0.25">
      <c r="B233" s="52" t="s">
        <v>54</v>
      </c>
      <c r="C233" s="47" t="s">
        <v>220</v>
      </c>
      <c r="D233" s="37"/>
      <c r="E233" s="43"/>
      <c r="I233" s="39"/>
    </row>
    <row r="234" spans="1:11" ht="14.45" hidden="1" customHeight="1" x14ac:dyDescent="0.25">
      <c r="B234" s="48" t="s">
        <v>88</v>
      </c>
      <c r="C234" s="53" t="s">
        <v>294</v>
      </c>
      <c r="D234" s="42"/>
      <c r="E234" s="43"/>
      <c r="I234" s="39"/>
    </row>
    <row r="235" spans="1:11" ht="14.45" hidden="1" customHeight="1" x14ac:dyDescent="0.25">
      <c r="A235" s="38" t="s">
        <v>176</v>
      </c>
      <c r="B235" s="52" t="s">
        <v>29</v>
      </c>
      <c r="C235" s="52" t="s">
        <v>282</v>
      </c>
      <c r="D235" s="39"/>
      <c r="E235" s="43"/>
      <c r="I235" s="39"/>
    </row>
    <row r="236" spans="1:11" ht="14.45" hidden="1" customHeight="1" x14ac:dyDescent="0.25">
      <c r="B236" s="52" t="s">
        <v>32</v>
      </c>
      <c r="C236" s="47" t="s">
        <v>288</v>
      </c>
      <c r="D236" s="37"/>
      <c r="E236" s="43"/>
      <c r="I236" s="39"/>
    </row>
    <row r="237" spans="1:11" ht="14.45" hidden="1" customHeight="1" x14ac:dyDescent="0.25">
      <c r="B237" s="52" t="s">
        <v>31</v>
      </c>
      <c r="C237" s="47" t="s">
        <v>283</v>
      </c>
      <c r="D237" s="37"/>
      <c r="E237" s="43"/>
      <c r="I237" s="39"/>
    </row>
    <row r="238" spans="1:11" ht="14.45" hidden="1" customHeight="1" x14ac:dyDescent="0.25">
      <c r="B238" s="52" t="s">
        <v>34</v>
      </c>
      <c r="C238" s="47" t="s">
        <v>289</v>
      </c>
      <c r="D238" s="37"/>
      <c r="E238" s="44"/>
      <c r="I238" s="39"/>
    </row>
    <row r="239" spans="1:11" ht="14.45" hidden="1" customHeight="1" x14ac:dyDescent="0.25">
      <c r="B239" s="52" t="s">
        <v>28</v>
      </c>
      <c r="C239" s="47" t="s">
        <v>284</v>
      </c>
      <c r="D239" s="37"/>
      <c r="E239" s="45"/>
      <c r="I239" s="39"/>
    </row>
    <row r="240" spans="1:11" ht="14.45" hidden="1" customHeight="1" x14ac:dyDescent="0.25">
      <c r="B240" s="52" t="s">
        <v>35</v>
      </c>
      <c r="C240" s="47" t="s">
        <v>290</v>
      </c>
      <c r="D240" s="37"/>
      <c r="E240" s="44"/>
      <c r="I240" s="40"/>
    </row>
    <row r="241" spans="1:11" ht="14.45" hidden="1" customHeight="1" x14ac:dyDescent="0.25">
      <c r="B241" s="52" t="s">
        <v>36</v>
      </c>
      <c r="C241" s="47" t="s">
        <v>285</v>
      </c>
      <c r="D241" s="37"/>
      <c r="E241" s="45"/>
      <c r="I241" s="39"/>
      <c r="K241" s="37"/>
    </row>
    <row r="242" spans="1:11" ht="14.45" hidden="1" customHeight="1" x14ac:dyDescent="0.25">
      <c r="B242" s="52" t="s">
        <v>174</v>
      </c>
      <c r="C242" s="47" t="s">
        <v>291</v>
      </c>
      <c r="D242" s="37"/>
      <c r="E242" s="43"/>
      <c r="I242" s="37"/>
      <c r="K242" s="37"/>
    </row>
    <row r="243" spans="1:11" ht="14.45" hidden="1" customHeight="1" x14ac:dyDescent="0.25">
      <c r="B243" s="52" t="s">
        <v>30</v>
      </c>
      <c r="C243" s="47" t="s">
        <v>286</v>
      </c>
      <c r="D243" s="37"/>
      <c r="E243" s="45"/>
      <c r="I243" s="39"/>
    </row>
    <row r="244" spans="1:11" ht="14.45" hidden="1" customHeight="1" x14ac:dyDescent="0.25">
      <c r="B244" s="54" t="s">
        <v>145</v>
      </c>
      <c r="C244" s="50" t="s">
        <v>292</v>
      </c>
      <c r="D244" s="13"/>
      <c r="E244" s="46"/>
      <c r="I244" s="39"/>
    </row>
    <row r="245" spans="1:11" ht="14.45" hidden="1" customHeight="1" x14ac:dyDescent="0.25">
      <c r="B245" s="54" t="s">
        <v>144</v>
      </c>
      <c r="C245" s="50" t="s">
        <v>287</v>
      </c>
      <c r="D245" s="13"/>
      <c r="E245" s="45"/>
      <c r="I245" s="39"/>
    </row>
    <row r="246" spans="1:11" ht="14.45" hidden="1" customHeight="1" x14ac:dyDescent="0.25">
      <c r="B246" s="52" t="s">
        <v>33</v>
      </c>
      <c r="C246" s="47" t="s">
        <v>293</v>
      </c>
      <c r="D246" s="37"/>
      <c r="E246" s="46"/>
      <c r="I246" s="39"/>
    </row>
    <row r="247" spans="1:11" ht="14.45" hidden="1" customHeight="1" x14ac:dyDescent="0.25">
      <c r="B247" s="48" t="s">
        <v>88</v>
      </c>
      <c r="C247" s="53" t="s">
        <v>294</v>
      </c>
      <c r="D247" s="42"/>
      <c r="E247" s="45"/>
      <c r="I247" s="40"/>
    </row>
    <row r="248" spans="1:11" ht="14.45" hidden="1" customHeight="1" x14ac:dyDescent="0.25">
      <c r="A248" s="38" t="s">
        <v>175</v>
      </c>
      <c r="B248" s="52" t="s">
        <v>138</v>
      </c>
      <c r="C248" s="47" t="s">
        <v>268</v>
      </c>
      <c r="D248" s="37"/>
      <c r="E248" s="46"/>
      <c r="I248" s="39"/>
    </row>
    <row r="249" spans="1:11" ht="14.45" hidden="1" customHeight="1" x14ac:dyDescent="0.25">
      <c r="B249" s="52" t="s">
        <v>152</v>
      </c>
      <c r="C249" s="47" t="s">
        <v>213</v>
      </c>
      <c r="D249" s="37"/>
      <c r="E249" s="45"/>
      <c r="I249" s="39"/>
    </row>
    <row r="250" spans="1:11" ht="14.45" hidden="1" customHeight="1" x14ac:dyDescent="0.25">
      <c r="B250" s="52" t="s">
        <v>38</v>
      </c>
      <c r="C250" s="47" t="s">
        <v>269</v>
      </c>
      <c r="D250" s="37"/>
      <c r="E250" s="46"/>
      <c r="I250" s="39"/>
    </row>
    <row r="251" spans="1:11" ht="14.45" hidden="1" customHeight="1" x14ac:dyDescent="0.25">
      <c r="B251" s="52" t="s">
        <v>59</v>
      </c>
      <c r="C251" s="47" t="s">
        <v>221</v>
      </c>
      <c r="D251" s="37"/>
      <c r="E251" s="45"/>
      <c r="I251" s="39"/>
    </row>
    <row r="252" spans="1:11" ht="14.45" hidden="1" customHeight="1" x14ac:dyDescent="0.25">
      <c r="B252" s="52" t="s">
        <v>39</v>
      </c>
      <c r="C252" s="47" t="s">
        <v>270</v>
      </c>
      <c r="D252" s="37"/>
      <c r="E252" s="46"/>
      <c r="I252" s="39"/>
    </row>
    <row r="253" spans="1:11" ht="14.45" hidden="1" customHeight="1" x14ac:dyDescent="0.25">
      <c r="B253" s="52" t="s">
        <v>124</v>
      </c>
      <c r="C253" s="47" t="s">
        <v>214</v>
      </c>
      <c r="D253" s="37"/>
      <c r="E253" s="45"/>
      <c r="I253" s="39"/>
    </row>
    <row r="254" spans="1:11" ht="14.45" hidden="1" customHeight="1" x14ac:dyDescent="0.25">
      <c r="B254" s="52" t="s">
        <v>139</v>
      </c>
      <c r="C254" s="47" t="s">
        <v>271</v>
      </c>
      <c r="D254" s="37"/>
      <c r="E254" s="46"/>
      <c r="I254" s="39"/>
    </row>
    <row r="255" spans="1:11" ht="14.45" hidden="1" customHeight="1" x14ac:dyDescent="0.25">
      <c r="B255" s="52" t="s">
        <v>58</v>
      </c>
      <c r="C255" s="47" t="s">
        <v>222</v>
      </c>
      <c r="D255" s="37"/>
      <c r="E255" s="45"/>
    </row>
    <row r="256" spans="1:11" ht="14.45" hidden="1" customHeight="1" x14ac:dyDescent="0.25">
      <c r="B256" s="52" t="s">
        <v>40</v>
      </c>
      <c r="C256" s="47" t="s">
        <v>272</v>
      </c>
      <c r="D256" s="37"/>
      <c r="E256" s="46"/>
    </row>
    <row r="257" spans="1:9" ht="14.45" hidden="1" customHeight="1" x14ac:dyDescent="0.25">
      <c r="B257" s="52" t="s">
        <v>56</v>
      </c>
      <c r="C257" s="47" t="s">
        <v>215</v>
      </c>
      <c r="D257" s="37"/>
      <c r="E257" s="45"/>
      <c r="I257" s="39"/>
    </row>
    <row r="258" spans="1:9" ht="14.45" hidden="1" customHeight="1" x14ac:dyDescent="0.25">
      <c r="B258" s="52" t="s">
        <v>140</v>
      </c>
      <c r="C258" s="47" t="s">
        <v>273</v>
      </c>
      <c r="D258" s="37"/>
      <c r="E258" s="46"/>
      <c r="I258" s="39"/>
    </row>
    <row r="259" spans="1:9" ht="14.45" hidden="1" customHeight="1" x14ac:dyDescent="0.25">
      <c r="B259" s="52" t="s">
        <v>154</v>
      </c>
      <c r="C259" s="47" t="s">
        <v>223</v>
      </c>
      <c r="D259" s="37"/>
      <c r="E259" s="45"/>
      <c r="I259" s="39"/>
    </row>
    <row r="260" spans="1:9" ht="14.45" hidden="1" customHeight="1" x14ac:dyDescent="0.25">
      <c r="B260" s="52" t="s">
        <v>141</v>
      </c>
      <c r="C260" s="47" t="s">
        <v>274</v>
      </c>
      <c r="D260" s="37"/>
      <c r="E260" s="46"/>
      <c r="I260" s="39"/>
    </row>
    <row r="261" spans="1:9" ht="14.45" hidden="1" customHeight="1" x14ac:dyDescent="0.25">
      <c r="B261" s="52" t="s">
        <v>55</v>
      </c>
      <c r="C261" s="47" t="s">
        <v>216</v>
      </c>
      <c r="D261" s="37"/>
      <c r="E261" s="45"/>
      <c r="I261" s="39"/>
    </row>
    <row r="262" spans="1:9" ht="14.45" hidden="1" customHeight="1" x14ac:dyDescent="0.25">
      <c r="B262" s="52" t="s">
        <v>155</v>
      </c>
      <c r="C262" s="47" t="s">
        <v>224</v>
      </c>
      <c r="D262" s="37"/>
      <c r="E262" s="46"/>
      <c r="I262" s="39"/>
    </row>
    <row r="263" spans="1:9" ht="14.45" hidden="1" customHeight="1" x14ac:dyDescent="0.25">
      <c r="B263" s="52" t="s">
        <v>153</v>
      </c>
      <c r="C263" s="47" t="s">
        <v>217</v>
      </c>
      <c r="D263" s="37"/>
      <c r="E263" s="45"/>
      <c r="I263" s="39"/>
    </row>
    <row r="264" spans="1:9" ht="14.45" hidden="1" customHeight="1" x14ac:dyDescent="0.25">
      <c r="B264" s="52" t="s">
        <v>60</v>
      </c>
      <c r="C264" s="47" t="s">
        <v>225</v>
      </c>
      <c r="D264" s="37"/>
      <c r="E264" s="46"/>
      <c r="I264" s="39"/>
    </row>
    <row r="265" spans="1:9" ht="14.45" hidden="1" customHeight="1" x14ac:dyDescent="0.25">
      <c r="B265" s="52" t="s">
        <v>53</v>
      </c>
      <c r="C265" s="47" t="s">
        <v>218</v>
      </c>
      <c r="D265" s="37"/>
      <c r="E265" s="45"/>
      <c r="I265" s="39"/>
    </row>
    <row r="266" spans="1:9" ht="14.45" hidden="1" customHeight="1" x14ac:dyDescent="0.25">
      <c r="B266" s="52" t="s">
        <v>125</v>
      </c>
      <c r="C266" s="47" t="s">
        <v>219</v>
      </c>
      <c r="D266" s="37"/>
      <c r="E266" s="46"/>
      <c r="I266" s="39"/>
    </row>
    <row r="267" spans="1:9" ht="14.45" hidden="1" customHeight="1" x14ac:dyDescent="0.25">
      <c r="B267" s="52" t="s">
        <v>54</v>
      </c>
      <c r="C267" s="47" t="s">
        <v>220</v>
      </c>
      <c r="D267" s="37"/>
      <c r="E267" s="45"/>
      <c r="I267" s="39"/>
    </row>
    <row r="268" spans="1:9" ht="14.45" hidden="1" customHeight="1" x14ac:dyDescent="0.25">
      <c r="B268" s="52"/>
      <c r="C268" s="47"/>
      <c r="D268" s="37"/>
      <c r="E268" s="45"/>
      <c r="I268" s="39"/>
    </row>
    <row r="269" spans="1:9" ht="14.45" hidden="1" customHeight="1" x14ac:dyDescent="0.25">
      <c r="B269" s="48" t="s">
        <v>88</v>
      </c>
      <c r="C269" s="53" t="s">
        <v>294</v>
      </c>
      <c r="D269" s="42"/>
      <c r="E269" s="46"/>
      <c r="I269" s="39"/>
    </row>
    <row r="270" spans="1:9" ht="14.45" hidden="1" customHeight="1" x14ac:dyDescent="0.25">
      <c r="A270" s="38" t="s">
        <v>177</v>
      </c>
      <c r="B270" s="52" t="s">
        <v>51</v>
      </c>
      <c r="C270" s="47" t="s">
        <v>200</v>
      </c>
      <c r="D270" s="37"/>
      <c r="E270" s="45"/>
      <c r="I270" s="37"/>
    </row>
    <row r="271" spans="1:9" ht="14.45" hidden="1" customHeight="1" x14ac:dyDescent="0.25">
      <c r="B271" s="52" t="s">
        <v>46</v>
      </c>
      <c r="C271" s="47" t="s">
        <v>204</v>
      </c>
      <c r="D271" s="37"/>
      <c r="E271" s="46"/>
      <c r="I271" s="39"/>
    </row>
    <row r="272" spans="1:9" ht="14.45" hidden="1" customHeight="1" x14ac:dyDescent="0.25">
      <c r="B272" s="52" t="s">
        <v>118</v>
      </c>
      <c r="C272" s="47" t="s">
        <v>201</v>
      </c>
      <c r="D272" s="37"/>
      <c r="E272" s="45"/>
      <c r="I272" s="39"/>
    </row>
    <row r="273" spans="2:11" ht="14.45" hidden="1" customHeight="1" x14ac:dyDescent="0.25">
      <c r="B273" s="52" t="s">
        <v>47</v>
      </c>
      <c r="C273" s="47" t="s">
        <v>205</v>
      </c>
      <c r="D273" s="37"/>
      <c r="E273" s="43"/>
      <c r="I273" s="39"/>
    </row>
    <row r="274" spans="2:11" ht="14.45" hidden="1" customHeight="1" x14ac:dyDescent="0.25">
      <c r="B274" s="52" t="s">
        <v>150</v>
      </c>
      <c r="C274" s="47" t="s">
        <v>202</v>
      </c>
      <c r="D274" s="37"/>
      <c r="E274" s="43"/>
      <c r="I274" s="39"/>
    </row>
    <row r="275" spans="2:11" ht="14.45" hidden="1" customHeight="1" x14ac:dyDescent="0.25">
      <c r="B275" s="52" t="s">
        <v>49</v>
      </c>
      <c r="C275" s="47" t="s">
        <v>206</v>
      </c>
      <c r="D275" s="37"/>
      <c r="E275" s="45"/>
      <c r="I275" s="37"/>
      <c r="K275" s="37"/>
    </row>
    <row r="276" spans="2:11" ht="14.45" hidden="1" customHeight="1" x14ac:dyDescent="0.25">
      <c r="B276" s="52" t="s">
        <v>50</v>
      </c>
      <c r="C276" s="47" t="s">
        <v>203</v>
      </c>
      <c r="D276" s="37"/>
      <c r="E276" s="45"/>
      <c r="I276" s="39"/>
      <c r="K276" s="37"/>
    </row>
    <row r="277" spans="2:11" ht="14.45" hidden="1" customHeight="1" x14ac:dyDescent="0.25">
      <c r="B277" s="52" t="s">
        <v>48</v>
      </c>
      <c r="C277" s="47" t="s">
        <v>207</v>
      </c>
      <c r="D277" s="37"/>
      <c r="E277" s="45"/>
      <c r="I277" s="39"/>
    </row>
    <row r="278" spans="2:11" ht="14.45" hidden="1" customHeight="1" x14ac:dyDescent="0.25">
      <c r="B278" s="52" t="s">
        <v>119</v>
      </c>
      <c r="C278" s="47" t="s">
        <v>208</v>
      </c>
      <c r="D278" s="37"/>
      <c r="E278" s="45"/>
      <c r="I278" s="39"/>
    </row>
    <row r="279" spans="2:11" ht="14.45" hidden="1" customHeight="1" x14ac:dyDescent="0.25"/>
    <row r="280" spans="2:11" ht="14.45" hidden="1" customHeight="1" x14ac:dyDescent="0.25">
      <c r="B280" t="s">
        <v>295</v>
      </c>
      <c r="C280" t="s">
        <v>296</v>
      </c>
      <c r="D280" t="s">
        <v>333</v>
      </c>
      <c r="E280" t="s">
        <v>335</v>
      </c>
    </row>
    <row r="281" spans="2:11" ht="14.45" hidden="1" customHeight="1" x14ac:dyDescent="0.25">
      <c r="B281" t="s">
        <v>77</v>
      </c>
      <c r="C281" s="37" t="s">
        <v>77</v>
      </c>
      <c r="D281" s="37" t="s">
        <v>312</v>
      </c>
      <c r="E281" s="37" t="str">
        <f>CONCATENATE(Table_Name[[#This Row],[Table name]],"[Link]")</f>
        <v>Abs[Link]</v>
      </c>
    </row>
    <row r="282" spans="2:11" ht="14.45" hidden="1" customHeight="1" x14ac:dyDescent="0.25">
      <c r="B282" t="s">
        <v>19</v>
      </c>
      <c r="C282" s="37" t="s">
        <v>19</v>
      </c>
      <c r="D282" s="37" t="s">
        <v>313</v>
      </c>
      <c r="E282" s="37" t="str">
        <f>CONCATENATE(Table_Name[[#This Row],[Table name]],"[Link]")</f>
        <v>Calves[Link]</v>
      </c>
    </row>
    <row r="283" spans="2:11" ht="14.45" hidden="1" customHeight="1" x14ac:dyDescent="0.25">
      <c r="B283" t="s">
        <v>18</v>
      </c>
      <c r="C283" s="37" t="s">
        <v>18</v>
      </c>
      <c r="D283" s="37" t="s">
        <v>314</v>
      </c>
      <c r="E283" s="37" t="str">
        <f>CONCATENATE(Table_Name[[#This Row],[Table name]],"[Link]")</f>
        <v>Biceps[Link]</v>
      </c>
    </row>
    <row r="284" spans="2:11" ht="14.45" hidden="1" customHeight="1" x14ac:dyDescent="0.25">
      <c r="B284" t="s">
        <v>117</v>
      </c>
      <c r="C284" s="37" t="s">
        <v>297</v>
      </c>
      <c r="D284" s="37" t="s">
        <v>315</v>
      </c>
      <c r="E284" s="37" t="str">
        <f>CONCATENATE(Table_Name[[#This Row],[Table name]],"[Link]")</f>
        <v>Rear_Delts[Link]</v>
      </c>
    </row>
    <row r="285" spans="2:11" ht="14.45" hidden="1" customHeight="1" x14ac:dyDescent="0.25">
      <c r="B285" t="s">
        <v>105</v>
      </c>
      <c r="C285" s="37" t="s">
        <v>298</v>
      </c>
      <c r="D285" s="37" t="s">
        <v>316</v>
      </c>
      <c r="E285" s="37" t="str">
        <f>CONCATENATE(Table_Name[[#This Row],[Table name]],"[Link]")</f>
        <v>Side_Delts[Link]</v>
      </c>
    </row>
    <row r="286" spans="2:11" ht="14.45" hidden="1" customHeight="1" x14ac:dyDescent="0.25">
      <c r="B286" t="s">
        <v>120</v>
      </c>
      <c r="C286" s="37" t="s">
        <v>120</v>
      </c>
      <c r="D286" s="37" t="s">
        <v>317</v>
      </c>
      <c r="E286" s="37" t="str">
        <f>CONCATENATE(Table_Name[[#This Row],[Table name]],"[Link]")</f>
        <v>Traps[Link]</v>
      </c>
    </row>
    <row r="287" spans="2:11" ht="14.45" hidden="1" customHeight="1" x14ac:dyDescent="0.25">
      <c r="B287" t="s">
        <v>52</v>
      </c>
      <c r="C287" s="37" t="s">
        <v>299</v>
      </c>
      <c r="D287" s="37" t="s">
        <v>318</v>
      </c>
      <c r="E287" s="37" t="str">
        <f>CONCATENATE(Table_Name[[#This Row],[Table name]],"[Link]")</f>
        <v>Horizontal_Triceps[Link]</v>
      </c>
    </row>
    <row r="288" spans="2:11" ht="14.45" hidden="1" customHeight="1" x14ac:dyDescent="0.25">
      <c r="B288" t="s">
        <v>57</v>
      </c>
      <c r="C288" s="37" t="s">
        <v>300</v>
      </c>
      <c r="D288" s="37" t="s">
        <v>319</v>
      </c>
      <c r="E288" s="37" t="str">
        <f>CONCATENATE(Table_Name[[#This Row],[Table name]],"[Link]")</f>
        <v>Vertical_Triceps[Link]</v>
      </c>
    </row>
    <row r="289" spans="2:5" ht="14.45" hidden="1" customHeight="1" x14ac:dyDescent="0.25">
      <c r="B289" t="s">
        <v>338</v>
      </c>
      <c r="C289" s="37" t="s">
        <v>301</v>
      </c>
      <c r="D289" s="37" t="s">
        <v>334</v>
      </c>
      <c r="E289" s="37" t="str">
        <f>CONCATENATE(Table_Name[[#This Row],[Table name]],"[Link]")</f>
        <v>Horizonal_Back[Link]</v>
      </c>
    </row>
    <row r="290" spans="2:5" ht="14.45" hidden="1" customHeight="1" x14ac:dyDescent="0.25">
      <c r="B290" t="s">
        <v>339</v>
      </c>
      <c r="C290" s="37" t="s">
        <v>302</v>
      </c>
      <c r="D290" s="37" t="s">
        <v>320</v>
      </c>
      <c r="E290" s="37" t="str">
        <f>CONCATENATE(Table_Name[[#This Row],[Table name]],"[Link]")</f>
        <v>Vertical_Back[Link]</v>
      </c>
    </row>
    <row r="291" spans="2:5" ht="14.45" hidden="1" customHeight="1" x14ac:dyDescent="0.25">
      <c r="B291" t="s">
        <v>20</v>
      </c>
      <c r="C291" s="37" t="s">
        <v>20</v>
      </c>
      <c r="D291" s="37" t="s">
        <v>321</v>
      </c>
      <c r="E291" s="37" t="str">
        <f>CONCATENATE(Table_Name[[#This Row],[Table name]],"[Link]")</f>
        <v>Quads[Link]</v>
      </c>
    </row>
    <row r="292" spans="2:5" ht="14.45" hidden="1" customHeight="1" x14ac:dyDescent="0.25">
      <c r="B292" t="s">
        <v>108</v>
      </c>
      <c r="C292" s="37" t="s">
        <v>108</v>
      </c>
      <c r="D292" s="37" t="s">
        <v>322</v>
      </c>
      <c r="E292" s="37" t="str">
        <f>CONCATENATE(Table_Name[[#This Row],[Table name]],"[Link]")</f>
        <v>Glutes[Link]</v>
      </c>
    </row>
    <row r="293" spans="2:5" ht="14.45" hidden="1" customHeight="1" x14ac:dyDescent="0.25">
      <c r="B293" t="s">
        <v>107</v>
      </c>
      <c r="C293" s="37" t="s">
        <v>303</v>
      </c>
      <c r="D293" s="37" t="s">
        <v>323</v>
      </c>
      <c r="E293" s="37" t="str">
        <f>CONCATENATE(Table_Name[[#This Row],[Table name]],"[Link]")</f>
        <v>Hamstrings_Hip_Hinge[Link]</v>
      </c>
    </row>
    <row r="294" spans="2:5" ht="14.45" hidden="1" customHeight="1" x14ac:dyDescent="0.25">
      <c r="B294" t="s">
        <v>106</v>
      </c>
      <c r="C294" s="37" t="s">
        <v>304</v>
      </c>
      <c r="D294" s="37" t="s">
        <v>324</v>
      </c>
      <c r="E294" s="37" t="str">
        <f>CONCATENATE(Table_Name[[#This Row],[Table name]],"[Link]")</f>
        <v>Hamstrings_Isolation[Link]</v>
      </c>
    </row>
    <row r="295" spans="2:5" ht="14.45" hidden="1" customHeight="1" x14ac:dyDescent="0.25">
      <c r="B295" t="s">
        <v>37</v>
      </c>
      <c r="C295" s="37" t="s">
        <v>305</v>
      </c>
      <c r="D295" s="37" t="s">
        <v>325</v>
      </c>
      <c r="E295" s="37" t="str">
        <f>CONCATENATE(Table_Name[[#This Row],[Table name]],"[Link]")</f>
        <v>Chest_Isolation[Link]</v>
      </c>
    </row>
    <row r="296" spans="2:5" ht="14.45" hidden="1" customHeight="1" x14ac:dyDescent="0.25">
      <c r="B296" t="s">
        <v>344</v>
      </c>
      <c r="C296" s="37" t="s">
        <v>306</v>
      </c>
      <c r="D296" s="37" t="s">
        <v>326</v>
      </c>
      <c r="E296" s="37" t="str">
        <f>CONCATENATE(Table_Name[[#This Row],[Table name]],"[Link]")</f>
        <v>Horizontal_Push[Link]</v>
      </c>
    </row>
    <row r="297" spans="2:5" ht="14.45" hidden="1" customHeight="1" x14ac:dyDescent="0.25">
      <c r="B297" t="s">
        <v>343</v>
      </c>
      <c r="C297" s="37" t="s">
        <v>307</v>
      </c>
      <c r="D297" s="37" t="s">
        <v>327</v>
      </c>
      <c r="E297" s="37" t="str">
        <f>CONCATENATE(Table_Name[[#This Row],[Table name]],"[Link]")</f>
        <v>Incline_Push[Link]</v>
      </c>
    </row>
    <row r="298" spans="2:5" ht="14.45" hidden="1" customHeight="1" x14ac:dyDescent="0.25">
      <c r="B298" t="s">
        <v>104</v>
      </c>
      <c r="C298" s="37" t="s">
        <v>308</v>
      </c>
      <c r="D298" s="37" t="s">
        <v>328</v>
      </c>
      <c r="E298" s="37" t="str">
        <f>CONCATENATE(Table_Name[[#This Row],[Table name]],"[Link]")</f>
        <v>Front_Delts[Link]</v>
      </c>
    </row>
    <row r="299" spans="2:5" ht="14.45" hidden="1" customHeight="1" x14ac:dyDescent="0.25">
      <c r="B299" t="s">
        <v>17</v>
      </c>
      <c r="C299" s="37" t="s">
        <v>17</v>
      </c>
      <c r="D299" s="37" t="s">
        <v>329</v>
      </c>
      <c r="E299" s="37" t="str">
        <f>CONCATENATE(Table_Name[[#This Row],[Table name]],"[Link]")</f>
        <v>Triceps[Link]</v>
      </c>
    </row>
    <row r="300" spans="2:5" ht="14.45" hidden="1" customHeight="1" x14ac:dyDescent="0.25">
      <c r="B300" t="s">
        <v>176</v>
      </c>
      <c r="C300" s="37" t="s">
        <v>309</v>
      </c>
      <c r="D300" s="37" t="s">
        <v>330</v>
      </c>
      <c r="E300" s="37" t="str">
        <f>CONCATENATE(Table_Name[[#This Row],[Table name]],"[Link]")</f>
        <v>Incline_Push_or_Front_Delts[Link]</v>
      </c>
    </row>
    <row r="301" spans="2:5" ht="14.45" hidden="1" customHeight="1" x14ac:dyDescent="0.25">
      <c r="B301" t="s">
        <v>175</v>
      </c>
      <c r="C301" s="37" t="s">
        <v>310</v>
      </c>
      <c r="D301" s="37" t="s">
        <v>331</v>
      </c>
      <c r="E301" s="37" t="str">
        <f>CONCATENATE(Table_Name[[#This Row],[Table name]],"[Link]")</f>
        <v>Chest_Isolation_or_Triceps[Link]</v>
      </c>
    </row>
    <row r="302" spans="2:5" ht="14.45" hidden="1" customHeight="1" x14ac:dyDescent="0.25">
      <c r="B302" t="s">
        <v>340</v>
      </c>
      <c r="C302" s="37" t="s">
        <v>311</v>
      </c>
      <c r="D302" s="37" t="s">
        <v>332</v>
      </c>
      <c r="E302" s="37" t="str">
        <f>CONCATENATE(Table_Name[[#This Row],[Table name]],"[Link]")</f>
        <v>Rear_or_Side_Delts[Link]</v>
      </c>
    </row>
    <row r="303" spans="2:5" ht="14.45" hidden="1" customHeight="1" x14ac:dyDescent="0.25"/>
    <row r="304" spans="2:5" ht="14.45" hidden="1" customHeight="1" x14ac:dyDescent="0.25">
      <c r="B304" s="9" t="s">
        <v>88</v>
      </c>
      <c r="C304" t="s">
        <v>294</v>
      </c>
      <c r="D304" s="9" t="s">
        <v>295</v>
      </c>
    </row>
    <row r="305" spans="2:4" ht="14.45" hidden="1" customHeight="1" x14ac:dyDescent="0.25">
      <c r="B305" s="37" t="s">
        <v>109</v>
      </c>
      <c r="C305" t="s">
        <v>178</v>
      </c>
      <c r="D305" t="s">
        <v>77</v>
      </c>
    </row>
    <row r="306" spans="2:4" ht="14.45" hidden="1" customHeight="1" x14ac:dyDescent="0.25">
      <c r="B306" s="37" t="s">
        <v>79</v>
      </c>
      <c r="C306" t="s">
        <v>179</v>
      </c>
      <c r="D306" t="s">
        <v>77</v>
      </c>
    </row>
    <row r="307" spans="2:4" ht="14.45" hidden="1" customHeight="1" x14ac:dyDescent="0.25">
      <c r="B307" s="37" t="s">
        <v>80</v>
      </c>
      <c r="C307" t="s">
        <v>180</v>
      </c>
      <c r="D307" t="s">
        <v>77</v>
      </c>
    </row>
    <row r="308" spans="2:4" ht="14.45" hidden="1" customHeight="1" x14ac:dyDescent="0.25">
      <c r="B308" s="37" t="s">
        <v>78</v>
      </c>
      <c r="C308" t="s">
        <v>181</v>
      </c>
      <c r="D308" t="s">
        <v>77</v>
      </c>
    </row>
    <row r="309" spans="2:4" ht="14.45" hidden="1" customHeight="1" x14ac:dyDescent="0.25">
      <c r="B309" s="39" t="s">
        <v>110</v>
      </c>
      <c r="C309" t="s">
        <v>182</v>
      </c>
      <c r="D309" t="s">
        <v>77</v>
      </c>
    </row>
    <row r="310" spans="2:4" ht="14.45" hidden="1" customHeight="1" x14ac:dyDescent="0.25">
      <c r="B310" s="37" t="s">
        <v>81</v>
      </c>
      <c r="C310" t="s">
        <v>183</v>
      </c>
      <c r="D310" t="s">
        <v>77</v>
      </c>
    </row>
    <row r="311" spans="2:4" ht="14.45" hidden="1" customHeight="1" x14ac:dyDescent="0.25">
      <c r="B311" s="37" t="s">
        <v>146</v>
      </c>
      <c r="C311" t="s">
        <v>184</v>
      </c>
      <c r="D311" t="s">
        <v>77</v>
      </c>
    </row>
    <row r="312" spans="2:4" ht="14.45" hidden="1" customHeight="1" x14ac:dyDescent="0.25">
      <c r="B312" s="37" t="s">
        <v>61</v>
      </c>
      <c r="C312" t="s">
        <v>189</v>
      </c>
      <c r="D312" t="s">
        <v>18</v>
      </c>
    </row>
    <row r="313" spans="2:4" ht="14.45" hidden="1" customHeight="1" x14ac:dyDescent="0.25">
      <c r="B313" s="37" t="s">
        <v>62</v>
      </c>
      <c r="C313" t="s">
        <v>190</v>
      </c>
      <c r="D313" t="s">
        <v>18</v>
      </c>
    </row>
    <row r="314" spans="2:4" ht="14.45" hidden="1" customHeight="1" x14ac:dyDescent="0.25">
      <c r="B314" s="37" t="s">
        <v>112</v>
      </c>
      <c r="C314" t="s">
        <v>191</v>
      </c>
      <c r="D314" t="s">
        <v>18</v>
      </c>
    </row>
    <row r="315" spans="2:4" ht="14.45" hidden="1" customHeight="1" x14ac:dyDescent="0.25">
      <c r="B315" s="37" t="s">
        <v>63</v>
      </c>
      <c r="C315" t="s">
        <v>192</v>
      </c>
      <c r="D315" t="s">
        <v>18</v>
      </c>
    </row>
    <row r="316" spans="2:4" ht="14.45" hidden="1" customHeight="1" x14ac:dyDescent="0.25">
      <c r="B316" s="37" t="s">
        <v>113</v>
      </c>
      <c r="C316" t="s">
        <v>193</v>
      </c>
      <c r="D316" t="s">
        <v>18</v>
      </c>
    </row>
    <row r="317" spans="2:4" ht="14.45" hidden="1" customHeight="1" x14ac:dyDescent="0.25">
      <c r="B317" s="37" t="s">
        <v>114</v>
      </c>
      <c r="C317" t="s">
        <v>194</v>
      </c>
      <c r="D317" t="s">
        <v>18</v>
      </c>
    </row>
    <row r="318" spans="2:4" ht="14.45" hidden="1" customHeight="1" x14ac:dyDescent="0.25">
      <c r="B318" s="37" t="s">
        <v>147</v>
      </c>
      <c r="C318" t="s">
        <v>195</v>
      </c>
      <c r="D318" t="s">
        <v>18</v>
      </c>
    </row>
    <row r="319" spans="2:4" ht="14.45" hidden="1" customHeight="1" x14ac:dyDescent="0.25">
      <c r="B319" s="37" t="s">
        <v>148</v>
      </c>
      <c r="C319" t="s">
        <v>196</v>
      </c>
      <c r="D319" t="s">
        <v>18</v>
      </c>
    </row>
    <row r="320" spans="2:4" ht="14.45" hidden="1" customHeight="1" x14ac:dyDescent="0.25">
      <c r="B320" s="39" t="s">
        <v>115</v>
      </c>
      <c r="C320" t="s">
        <v>197</v>
      </c>
      <c r="D320" t="s">
        <v>18</v>
      </c>
    </row>
    <row r="321" spans="2:4" ht="14.45" hidden="1" customHeight="1" x14ac:dyDescent="0.25">
      <c r="B321" s="37" t="s">
        <v>116</v>
      </c>
      <c r="C321" t="s">
        <v>198</v>
      </c>
      <c r="D321" t="s">
        <v>18</v>
      </c>
    </row>
    <row r="322" spans="2:4" ht="14.45" hidden="1" customHeight="1" x14ac:dyDescent="0.25">
      <c r="B322" s="37" t="s">
        <v>149</v>
      </c>
      <c r="C322" t="s">
        <v>199</v>
      </c>
      <c r="D322" t="s">
        <v>18</v>
      </c>
    </row>
    <row r="323" spans="2:4" ht="14.45" hidden="1" customHeight="1" x14ac:dyDescent="0.25">
      <c r="B323" s="37" t="s">
        <v>111</v>
      </c>
      <c r="C323" t="s">
        <v>185</v>
      </c>
      <c r="D323" t="s">
        <v>19</v>
      </c>
    </row>
    <row r="324" spans="2:4" ht="14.45" hidden="1" customHeight="1" x14ac:dyDescent="0.25">
      <c r="B324" s="37" t="s">
        <v>75</v>
      </c>
      <c r="C324" t="s">
        <v>186</v>
      </c>
      <c r="D324" t="s">
        <v>19</v>
      </c>
    </row>
    <row r="325" spans="2:4" ht="14.45" hidden="1" customHeight="1" x14ac:dyDescent="0.25">
      <c r="B325" s="37" t="s">
        <v>74</v>
      </c>
      <c r="C325" t="s">
        <v>187</v>
      </c>
      <c r="D325" t="s">
        <v>19</v>
      </c>
    </row>
    <row r="326" spans="2:4" ht="14.45" hidden="1" customHeight="1" x14ac:dyDescent="0.25">
      <c r="B326" s="37" t="s">
        <v>76</v>
      </c>
      <c r="C326" t="s">
        <v>188</v>
      </c>
      <c r="D326" t="s">
        <v>19</v>
      </c>
    </row>
    <row r="327" spans="2:4" ht="14.45" hidden="1" customHeight="1" x14ac:dyDescent="0.25">
      <c r="B327" s="37" t="s">
        <v>138</v>
      </c>
      <c r="C327" t="s">
        <v>268</v>
      </c>
      <c r="D327" t="s">
        <v>37</v>
      </c>
    </row>
    <row r="328" spans="2:4" ht="14.45" hidden="1" customHeight="1" x14ac:dyDescent="0.25">
      <c r="B328" s="37" t="s">
        <v>38</v>
      </c>
      <c r="C328" t="s">
        <v>269</v>
      </c>
      <c r="D328" t="s">
        <v>37</v>
      </c>
    </row>
    <row r="329" spans="2:4" ht="14.45" hidden="1" customHeight="1" x14ac:dyDescent="0.25">
      <c r="B329" s="37" t="s">
        <v>39</v>
      </c>
      <c r="C329" t="s">
        <v>270</v>
      </c>
      <c r="D329" t="s">
        <v>37</v>
      </c>
    </row>
    <row r="330" spans="2:4" ht="14.45" hidden="1" customHeight="1" x14ac:dyDescent="0.25">
      <c r="B330" s="37" t="s">
        <v>139</v>
      </c>
      <c r="C330" t="s">
        <v>271</v>
      </c>
      <c r="D330" t="s">
        <v>37</v>
      </c>
    </row>
    <row r="331" spans="2:4" ht="14.45" hidden="1" customHeight="1" x14ac:dyDescent="0.25">
      <c r="B331" s="37" t="s">
        <v>40</v>
      </c>
      <c r="C331" t="s">
        <v>272</v>
      </c>
      <c r="D331" t="s">
        <v>37</v>
      </c>
    </row>
    <row r="332" spans="2:4" ht="14.45" hidden="1" customHeight="1" x14ac:dyDescent="0.25">
      <c r="B332" s="37" t="s">
        <v>140</v>
      </c>
      <c r="C332" t="s">
        <v>273</v>
      </c>
      <c r="D332" t="s">
        <v>37</v>
      </c>
    </row>
    <row r="333" spans="2:4" ht="14.45" hidden="1" customHeight="1" x14ac:dyDescent="0.25">
      <c r="B333" s="37" t="s">
        <v>141</v>
      </c>
      <c r="C333" t="s">
        <v>274</v>
      </c>
      <c r="D333" t="s">
        <v>37</v>
      </c>
    </row>
    <row r="334" spans="2:4" ht="14.45" hidden="1" customHeight="1" x14ac:dyDescent="0.25">
      <c r="B334" s="37" t="s">
        <v>138</v>
      </c>
      <c r="C334" t="s">
        <v>268</v>
      </c>
      <c r="D334" t="s">
        <v>175</v>
      </c>
    </row>
    <row r="335" spans="2:4" ht="14.45" hidden="1" customHeight="1" x14ac:dyDescent="0.25">
      <c r="B335" s="37" t="s">
        <v>152</v>
      </c>
      <c r="C335" t="s">
        <v>213</v>
      </c>
      <c r="D335" t="s">
        <v>175</v>
      </c>
    </row>
    <row r="336" spans="2:4" ht="14.45" hidden="1" customHeight="1" x14ac:dyDescent="0.25">
      <c r="B336" s="37" t="s">
        <v>38</v>
      </c>
      <c r="C336" t="s">
        <v>269</v>
      </c>
      <c r="D336" t="s">
        <v>175</v>
      </c>
    </row>
    <row r="337" spans="2:4" ht="14.45" hidden="1" customHeight="1" x14ac:dyDescent="0.25">
      <c r="B337" s="37" t="s">
        <v>59</v>
      </c>
      <c r="C337" t="s">
        <v>221</v>
      </c>
      <c r="D337" t="s">
        <v>175</v>
      </c>
    </row>
    <row r="338" spans="2:4" ht="14.45" hidden="1" customHeight="1" x14ac:dyDescent="0.25">
      <c r="B338" s="37" t="s">
        <v>39</v>
      </c>
      <c r="C338" t="s">
        <v>270</v>
      </c>
      <c r="D338" t="s">
        <v>175</v>
      </c>
    </row>
    <row r="339" spans="2:4" ht="14.45" hidden="1" customHeight="1" x14ac:dyDescent="0.25">
      <c r="B339" s="37" t="s">
        <v>124</v>
      </c>
      <c r="C339" t="s">
        <v>214</v>
      </c>
      <c r="D339" t="s">
        <v>175</v>
      </c>
    </row>
    <row r="340" spans="2:4" ht="14.45" hidden="1" customHeight="1" x14ac:dyDescent="0.25">
      <c r="B340" s="37" t="s">
        <v>139</v>
      </c>
      <c r="C340" t="s">
        <v>271</v>
      </c>
      <c r="D340" t="s">
        <v>175</v>
      </c>
    </row>
    <row r="341" spans="2:4" ht="14.45" hidden="1" customHeight="1" x14ac:dyDescent="0.25">
      <c r="B341" s="37" t="s">
        <v>58</v>
      </c>
      <c r="C341" t="s">
        <v>222</v>
      </c>
      <c r="D341" t="s">
        <v>175</v>
      </c>
    </row>
    <row r="342" spans="2:4" ht="14.45" hidden="1" customHeight="1" x14ac:dyDescent="0.25">
      <c r="B342" s="37" t="s">
        <v>40</v>
      </c>
      <c r="C342" t="s">
        <v>272</v>
      </c>
      <c r="D342" t="s">
        <v>175</v>
      </c>
    </row>
    <row r="343" spans="2:4" ht="14.45" hidden="1" customHeight="1" x14ac:dyDescent="0.25">
      <c r="B343" s="37" t="s">
        <v>56</v>
      </c>
      <c r="C343" t="s">
        <v>215</v>
      </c>
      <c r="D343" t="s">
        <v>175</v>
      </c>
    </row>
    <row r="344" spans="2:4" ht="14.45" hidden="1" customHeight="1" x14ac:dyDescent="0.25">
      <c r="B344" s="37" t="s">
        <v>140</v>
      </c>
      <c r="C344" t="s">
        <v>273</v>
      </c>
      <c r="D344" t="s">
        <v>175</v>
      </c>
    </row>
    <row r="345" spans="2:4" ht="14.45" hidden="1" customHeight="1" x14ac:dyDescent="0.25">
      <c r="B345" s="37" t="s">
        <v>154</v>
      </c>
      <c r="C345" t="s">
        <v>223</v>
      </c>
      <c r="D345" t="s">
        <v>175</v>
      </c>
    </row>
    <row r="346" spans="2:4" ht="14.45" hidden="1" customHeight="1" x14ac:dyDescent="0.25">
      <c r="B346" s="37" t="s">
        <v>141</v>
      </c>
      <c r="C346" t="s">
        <v>274</v>
      </c>
      <c r="D346" t="s">
        <v>175</v>
      </c>
    </row>
    <row r="347" spans="2:4" ht="14.45" hidden="1" customHeight="1" x14ac:dyDescent="0.25">
      <c r="B347" s="37" t="s">
        <v>55</v>
      </c>
      <c r="C347" t="s">
        <v>216</v>
      </c>
      <c r="D347" t="s">
        <v>175</v>
      </c>
    </row>
    <row r="348" spans="2:4" ht="14.45" hidden="1" customHeight="1" x14ac:dyDescent="0.25">
      <c r="B348" s="37" t="s">
        <v>155</v>
      </c>
      <c r="C348" t="s">
        <v>224</v>
      </c>
      <c r="D348" t="s">
        <v>175</v>
      </c>
    </row>
    <row r="349" spans="2:4" ht="14.45" hidden="1" customHeight="1" x14ac:dyDescent="0.25">
      <c r="B349" s="37" t="s">
        <v>153</v>
      </c>
      <c r="C349" t="s">
        <v>217</v>
      </c>
      <c r="D349" t="s">
        <v>175</v>
      </c>
    </row>
    <row r="350" spans="2:4" ht="14.45" hidden="1" customHeight="1" x14ac:dyDescent="0.25">
      <c r="B350" s="37" t="s">
        <v>60</v>
      </c>
      <c r="C350" t="s">
        <v>225</v>
      </c>
      <c r="D350" t="s">
        <v>175</v>
      </c>
    </row>
    <row r="351" spans="2:4" ht="14.45" hidden="1" customHeight="1" x14ac:dyDescent="0.25">
      <c r="B351" s="37" t="s">
        <v>53</v>
      </c>
      <c r="C351" t="s">
        <v>218</v>
      </c>
      <c r="D351" t="s">
        <v>175</v>
      </c>
    </row>
    <row r="352" spans="2:4" ht="14.45" hidden="1" customHeight="1" x14ac:dyDescent="0.25">
      <c r="B352" s="37" t="s">
        <v>125</v>
      </c>
      <c r="C352" t="s">
        <v>219</v>
      </c>
      <c r="D352" t="s">
        <v>175</v>
      </c>
    </row>
    <row r="353" spans="2:4" ht="14.45" hidden="1" customHeight="1" x14ac:dyDescent="0.25">
      <c r="B353" s="37" t="s">
        <v>54</v>
      </c>
      <c r="C353" t="s">
        <v>220</v>
      </c>
      <c r="D353" t="s">
        <v>175</v>
      </c>
    </row>
    <row r="354" spans="2:4" ht="14.45" hidden="1" customHeight="1" x14ac:dyDescent="0.25">
      <c r="B354" s="37" t="s">
        <v>32</v>
      </c>
      <c r="C354" t="s">
        <v>288</v>
      </c>
      <c r="D354" t="s">
        <v>104</v>
      </c>
    </row>
    <row r="355" spans="2:4" ht="14.45" hidden="1" customHeight="1" x14ac:dyDescent="0.25">
      <c r="B355" s="37" t="s">
        <v>34</v>
      </c>
      <c r="C355" t="s">
        <v>289</v>
      </c>
      <c r="D355" t="s">
        <v>104</v>
      </c>
    </row>
    <row r="356" spans="2:4" ht="14.45" hidden="1" customHeight="1" x14ac:dyDescent="0.25">
      <c r="B356" s="37" t="s">
        <v>35</v>
      </c>
      <c r="C356" t="s">
        <v>290</v>
      </c>
      <c r="D356" t="s">
        <v>104</v>
      </c>
    </row>
    <row r="357" spans="2:4" ht="14.45" hidden="1" customHeight="1" x14ac:dyDescent="0.25">
      <c r="B357" s="37" t="s">
        <v>174</v>
      </c>
      <c r="C357" t="s">
        <v>291</v>
      </c>
      <c r="D357" t="s">
        <v>104</v>
      </c>
    </row>
    <row r="358" spans="2:4" ht="14.45" hidden="1" customHeight="1" x14ac:dyDescent="0.25">
      <c r="B358" s="13" t="s">
        <v>145</v>
      </c>
      <c r="C358" t="s">
        <v>292</v>
      </c>
      <c r="D358" t="s">
        <v>104</v>
      </c>
    </row>
    <row r="359" spans="2:4" ht="14.45" hidden="1" customHeight="1" x14ac:dyDescent="0.25">
      <c r="B359" s="37" t="s">
        <v>33</v>
      </c>
      <c r="C359" t="s">
        <v>293</v>
      </c>
      <c r="D359" t="s">
        <v>104</v>
      </c>
    </row>
    <row r="360" spans="2:4" ht="14.45" hidden="1" customHeight="1" x14ac:dyDescent="0.25">
      <c r="B360" s="37" t="s">
        <v>66</v>
      </c>
      <c r="C360" t="s">
        <v>253</v>
      </c>
      <c r="D360" t="s">
        <v>108</v>
      </c>
    </row>
    <row r="361" spans="2:4" ht="14.45" hidden="1" customHeight="1" x14ac:dyDescent="0.25">
      <c r="B361" s="37" t="s">
        <v>67</v>
      </c>
      <c r="C361" t="s">
        <v>254</v>
      </c>
      <c r="D361" t="s">
        <v>108</v>
      </c>
    </row>
    <row r="362" spans="2:4" ht="14.45" hidden="1" customHeight="1" x14ac:dyDescent="0.25">
      <c r="B362" s="37" t="s">
        <v>133</v>
      </c>
      <c r="C362" t="s">
        <v>255</v>
      </c>
      <c r="D362" t="s">
        <v>108</v>
      </c>
    </row>
    <row r="363" spans="2:4" ht="14.45" hidden="1" customHeight="1" x14ac:dyDescent="0.25">
      <c r="B363" s="37" t="s">
        <v>170</v>
      </c>
      <c r="C363" t="s">
        <v>256</v>
      </c>
      <c r="D363" t="s">
        <v>108</v>
      </c>
    </row>
    <row r="364" spans="2:4" ht="14.45" hidden="1" customHeight="1" x14ac:dyDescent="0.25">
      <c r="B364" s="37" t="s">
        <v>70</v>
      </c>
      <c r="C364" t="s">
        <v>257</v>
      </c>
      <c r="D364" t="s">
        <v>108</v>
      </c>
    </row>
    <row r="365" spans="2:4" ht="14.45" hidden="1" customHeight="1" x14ac:dyDescent="0.25">
      <c r="B365" s="37" t="s">
        <v>69</v>
      </c>
      <c r="C365" t="s">
        <v>258</v>
      </c>
      <c r="D365" t="s">
        <v>108</v>
      </c>
    </row>
    <row r="366" spans="2:4" ht="14.45" hidden="1" customHeight="1" x14ac:dyDescent="0.25">
      <c r="B366" s="37" t="s">
        <v>134</v>
      </c>
      <c r="C366" t="s">
        <v>259</v>
      </c>
      <c r="D366" t="s">
        <v>108</v>
      </c>
    </row>
    <row r="367" spans="2:4" ht="14.45" hidden="1" customHeight="1" x14ac:dyDescent="0.25">
      <c r="B367" s="37" t="s">
        <v>171</v>
      </c>
      <c r="C367" t="s">
        <v>260</v>
      </c>
      <c r="D367" t="s">
        <v>108</v>
      </c>
    </row>
    <row r="368" spans="2:4" ht="14.45" hidden="1" customHeight="1" x14ac:dyDescent="0.25">
      <c r="B368" s="37" t="s">
        <v>135</v>
      </c>
      <c r="C368" t="s">
        <v>261</v>
      </c>
      <c r="D368" t="s">
        <v>107</v>
      </c>
    </row>
    <row r="369" spans="2:4" ht="14.45" hidden="1" customHeight="1" x14ac:dyDescent="0.25">
      <c r="B369" s="37" t="s">
        <v>71</v>
      </c>
      <c r="C369" t="s">
        <v>262</v>
      </c>
      <c r="D369" t="s">
        <v>107</v>
      </c>
    </row>
    <row r="370" spans="2:4" ht="14.45" hidden="1" customHeight="1" x14ac:dyDescent="0.25">
      <c r="B370" s="37" t="s">
        <v>72</v>
      </c>
      <c r="C370" t="s">
        <v>263</v>
      </c>
      <c r="D370" t="s">
        <v>107</v>
      </c>
    </row>
    <row r="371" spans="2:4" ht="14.45" hidden="1" customHeight="1" x14ac:dyDescent="0.25">
      <c r="B371" s="37" t="s">
        <v>136</v>
      </c>
      <c r="C371" t="s">
        <v>264</v>
      </c>
      <c r="D371" t="s">
        <v>107</v>
      </c>
    </row>
    <row r="372" spans="2:4" ht="14.45" hidden="1" customHeight="1" x14ac:dyDescent="0.25">
      <c r="B372" s="37" t="s">
        <v>172</v>
      </c>
      <c r="C372" t="s">
        <v>265</v>
      </c>
      <c r="D372" t="s">
        <v>106</v>
      </c>
    </row>
    <row r="373" spans="2:4" ht="14.45" hidden="1" customHeight="1" x14ac:dyDescent="0.25">
      <c r="B373" s="37" t="s">
        <v>73</v>
      </c>
      <c r="C373" t="s">
        <v>266</v>
      </c>
      <c r="D373" t="s">
        <v>106</v>
      </c>
    </row>
    <row r="374" spans="2:4" ht="14.45" hidden="1" customHeight="1" x14ac:dyDescent="0.25">
      <c r="B374" s="37" t="s">
        <v>137</v>
      </c>
      <c r="C374" t="s">
        <v>267</v>
      </c>
      <c r="D374" t="s">
        <v>106</v>
      </c>
    </row>
    <row r="375" spans="2:4" ht="14.45" hidden="1" customHeight="1" x14ac:dyDescent="0.25">
      <c r="B375" s="37" t="s">
        <v>156</v>
      </c>
      <c r="C375" t="s">
        <v>226</v>
      </c>
      <c r="D375" t="s">
        <v>126</v>
      </c>
    </row>
    <row r="376" spans="2:4" ht="14.45" hidden="1" customHeight="1" x14ac:dyDescent="0.25">
      <c r="B376" s="37" t="s">
        <v>157</v>
      </c>
      <c r="C376" t="s">
        <v>227</v>
      </c>
      <c r="D376" t="s">
        <v>126</v>
      </c>
    </row>
    <row r="377" spans="2:4" ht="14.45" hidden="1" customHeight="1" x14ac:dyDescent="0.25">
      <c r="B377" s="37" t="s">
        <v>158</v>
      </c>
      <c r="C377" t="s">
        <v>228</v>
      </c>
      <c r="D377" t="s">
        <v>126</v>
      </c>
    </row>
    <row r="378" spans="2:4" ht="14.45" hidden="1" customHeight="1" x14ac:dyDescent="0.25">
      <c r="B378" s="37" t="s">
        <v>42</v>
      </c>
      <c r="C378" t="s">
        <v>229</v>
      </c>
      <c r="D378" t="s">
        <v>126</v>
      </c>
    </row>
    <row r="379" spans="2:4" ht="14.45" hidden="1" customHeight="1" x14ac:dyDescent="0.25">
      <c r="B379" s="37" t="s">
        <v>127</v>
      </c>
      <c r="C379" t="s">
        <v>230</v>
      </c>
      <c r="D379" t="s">
        <v>126</v>
      </c>
    </row>
    <row r="380" spans="2:4" ht="14.45" hidden="1" customHeight="1" x14ac:dyDescent="0.25">
      <c r="B380" s="37" t="s">
        <v>128</v>
      </c>
      <c r="C380" t="s">
        <v>231</v>
      </c>
      <c r="D380" t="s">
        <v>126</v>
      </c>
    </row>
    <row r="381" spans="2:4" ht="14.45" hidden="1" customHeight="1" x14ac:dyDescent="0.25">
      <c r="B381" s="37" t="s">
        <v>41</v>
      </c>
      <c r="C381" t="s">
        <v>232</v>
      </c>
      <c r="D381" t="s">
        <v>126</v>
      </c>
    </row>
    <row r="382" spans="2:4" ht="14.45" hidden="1" customHeight="1" x14ac:dyDescent="0.25">
      <c r="B382" s="37" t="s">
        <v>129</v>
      </c>
      <c r="C382" t="s">
        <v>233</v>
      </c>
      <c r="D382" t="s">
        <v>126</v>
      </c>
    </row>
    <row r="383" spans="2:4" ht="14.45" hidden="1" customHeight="1" x14ac:dyDescent="0.25">
      <c r="B383" s="37" t="s">
        <v>23</v>
      </c>
      <c r="C383" t="s">
        <v>275</v>
      </c>
      <c r="D383" t="s">
        <v>22</v>
      </c>
    </row>
    <row r="384" spans="2:4" ht="14.45" hidden="1" customHeight="1" x14ac:dyDescent="0.25">
      <c r="B384" s="37" t="s">
        <v>25</v>
      </c>
      <c r="C384" t="s">
        <v>276</v>
      </c>
      <c r="D384" t="s">
        <v>22</v>
      </c>
    </row>
    <row r="385" spans="2:4" ht="14.45" hidden="1" customHeight="1" x14ac:dyDescent="0.25">
      <c r="B385" s="37" t="s">
        <v>142</v>
      </c>
      <c r="C385" t="s">
        <v>277</v>
      </c>
      <c r="D385" t="s">
        <v>22</v>
      </c>
    </row>
    <row r="386" spans="2:4" ht="14.45" hidden="1" customHeight="1" x14ac:dyDescent="0.25">
      <c r="B386" s="37" t="s">
        <v>24</v>
      </c>
      <c r="C386" t="s">
        <v>278</v>
      </c>
      <c r="D386" t="s">
        <v>22</v>
      </c>
    </row>
    <row r="387" spans="2:4" ht="14.45" hidden="1" customHeight="1" x14ac:dyDescent="0.25">
      <c r="B387" s="13" t="s">
        <v>173</v>
      </c>
      <c r="C387" t="s">
        <v>279</v>
      </c>
      <c r="D387" t="s">
        <v>22</v>
      </c>
    </row>
    <row r="388" spans="2:4" ht="14.45" hidden="1" customHeight="1" x14ac:dyDescent="0.25">
      <c r="B388" s="37" t="s">
        <v>26</v>
      </c>
      <c r="C388" t="s">
        <v>280</v>
      </c>
      <c r="D388" t="s">
        <v>22</v>
      </c>
    </row>
    <row r="389" spans="2:4" ht="14.45" hidden="1" customHeight="1" x14ac:dyDescent="0.25">
      <c r="B389" s="37" t="s">
        <v>27</v>
      </c>
      <c r="C389" t="s">
        <v>281</v>
      </c>
      <c r="D389" t="s">
        <v>22</v>
      </c>
    </row>
    <row r="390" spans="2:4" ht="14.45" hidden="1" customHeight="1" x14ac:dyDescent="0.25">
      <c r="B390" s="37" t="s">
        <v>152</v>
      </c>
      <c r="C390" t="s">
        <v>213</v>
      </c>
      <c r="D390" t="s">
        <v>52</v>
      </c>
    </row>
    <row r="391" spans="2:4" ht="14.45" hidden="1" customHeight="1" x14ac:dyDescent="0.25">
      <c r="B391" s="37" t="s">
        <v>124</v>
      </c>
      <c r="C391" t="s">
        <v>214</v>
      </c>
      <c r="D391" t="s">
        <v>52</v>
      </c>
    </row>
    <row r="392" spans="2:4" ht="14.45" hidden="1" customHeight="1" x14ac:dyDescent="0.25">
      <c r="B392" s="37" t="s">
        <v>56</v>
      </c>
      <c r="C392" t="s">
        <v>215</v>
      </c>
      <c r="D392" t="s">
        <v>52</v>
      </c>
    </row>
    <row r="393" spans="2:4" ht="14.45" hidden="1" customHeight="1" x14ac:dyDescent="0.25">
      <c r="B393" s="37" t="s">
        <v>55</v>
      </c>
      <c r="C393" t="s">
        <v>216</v>
      </c>
      <c r="D393" t="s">
        <v>52</v>
      </c>
    </row>
    <row r="394" spans="2:4" ht="14.45" hidden="1" customHeight="1" x14ac:dyDescent="0.25">
      <c r="B394" s="37" t="s">
        <v>153</v>
      </c>
      <c r="C394" t="s">
        <v>217</v>
      </c>
      <c r="D394" t="s">
        <v>52</v>
      </c>
    </row>
    <row r="395" spans="2:4" ht="14.45" hidden="1" customHeight="1" x14ac:dyDescent="0.25">
      <c r="B395" s="37" t="s">
        <v>53</v>
      </c>
      <c r="C395" t="s">
        <v>218</v>
      </c>
      <c r="D395" t="s">
        <v>52</v>
      </c>
    </row>
    <row r="396" spans="2:4" ht="14.45" hidden="1" customHeight="1" x14ac:dyDescent="0.25">
      <c r="B396" s="37" t="s">
        <v>125</v>
      </c>
      <c r="C396" t="s">
        <v>219</v>
      </c>
      <c r="D396" t="s">
        <v>52</v>
      </c>
    </row>
    <row r="397" spans="2:4" ht="14.45" hidden="1" customHeight="1" x14ac:dyDescent="0.25">
      <c r="B397" s="37" t="s">
        <v>54</v>
      </c>
      <c r="C397" t="s">
        <v>220</v>
      </c>
      <c r="D397" t="s">
        <v>52</v>
      </c>
    </row>
    <row r="398" spans="2:4" ht="14.45" hidden="1" customHeight="1" x14ac:dyDescent="0.25">
      <c r="B398" s="39" t="s">
        <v>29</v>
      </c>
      <c r="C398" t="s">
        <v>282</v>
      </c>
      <c r="D398" t="s">
        <v>143</v>
      </c>
    </row>
    <row r="399" spans="2:4" ht="14.45" hidden="1" customHeight="1" x14ac:dyDescent="0.25">
      <c r="B399" s="37" t="s">
        <v>31</v>
      </c>
      <c r="C399" t="s">
        <v>283</v>
      </c>
      <c r="D399" t="s">
        <v>143</v>
      </c>
    </row>
    <row r="400" spans="2:4" ht="14.45" hidden="1" customHeight="1" x14ac:dyDescent="0.25">
      <c r="B400" s="37" t="s">
        <v>28</v>
      </c>
      <c r="C400" t="s">
        <v>284</v>
      </c>
      <c r="D400" t="s">
        <v>143</v>
      </c>
    </row>
    <row r="401" spans="2:4" ht="14.45" hidden="1" customHeight="1" x14ac:dyDescent="0.25">
      <c r="B401" s="37" t="s">
        <v>36</v>
      </c>
      <c r="C401" t="s">
        <v>285</v>
      </c>
      <c r="D401" t="s">
        <v>143</v>
      </c>
    </row>
    <row r="402" spans="2:4" ht="14.45" hidden="1" customHeight="1" x14ac:dyDescent="0.25">
      <c r="B402" s="37" t="s">
        <v>30</v>
      </c>
      <c r="C402" t="s">
        <v>286</v>
      </c>
      <c r="D402" t="s">
        <v>143</v>
      </c>
    </row>
    <row r="403" spans="2:4" ht="14.45" hidden="1" customHeight="1" x14ac:dyDescent="0.25">
      <c r="B403" s="13" t="s">
        <v>144</v>
      </c>
      <c r="C403" t="s">
        <v>287</v>
      </c>
      <c r="D403" t="s">
        <v>143</v>
      </c>
    </row>
    <row r="404" spans="2:4" ht="14.45" hidden="1" customHeight="1" x14ac:dyDescent="0.25">
      <c r="B404" s="39" t="s">
        <v>29</v>
      </c>
      <c r="C404" t="s">
        <v>282</v>
      </c>
      <c r="D404" t="s">
        <v>176</v>
      </c>
    </row>
    <row r="405" spans="2:4" ht="14.45" hidden="1" customHeight="1" x14ac:dyDescent="0.25">
      <c r="B405" s="37" t="s">
        <v>32</v>
      </c>
      <c r="C405" t="s">
        <v>288</v>
      </c>
      <c r="D405" t="s">
        <v>176</v>
      </c>
    </row>
    <row r="406" spans="2:4" ht="14.45" hidden="1" customHeight="1" x14ac:dyDescent="0.25">
      <c r="B406" s="37" t="s">
        <v>31</v>
      </c>
      <c r="C406" t="s">
        <v>283</v>
      </c>
      <c r="D406" t="s">
        <v>176</v>
      </c>
    </row>
    <row r="407" spans="2:4" ht="14.45" hidden="1" customHeight="1" x14ac:dyDescent="0.25">
      <c r="B407" s="37" t="s">
        <v>34</v>
      </c>
      <c r="C407" t="s">
        <v>289</v>
      </c>
      <c r="D407" t="s">
        <v>176</v>
      </c>
    </row>
    <row r="408" spans="2:4" ht="14.45" hidden="1" customHeight="1" x14ac:dyDescent="0.25">
      <c r="B408" s="37" t="s">
        <v>28</v>
      </c>
      <c r="C408" t="s">
        <v>284</v>
      </c>
      <c r="D408" t="s">
        <v>176</v>
      </c>
    </row>
    <row r="409" spans="2:4" ht="14.45" hidden="1" customHeight="1" x14ac:dyDescent="0.25">
      <c r="B409" s="37" t="s">
        <v>35</v>
      </c>
      <c r="C409" t="s">
        <v>290</v>
      </c>
      <c r="D409" t="s">
        <v>176</v>
      </c>
    </row>
    <row r="410" spans="2:4" ht="14.45" hidden="1" customHeight="1" x14ac:dyDescent="0.25">
      <c r="B410" s="37" t="s">
        <v>36</v>
      </c>
      <c r="C410" t="s">
        <v>285</v>
      </c>
      <c r="D410" t="s">
        <v>176</v>
      </c>
    </row>
    <row r="411" spans="2:4" ht="14.45" hidden="1" customHeight="1" x14ac:dyDescent="0.25">
      <c r="B411" s="37" t="s">
        <v>174</v>
      </c>
      <c r="C411" t="s">
        <v>291</v>
      </c>
      <c r="D411" t="s">
        <v>176</v>
      </c>
    </row>
    <row r="412" spans="2:4" ht="14.45" hidden="1" customHeight="1" x14ac:dyDescent="0.25">
      <c r="B412" s="37" t="s">
        <v>30</v>
      </c>
      <c r="C412" t="s">
        <v>286</v>
      </c>
      <c r="D412" t="s">
        <v>176</v>
      </c>
    </row>
    <row r="413" spans="2:4" ht="14.45" hidden="1" customHeight="1" x14ac:dyDescent="0.25">
      <c r="B413" s="13" t="s">
        <v>145</v>
      </c>
      <c r="C413" t="s">
        <v>292</v>
      </c>
      <c r="D413" t="s">
        <v>176</v>
      </c>
    </row>
    <row r="414" spans="2:4" ht="14.45" hidden="1" customHeight="1" x14ac:dyDescent="0.25">
      <c r="B414" s="13" t="s">
        <v>144</v>
      </c>
      <c r="C414" t="s">
        <v>287</v>
      </c>
      <c r="D414" t="s">
        <v>176</v>
      </c>
    </row>
    <row r="415" spans="2:4" ht="14.45" hidden="1" customHeight="1" x14ac:dyDescent="0.25">
      <c r="B415" s="37" t="s">
        <v>33</v>
      </c>
      <c r="C415" t="s">
        <v>293</v>
      </c>
      <c r="D415" t="s">
        <v>176</v>
      </c>
    </row>
    <row r="416" spans="2:4" ht="14.45" hidden="1" customHeight="1" x14ac:dyDescent="0.25">
      <c r="B416" s="37" t="s">
        <v>64</v>
      </c>
      <c r="C416" t="s">
        <v>246</v>
      </c>
      <c r="D416" t="s">
        <v>20</v>
      </c>
    </row>
    <row r="417" spans="2:4" ht="14.45" hidden="1" customHeight="1" x14ac:dyDescent="0.25">
      <c r="B417" s="37" t="s">
        <v>167</v>
      </c>
      <c r="C417" t="s">
        <v>247</v>
      </c>
      <c r="D417" t="s">
        <v>20</v>
      </c>
    </row>
    <row r="418" spans="2:4" ht="14.45" hidden="1" customHeight="1" x14ac:dyDescent="0.25">
      <c r="B418" s="37" t="s">
        <v>168</v>
      </c>
      <c r="C418" t="s">
        <v>248</v>
      </c>
      <c r="D418" t="s">
        <v>20</v>
      </c>
    </row>
    <row r="419" spans="2:4" ht="14.45" hidden="1" customHeight="1" x14ac:dyDescent="0.25">
      <c r="B419" s="37" t="s">
        <v>65</v>
      </c>
      <c r="C419" t="s">
        <v>249</v>
      </c>
      <c r="D419" t="s">
        <v>20</v>
      </c>
    </row>
    <row r="420" spans="2:4" ht="14.45" hidden="1" customHeight="1" x14ac:dyDescent="0.25">
      <c r="B420" s="37" t="s">
        <v>132</v>
      </c>
      <c r="C420" t="s">
        <v>250</v>
      </c>
      <c r="D420" t="s">
        <v>20</v>
      </c>
    </row>
    <row r="421" spans="2:4" ht="14.45" hidden="1" customHeight="1" x14ac:dyDescent="0.25">
      <c r="B421" s="37" t="s">
        <v>68</v>
      </c>
      <c r="C421" t="s">
        <v>251</v>
      </c>
      <c r="D421" t="s">
        <v>20</v>
      </c>
    </row>
    <row r="422" spans="2:4" ht="14.45" hidden="1" customHeight="1" x14ac:dyDescent="0.25">
      <c r="B422" s="37" t="s">
        <v>169</v>
      </c>
      <c r="C422" t="s">
        <v>252</v>
      </c>
      <c r="D422" t="s">
        <v>20</v>
      </c>
    </row>
    <row r="423" spans="2:4" ht="14.45" hidden="1" customHeight="1" x14ac:dyDescent="0.25">
      <c r="B423" s="37" t="s">
        <v>51</v>
      </c>
      <c r="C423" t="s">
        <v>200</v>
      </c>
      <c r="D423" t="s">
        <v>117</v>
      </c>
    </row>
    <row r="424" spans="2:4" ht="14.45" hidden="1" customHeight="1" x14ac:dyDescent="0.25">
      <c r="B424" s="37" t="s">
        <v>118</v>
      </c>
      <c r="C424" t="s">
        <v>201</v>
      </c>
      <c r="D424" t="s">
        <v>117</v>
      </c>
    </row>
    <row r="425" spans="2:4" ht="14.45" hidden="1" customHeight="1" x14ac:dyDescent="0.25">
      <c r="B425" s="37" t="s">
        <v>150</v>
      </c>
      <c r="C425" t="s">
        <v>202</v>
      </c>
      <c r="D425" t="s">
        <v>117</v>
      </c>
    </row>
    <row r="426" spans="2:4" ht="14.45" hidden="1" customHeight="1" x14ac:dyDescent="0.25">
      <c r="B426" s="37" t="s">
        <v>50</v>
      </c>
      <c r="C426" t="s">
        <v>203</v>
      </c>
      <c r="D426" t="s">
        <v>117</v>
      </c>
    </row>
    <row r="427" spans="2:4" ht="14.45" hidden="1" customHeight="1" x14ac:dyDescent="0.25">
      <c r="B427" s="37" t="s">
        <v>51</v>
      </c>
      <c r="C427" t="s">
        <v>200</v>
      </c>
      <c r="D427" t="s">
        <v>177</v>
      </c>
    </row>
    <row r="428" spans="2:4" ht="14.45" hidden="1" customHeight="1" x14ac:dyDescent="0.25">
      <c r="B428" s="37" t="s">
        <v>46</v>
      </c>
      <c r="C428" t="s">
        <v>204</v>
      </c>
      <c r="D428" t="s">
        <v>177</v>
      </c>
    </row>
    <row r="429" spans="2:4" ht="14.45" hidden="1" customHeight="1" x14ac:dyDescent="0.25">
      <c r="B429" s="37" t="s">
        <v>118</v>
      </c>
      <c r="C429" t="s">
        <v>201</v>
      </c>
      <c r="D429" t="s">
        <v>177</v>
      </c>
    </row>
    <row r="430" spans="2:4" ht="14.45" hidden="1" customHeight="1" x14ac:dyDescent="0.25">
      <c r="B430" s="37" t="s">
        <v>47</v>
      </c>
      <c r="C430" t="s">
        <v>205</v>
      </c>
      <c r="D430" t="s">
        <v>177</v>
      </c>
    </row>
    <row r="431" spans="2:4" ht="14.45" hidden="1" customHeight="1" x14ac:dyDescent="0.25">
      <c r="B431" s="37" t="s">
        <v>150</v>
      </c>
      <c r="C431" t="s">
        <v>202</v>
      </c>
      <c r="D431" t="s">
        <v>177</v>
      </c>
    </row>
    <row r="432" spans="2:4" ht="14.45" hidden="1" customHeight="1" x14ac:dyDescent="0.25">
      <c r="B432" s="37" t="s">
        <v>49</v>
      </c>
      <c r="C432" t="s">
        <v>206</v>
      </c>
      <c r="D432" t="s">
        <v>177</v>
      </c>
    </row>
    <row r="433" spans="2:4" ht="14.45" hidden="1" customHeight="1" x14ac:dyDescent="0.25">
      <c r="B433" s="37" t="s">
        <v>50</v>
      </c>
      <c r="C433" t="s">
        <v>203</v>
      </c>
      <c r="D433" t="s">
        <v>177</v>
      </c>
    </row>
    <row r="434" spans="2:4" ht="14.45" hidden="1" customHeight="1" x14ac:dyDescent="0.25">
      <c r="B434" s="37" t="s">
        <v>48</v>
      </c>
      <c r="C434" t="s">
        <v>207</v>
      </c>
      <c r="D434" t="s">
        <v>177</v>
      </c>
    </row>
    <row r="435" spans="2:4" ht="14.45" hidden="1" customHeight="1" x14ac:dyDescent="0.25">
      <c r="B435" s="37" t="s">
        <v>119</v>
      </c>
      <c r="C435" t="s">
        <v>208</v>
      </c>
      <c r="D435" t="s">
        <v>177</v>
      </c>
    </row>
    <row r="436" spans="2:4" ht="14.45" hidden="1" customHeight="1" x14ac:dyDescent="0.25">
      <c r="B436" s="37" t="s">
        <v>46</v>
      </c>
      <c r="C436" t="s">
        <v>204</v>
      </c>
      <c r="D436" s="38" t="s">
        <v>105</v>
      </c>
    </row>
    <row r="437" spans="2:4" ht="14.45" hidden="1" customHeight="1" x14ac:dyDescent="0.25">
      <c r="B437" s="37" t="s">
        <v>47</v>
      </c>
      <c r="C437" t="s">
        <v>205</v>
      </c>
      <c r="D437" s="38" t="s">
        <v>105</v>
      </c>
    </row>
    <row r="438" spans="2:4" ht="14.45" hidden="1" customHeight="1" x14ac:dyDescent="0.25">
      <c r="B438" s="37" t="s">
        <v>49</v>
      </c>
      <c r="C438" t="s">
        <v>206</v>
      </c>
      <c r="D438" s="38" t="s">
        <v>105</v>
      </c>
    </row>
    <row r="439" spans="2:4" ht="14.45" hidden="1" customHeight="1" x14ac:dyDescent="0.25">
      <c r="B439" s="37" t="s">
        <v>48</v>
      </c>
      <c r="C439" t="s">
        <v>207</v>
      </c>
      <c r="D439" s="38" t="s">
        <v>105</v>
      </c>
    </row>
    <row r="440" spans="2:4" ht="14.45" hidden="1" customHeight="1" x14ac:dyDescent="0.25">
      <c r="B440" s="37" t="s">
        <v>119</v>
      </c>
      <c r="C440" t="s">
        <v>208</v>
      </c>
      <c r="D440" s="38" t="s">
        <v>105</v>
      </c>
    </row>
    <row r="441" spans="2:4" ht="14.45" hidden="1" customHeight="1" x14ac:dyDescent="0.25">
      <c r="B441" s="37" t="s">
        <v>151</v>
      </c>
      <c r="C441" t="s">
        <v>209</v>
      </c>
      <c r="D441" t="s">
        <v>120</v>
      </c>
    </row>
    <row r="442" spans="2:4" ht="14.45" hidden="1" customHeight="1" x14ac:dyDescent="0.25">
      <c r="B442" s="37" t="s">
        <v>121</v>
      </c>
      <c r="C442" t="s">
        <v>210</v>
      </c>
      <c r="D442" t="s">
        <v>120</v>
      </c>
    </row>
    <row r="443" spans="2:4" ht="14.45" hidden="1" customHeight="1" x14ac:dyDescent="0.25">
      <c r="B443" s="37" t="s">
        <v>122</v>
      </c>
      <c r="C443" t="s">
        <v>211</v>
      </c>
      <c r="D443" t="s">
        <v>120</v>
      </c>
    </row>
    <row r="444" spans="2:4" ht="14.45" hidden="1" customHeight="1" x14ac:dyDescent="0.25">
      <c r="B444" s="37" t="s">
        <v>123</v>
      </c>
      <c r="C444" t="s">
        <v>212</v>
      </c>
      <c r="D444" t="s">
        <v>120</v>
      </c>
    </row>
    <row r="445" spans="2:4" ht="14.45" hidden="1" customHeight="1" x14ac:dyDescent="0.25">
      <c r="B445" s="37" t="s">
        <v>152</v>
      </c>
      <c r="C445" t="s">
        <v>213</v>
      </c>
      <c r="D445" t="s">
        <v>17</v>
      </c>
    </row>
    <row r="446" spans="2:4" ht="14.45" hidden="1" customHeight="1" x14ac:dyDescent="0.25">
      <c r="B446" s="37" t="s">
        <v>59</v>
      </c>
      <c r="C446" t="s">
        <v>221</v>
      </c>
      <c r="D446" t="s">
        <v>17</v>
      </c>
    </row>
    <row r="447" spans="2:4" ht="14.45" hidden="1" customHeight="1" x14ac:dyDescent="0.25">
      <c r="B447" s="37" t="s">
        <v>124</v>
      </c>
      <c r="C447" t="s">
        <v>214</v>
      </c>
      <c r="D447" t="s">
        <v>17</v>
      </c>
    </row>
    <row r="448" spans="2:4" ht="14.45" hidden="1" customHeight="1" x14ac:dyDescent="0.25">
      <c r="B448" s="37" t="s">
        <v>58</v>
      </c>
      <c r="C448" t="s">
        <v>222</v>
      </c>
      <c r="D448" t="s">
        <v>17</v>
      </c>
    </row>
    <row r="449" spans="2:4" ht="14.45" hidden="1" customHeight="1" x14ac:dyDescent="0.25">
      <c r="B449" s="37" t="s">
        <v>56</v>
      </c>
      <c r="C449" t="s">
        <v>215</v>
      </c>
      <c r="D449" t="s">
        <v>17</v>
      </c>
    </row>
    <row r="450" spans="2:4" ht="14.45" hidden="1" customHeight="1" x14ac:dyDescent="0.25">
      <c r="B450" s="37" t="s">
        <v>154</v>
      </c>
      <c r="C450" t="s">
        <v>223</v>
      </c>
      <c r="D450" t="s">
        <v>17</v>
      </c>
    </row>
    <row r="451" spans="2:4" ht="14.45" hidden="1" customHeight="1" x14ac:dyDescent="0.25">
      <c r="B451" s="37" t="s">
        <v>55</v>
      </c>
      <c r="C451" t="s">
        <v>216</v>
      </c>
      <c r="D451" t="s">
        <v>17</v>
      </c>
    </row>
    <row r="452" spans="2:4" ht="14.45" hidden="1" customHeight="1" x14ac:dyDescent="0.25">
      <c r="B452" s="37" t="s">
        <v>155</v>
      </c>
      <c r="C452" t="s">
        <v>224</v>
      </c>
      <c r="D452" t="s">
        <v>17</v>
      </c>
    </row>
    <row r="453" spans="2:4" ht="14.45" hidden="1" customHeight="1" x14ac:dyDescent="0.25">
      <c r="B453" s="37" t="s">
        <v>153</v>
      </c>
      <c r="C453" t="s">
        <v>217</v>
      </c>
      <c r="D453" t="s">
        <v>17</v>
      </c>
    </row>
    <row r="454" spans="2:4" ht="14.45" hidden="1" customHeight="1" x14ac:dyDescent="0.25">
      <c r="B454" s="37" t="s">
        <v>60</v>
      </c>
      <c r="C454" t="s">
        <v>225</v>
      </c>
      <c r="D454" t="s">
        <v>17</v>
      </c>
    </row>
    <row r="455" spans="2:4" ht="14.45" hidden="1" customHeight="1" x14ac:dyDescent="0.25">
      <c r="B455" s="37" t="s">
        <v>53</v>
      </c>
      <c r="C455" t="s">
        <v>218</v>
      </c>
      <c r="D455" t="s">
        <v>17</v>
      </c>
    </row>
    <row r="456" spans="2:4" ht="14.45" hidden="1" customHeight="1" x14ac:dyDescent="0.25">
      <c r="B456" s="37" t="s">
        <v>125</v>
      </c>
      <c r="C456" t="s">
        <v>219</v>
      </c>
      <c r="D456" t="s">
        <v>17</v>
      </c>
    </row>
    <row r="457" spans="2:4" ht="14.45" hidden="1" customHeight="1" x14ac:dyDescent="0.25">
      <c r="B457" s="37" t="s">
        <v>54</v>
      </c>
      <c r="C457" t="s">
        <v>220</v>
      </c>
      <c r="D457" t="s">
        <v>17</v>
      </c>
    </row>
    <row r="458" spans="2:4" ht="14.45" hidden="1" customHeight="1" x14ac:dyDescent="0.25">
      <c r="B458" s="37" t="s">
        <v>131</v>
      </c>
      <c r="C458" t="s">
        <v>234</v>
      </c>
      <c r="D458" t="s">
        <v>130</v>
      </c>
    </row>
    <row r="459" spans="2:4" ht="14.45" hidden="1" customHeight="1" x14ac:dyDescent="0.25">
      <c r="B459" s="37" t="s">
        <v>159</v>
      </c>
      <c r="C459" t="s">
        <v>235</v>
      </c>
      <c r="D459" t="s">
        <v>130</v>
      </c>
    </row>
    <row r="460" spans="2:4" ht="14.45" hidden="1" customHeight="1" x14ac:dyDescent="0.25">
      <c r="B460" s="37" t="s">
        <v>160</v>
      </c>
      <c r="C460" t="s">
        <v>236</v>
      </c>
      <c r="D460" t="s">
        <v>130</v>
      </c>
    </row>
    <row r="461" spans="2:4" ht="14.45" hidden="1" customHeight="1" x14ac:dyDescent="0.25">
      <c r="B461" s="37" t="s">
        <v>161</v>
      </c>
      <c r="C461" t="s">
        <v>237</v>
      </c>
      <c r="D461" t="s">
        <v>130</v>
      </c>
    </row>
    <row r="462" spans="2:4" ht="14.45" hidden="1" customHeight="1" x14ac:dyDescent="0.25">
      <c r="B462" s="37" t="s">
        <v>162</v>
      </c>
      <c r="C462" t="s">
        <v>238</v>
      </c>
      <c r="D462" t="s">
        <v>130</v>
      </c>
    </row>
    <row r="463" spans="2:4" ht="14.45" hidden="1" customHeight="1" x14ac:dyDescent="0.25">
      <c r="B463" s="39" t="s">
        <v>163</v>
      </c>
      <c r="C463" t="s">
        <v>239</v>
      </c>
      <c r="D463" t="s">
        <v>130</v>
      </c>
    </row>
    <row r="464" spans="2:4" ht="14.45" hidden="1" customHeight="1" x14ac:dyDescent="0.25">
      <c r="B464" s="39" t="s">
        <v>164</v>
      </c>
      <c r="C464" t="s">
        <v>240</v>
      </c>
      <c r="D464" t="s">
        <v>130</v>
      </c>
    </row>
    <row r="465" spans="2:4" ht="14.45" hidden="1" customHeight="1" x14ac:dyDescent="0.25">
      <c r="B465" s="37" t="s">
        <v>43</v>
      </c>
      <c r="C465" t="s">
        <v>241</v>
      </c>
      <c r="D465" t="s">
        <v>130</v>
      </c>
    </row>
    <row r="466" spans="2:4" ht="14.45" hidden="1" customHeight="1" x14ac:dyDescent="0.25">
      <c r="B466" s="39" t="s">
        <v>165</v>
      </c>
      <c r="C466" t="s">
        <v>242</v>
      </c>
      <c r="D466" t="s">
        <v>130</v>
      </c>
    </row>
    <row r="467" spans="2:4" ht="14.45" hidden="1" customHeight="1" x14ac:dyDescent="0.25">
      <c r="B467" s="39" t="s">
        <v>166</v>
      </c>
      <c r="C467" t="s">
        <v>243</v>
      </c>
      <c r="D467" t="s">
        <v>130</v>
      </c>
    </row>
    <row r="468" spans="2:4" ht="14.45" hidden="1" customHeight="1" x14ac:dyDescent="0.25">
      <c r="B468" s="37" t="s">
        <v>44</v>
      </c>
      <c r="C468" t="s">
        <v>244</v>
      </c>
      <c r="D468" t="s">
        <v>130</v>
      </c>
    </row>
    <row r="469" spans="2:4" ht="14.45" hidden="1" customHeight="1" x14ac:dyDescent="0.25">
      <c r="B469" s="39" t="s">
        <v>45</v>
      </c>
      <c r="C469" t="s">
        <v>245</v>
      </c>
      <c r="D469" t="s">
        <v>130</v>
      </c>
    </row>
    <row r="470" spans="2:4" ht="14.45" hidden="1" customHeight="1" x14ac:dyDescent="0.25">
      <c r="B470" s="37" t="s">
        <v>59</v>
      </c>
      <c r="C470" t="s">
        <v>221</v>
      </c>
      <c r="D470" t="s">
        <v>57</v>
      </c>
    </row>
    <row r="471" spans="2:4" ht="14.45" hidden="1" customHeight="1" x14ac:dyDescent="0.25">
      <c r="B471" s="37" t="s">
        <v>58</v>
      </c>
      <c r="C471" t="s">
        <v>222</v>
      </c>
      <c r="D471" t="s">
        <v>57</v>
      </c>
    </row>
    <row r="472" spans="2:4" ht="14.45" hidden="1" customHeight="1" x14ac:dyDescent="0.25">
      <c r="B472" s="37" t="s">
        <v>154</v>
      </c>
      <c r="C472" t="s">
        <v>223</v>
      </c>
      <c r="D472" t="s">
        <v>57</v>
      </c>
    </row>
    <row r="473" spans="2:4" ht="14.45" hidden="1" customHeight="1" x14ac:dyDescent="0.25">
      <c r="B473" s="37" t="s">
        <v>155</v>
      </c>
      <c r="C473" t="s">
        <v>224</v>
      </c>
      <c r="D473" t="s">
        <v>57</v>
      </c>
    </row>
    <row r="474" spans="2:4" ht="14.45" hidden="1" customHeight="1" x14ac:dyDescent="0.25">
      <c r="B474" s="37" t="s">
        <v>60</v>
      </c>
      <c r="C474" t="s">
        <v>225</v>
      </c>
      <c r="D474" t="s">
        <v>57</v>
      </c>
    </row>
  </sheetData>
  <dataConsolidate/>
  <mergeCells count="35">
    <mergeCell ref="T35:Y35"/>
    <mergeCell ref="T43:Y43"/>
    <mergeCell ref="T26:Y26"/>
    <mergeCell ref="H26:M26"/>
    <mergeCell ref="H35:M35"/>
    <mergeCell ref="H43:M43"/>
    <mergeCell ref="N26:S26"/>
    <mergeCell ref="N35:S35"/>
    <mergeCell ref="N43:S43"/>
    <mergeCell ref="AL10:AQ10"/>
    <mergeCell ref="AR10:AU10"/>
    <mergeCell ref="Z10:AE10"/>
    <mergeCell ref="AF10:AK10"/>
    <mergeCell ref="H19:M19"/>
    <mergeCell ref="N19:S19"/>
    <mergeCell ref="T19:Y19"/>
    <mergeCell ref="Z19:AE19"/>
    <mergeCell ref="AF19:AK19"/>
    <mergeCell ref="H10:M10"/>
    <mergeCell ref="N10:S10"/>
    <mergeCell ref="T10:Y10"/>
    <mergeCell ref="AR19:AU19"/>
    <mergeCell ref="AR26:AU26"/>
    <mergeCell ref="AR35:AU35"/>
    <mergeCell ref="AR43:AU43"/>
    <mergeCell ref="AL19:AQ19"/>
    <mergeCell ref="AL26:AQ26"/>
    <mergeCell ref="Z26:AE26"/>
    <mergeCell ref="Z35:AE35"/>
    <mergeCell ref="Z43:AE43"/>
    <mergeCell ref="AL35:AQ35"/>
    <mergeCell ref="AL43:AQ43"/>
    <mergeCell ref="AF26:AK26"/>
    <mergeCell ref="AF35:AK35"/>
    <mergeCell ref="AF43:AK43"/>
  </mergeCells>
  <dataValidations count="3">
    <dataValidation type="list" allowBlank="1" showInputMessage="1" showErrorMessage="1" sqref="C46:C52 C13:C20 C22:C27 C29:C36 C38:C44" xr:uid="{00000000-0002-0000-0000-000000000000}">
      <formula1>INDIRECT(D13)</formula1>
    </dataValidation>
    <dataValidation type="list" allowBlank="1" showInputMessage="1" showErrorMessage="1" sqref="T13:T18 T22:T25 T29:T34 T46:T52 T38:T42" xr:uid="{00000000-0002-0000-0000-000001000000}">
      <formula1>$C$61:$C$63</formula1>
    </dataValidation>
    <dataValidation type="list" allowBlank="1" showInputMessage="1" showErrorMessage="1" sqref="S13:S18 S22:S25 M29:M34 M38:M42 M46:M52 Y22:Y25 AQ13:AQ18 Y29:Y34 AQ22:AQ25 S29:S34 Y38:Y42 AQ29:AQ34 S38:S42 Y46:Y52 AQ38:AQ42 S46:S52 Y13:Y18 AE29:AE34 AE38:AE42 AE46:AE52 AE13:AE18 AE22:AE25 AK29:AK34 AK38:AK42 AK46:AK52 AK13:AK18 AK22:AK25" xr:uid="{00000000-0002-0000-0000-000002000000}">
      <formula1>$C$60:$C$64</formula1>
    </dataValidation>
  </dataValidations>
  <hyperlinks>
    <hyperlink ref="B204" r:id="rId1" xr:uid="{00000000-0004-0000-0000-000000000000}"/>
    <hyperlink ref="B153" r:id="rId2" xr:uid="{00000000-0004-0000-0000-000001000000}"/>
    <hyperlink ref="B151" r:id="rId3" xr:uid="{00000000-0004-0000-0000-000002000000}"/>
    <hyperlink ref="B150" r:id="rId4" xr:uid="{00000000-0004-0000-0000-000003000000}"/>
    <hyperlink ref="B147" r:id="rId5" xr:uid="{00000000-0004-0000-0000-000004000000}"/>
    <hyperlink ref="B148" r:id="rId6" xr:uid="{00000000-0004-0000-0000-000005000000}"/>
    <hyperlink ref="B91" r:id="rId7" xr:uid="{00000000-0004-0000-0000-000006000000}"/>
    <hyperlink ref="B72" r:id="rId8" xr:uid="{00000000-0004-0000-0000-000007000000}"/>
    <hyperlink ref="B71" r:id="rId9" xr:uid="{00000000-0004-0000-0000-000008000000}"/>
    <hyperlink ref="B69" r:id="rId10" xr:uid="{00000000-0004-0000-0000-000009000000}"/>
    <hyperlink ref="B70" r:id="rId11" xr:uid="{00000000-0004-0000-0000-00000A000000}"/>
    <hyperlink ref="B73" r:id="rId12" xr:uid="{00000000-0004-0000-0000-00000B000000}"/>
    <hyperlink ref="B74" r:id="rId13" xr:uid="{00000000-0004-0000-0000-00000C000000}"/>
    <hyperlink ref="B68" r:id="rId14" xr:uid="{00000000-0004-0000-0000-00000D000000}"/>
    <hyperlink ref="B79" r:id="rId15" xr:uid="{00000000-0004-0000-0000-00000E000000}"/>
    <hyperlink ref="B77" r:id="rId16" xr:uid="{00000000-0004-0000-0000-00000F000000}"/>
    <hyperlink ref="B78" r:id="rId17" xr:uid="{00000000-0004-0000-0000-000010000000}"/>
    <hyperlink ref="B80" r:id="rId18" xr:uid="{00000000-0004-0000-0000-000011000000}"/>
    <hyperlink ref="B83" r:id="rId19" xr:uid="{00000000-0004-0000-0000-000012000000}"/>
    <hyperlink ref="B84" r:id="rId20" xr:uid="{00000000-0004-0000-0000-000013000000}"/>
    <hyperlink ref="B86" r:id="rId21" xr:uid="{00000000-0004-0000-0000-000014000000}"/>
    <hyperlink ref="B85" r:id="rId22" xr:uid="{00000000-0004-0000-0000-000015000000}"/>
    <hyperlink ref="B87" r:id="rId23" xr:uid="{00000000-0004-0000-0000-000016000000}"/>
    <hyperlink ref="B88" r:id="rId24" xr:uid="{00000000-0004-0000-0000-000017000000}"/>
    <hyperlink ref="B89" r:id="rId25" xr:uid="{00000000-0004-0000-0000-000018000000}"/>
    <hyperlink ref="B90" r:id="rId26" xr:uid="{00000000-0004-0000-0000-000019000000}"/>
    <hyperlink ref="B93" r:id="rId27" xr:uid="{00000000-0004-0000-0000-00001A000000}"/>
    <hyperlink ref="B92" r:id="rId28" xr:uid="{00000000-0004-0000-0000-00001B000000}"/>
    <hyperlink ref="B102" r:id="rId29" xr:uid="{00000000-0004-0000-0000-00001C000000}"/>
    <hyperlink ref="B105" r:id="rId30" xr:uid="{00000000-0004-0000-0000-00001D000000}"/>
    <hyperlink ref="B106" r:id="rId31" xr:uid="{00000000-0004-0000-0000-00001E000000}"/>
    <hyperlink ref="B104" r:id="rId32" xr:uid="{00000000-0004-0000-0000-00001F000000}"/>
    <hyperlink ref="B103" r:id="rId33" xr:uid="{00000000-0004-0000-0000-000020000000}"/>
    <hyperlink ref="B98" r:id="rId34" xr:uid="{00000000-0004-0000-0000-000021000000}"/>
    <hyperlink ref="B99" r:id="rId35" xr:uid="{00000000-0004-0000-0000-000022000000}"/>
    <hyperlink ref="B97" r:id="rId36" xr:uid="{00000000-0004-0000-0000-000023000000}"/>
    <hyperlink ref="B96" r:id="rId37" xr:uid="{00000000-0004-0000-0000-000024000000}"/>
    <hyperlink ref="B133" r:id="rId38" xr:uid="{00000000-0004-0000-0000-000025000000}"/>
    <hyperlink ref="B132" r:id="rId39" xr:uid="{00000000-0004-0000-0000-000026000000}"/>
    <hyperlink ref="B135" r:id="rId40" xr:uid="{00000000-0004-0000-0000-000027000000}"/>
    <hyperlink ref="B138" r:id="rId41" xr:uid="{00000000-0004-0000-0000-000028000000}"/>
    <hyperlink ref="B145" r:id="rId42" xr:uid="{00000000-0004-0000-0000-000029000000}"/>
    <hyperlink ref="B142" r:id="rId43" xr:uid="{00000000-0004-0000-0000-00002A000000}"/>
    <hyperlink ref="B143" r:id="rId44" xr:uid="{00000000-0004-0000-0000-00002B000000}"/>
    <hyperlink ref="B144" r:id="rId45" xr:uid="{00000000-0004-0000-0000-00002C000000}"/>
    <hyperlink ref="B152" r:id="rId46" xr:uid="{00000000-0004-0000-0000-00002D000000}"/>
    <hyperlink ref="B146" r:id="rId47" xr:uid="{00000000-0004-0000-0000-00002E000000}"/>
    <hyperlink ref="B149" r:id="rId48" xr:uid="{00000000-0004-0000-0000-00002F000000}"/>
    <hyperlink ref="B136" r:id="rId49" xr:uid="{00000000-0004-0000-0000-000030000000}"/>
    <hyperlink ref="B134" r:id="rId50" xr:uid="{00000000-0004-0000-0000-000031000000}"/>
    <hyperlink ref="B110" r:id="rId51" xr:uid="{00000000-0004-0000-0000-000032000000}"/>
    <hyperlink ref="B109" r:id="rId52" xr:uid="{00000000-0004-0000-0000-000033000000}"/>
    <hyperlink ref="B111" r:id="rId53" xr:uid="{00000000-0004-0000-0000-000034000000}"/>
    <hyperlink ref="B137" r:id="rId54" xr:uid="{00000000-0004-0000-0000-000035000000}"/>
    <hyperlink ref="B112" r:id="rId55" xr:uid="{00000000-0004-0000-0000-000036000000}"/>
    <hyperlink ref="B139" r:id="rId56" xr:uid="{00000000-0004-0000-0000-000037000000}"/>
    <hyperlink ref="B156" r:id="rId57" xr:uid="{00000000-0004-0000-0000-000038000000}"/>
    <hyperlink ref="B161" r:id="rId58" xr:uid="{00000000-0004-0000-0000-000039000000}"/>
    <hyperlink ref="B162" r:id="rId59" xr:uid="{00000000-0004-0000-0000-00003A000000}"/>
    <hyperlink ref="B158" r:id="rId60" xr:uid="{00000000-0004-0000-0000-00003B000000}"/>
    <hyperlink ref="B167" r:id="rId61" xr:uid="{00000000-0004-0000-0000-00003C000000}"/>
    <hyperlink ref="B157" r:id="rId62" xr:uid="{00000000-0004-0000-0000-00003D000000}"/>
    <hyperlink ref="B168" r:id="rId63" xr:uid="{00000000-0004-0000-0000-00003E000000}"/>
    <hyperlink ref="B175" r:id="rId64" xr:uid="{00000000-0004-0000-0000-00003F000000}"/>
    <hyperlink ref="B171" r:id="rId65" xr:uid="{00000000-0004-0000-0000-000040000000}"/>
    <hyperlink ref="B169" r:id="rId66" xr:uid="{00000000-0004-0000-0000-000041000000}"/>
    <hyperlink ref="B170" r:id="rId67" xr:uid="{00000000-0004-0000-0000-000042000000}"/>
    <hyperlink ref="B159" r:id="rId68" xr:uid="{00000000-0004-0000-0000-000043000000}"/>
    <hyperlink ref="B160" r:id="rId69" xr:uid="{00000000-0004-0000-0000-000044000000}"/>
    <hyperlink ref="B165" r:id="rId70" xr:uid="{00000000-0004-0000-0000-000045000000}"/>
    <hyperlink ref="B166" r:id="rId71" xr:uid="{00000000-0004-0000-0000-000046000000}"/>
    <hyperlink ref="B176" r:id="rId72" xr:uid="{00000000-0004-0000-0000-000047000000}"/>
    <hyperlink ref="B177" r:id="rId73" xr:uid="{00000000-0004-0000-0000-000048000000}"/>
    <hyperlink ref="B178" r:id="rId74" xr:uid="{00000000-0004-0000-0000-000049000000}"/>
    <hyperlink ref="B172" r:id="rId75" xr:uid="{00000000-0004-0000-0000-00004A000000}"/>
    <hyperlink ref="B182" r:id="rId76" xr:uid="{00000000-0004-0000-0000-00004B000000}"/>
    <hyperlink ref="B181" r:id="rId77" xr:uid="{00000000-0004-0000-0000-00004C000000}"/>
    <hyperlink ref="B183" r:id="rId78" xr:uid="{00000000-0004-0000-0000-00004D000000}"/>
    <hyperlink ref="B195" r:id="rId79" xr:uid="{00000000-0004-0000-0000-00004E000000}"/>
    <hyperlink ref="B198" r:id="rId80" xr:uid="{00000000-0004-0000-0000-00004F000000}"/>
    <hyperlink ref="B196" r:id="rId81" xr:uid="{00000000-0004-0000-0000-000050000000}"/>
    <hyperlink ref="B208" r:id="rId82" xr:uid="{00000000-0004-0000-0000-000051000000}"/>
    <hyperlink ref="B205" r:id="rId83" xr:uid="{00000000-0004-0000-0000-000052000000}"/>
    <hyperlink ref="B212" r:id="rId84" xr:uid="{00000000-0004-0000-0000-000053000000}"/>
    <hyperlink ref="B217" r:id="rId85" xr:uid="{00000000-0004-0000-0000-000054000000}"/>
    <hyperlink ref="B200" r:id="rId86" xr:uid="{00000000-0004-0000-0000-000055000000}"/>
    <hyperlink ref="B201" r:id="rId87" xr:uid="{00000000-0004-0000-0000-000056000000}"/>
    <hyperlink ref="B206" r:id="rId88" xr:uid="{00000000-0004-0000-0000-000057000000}"/>
    <hyperlink ref="B207" r:id="rId89" xr:uid="{00000000-0004-0000-0000-000058000000}"/>
    <hyperlink ref="B215" r:id="rId90" xr:uid="{00000000-0004-0000-0000-000059000000}"/>
    <hyperlink ref="B197" r:id="rId91" xr:uid="{00000000-0004-0000-0000-00005A000000}"/>
    <hyperlink ref="B187" r:id="rId92" xr:uid="{00000000-0004-0000-0000-00005B000000}"/>
    <hyperlink ref="B186" r:id="rId93" xr:uid="{00000000-0004-0000-0000-00005C000000}"/>
    <hyperlink ref="B190" r:id="rId94" xr:uid="{00000000-0004-0000-0000-00005D000000}"/>
    <hyperlink ref="B188" r:id="rId95" xr:uid="{00000000-0004-0000-0000-00005E000000}"/>
    <hyperlink ref="B189" r:id="rId96" xr:uid="{00000000-0004-0000-0000-00005F000000}"/>
    <hyperlink ref="B191" r:id="rId97" xr:uid="{00000000-0004-0000-0000-000060000000}"/>
    <hyperlink ref="B192" r:id="rId98" xr:uid="{00000000-0004-0000-0000-000061000000}"/>
    <hyperlink ref="B117" r:id="rId99" xr:uid="{00000000-0004-0000-0000-000062000000}"/>
    <hyperlink ref="B118" r:id="rId100" xr:uid="{00000000-0004-0000-0000-000063000000}"/>
    <hyperlink ref="B213" r:id="rId101" xr:uid="{00000000-0004-0000-0000-000064000000}"/>
    <hyperlink ref="B214" r:id="rId102" xr:uid="{00000000-0004-0000-0000-000065000000}"/>
    <hyperlink ref="B199" r:id="rId103" xr:uid="{00000000-0004-0000-0000-000066000000}"/>
    <hyperlink ref="B216" r:id="rId104" xr:uid="{00000000-0004-0000-0000-000067000000}"/>
    <hyperlink ref="B209" r:id="rId105" xr:uid="{00000000-0004-0000-0000-000068000000}"/>
    <hyperlink ref="B120" r:id="rId106" xr:uid="{00000000-0004-0000-0000-000069000000}"/>
    <hyperlink ref="B121" r:id="rId107" xr:uid="{00000000-0004-0000-0000-00006A000000}"/>
    <hyperlink ref="B122" r:id="rId108" xr:uid="{00000000-0004-0000-0000-00006B000000}"/>
    <hyperlink ref="B115" r:id="rId109" xr:uid="{00000000-0004-0000-0000-00006C000000}"/>
    <hyperlink ref="B119" r:id="rId110" xr:uid="{00000000-0004-0000-0000-00006D000000}"/>
    <hyperlink ref="B129" r:id="rId111" xr:uid="{00000000-0004-0000-0000-00006E000000}"/>
    <hyperlink ref="B125" r:id="rId112" xr:uid="{00000000-0004-0000-0000-00006F000000}"/>
    <hyperlink ref="B126" r:id="rId113" xr:uid="{00000000-0004-0000-0000-000070000000}"/>
    <hyperlink ref="B127" r:id="rId114" xr:uid="{00000000-0004-0000-0000-000071000000}"/>
    <hyperlink ref="B128" r:id="rId115" xr:uid="{00000000-0004-0000-0000-000072000000}"/>
    <hyperlink ref="B116" r:id="rId116" xr:uid="{00000000-0004-0000-0000-000073000000}"/>
    <hyperlink ref="B225" r:id="rId117" xr:uid="{00000000-0004-0000-0000-000074000000}"/>
    <hyperlink ref="B227" r:id="rId118" xr:uid="{00000000-0004-0000-0000-000075000000}"/>
    <hyperlink ref="B231" r:id="rId119" xr:uid="{00000000-0004-0000-0000-000076000000}"/>
    <hyperlink ref="B232" r:id="rId120" xr:uid="{00000000-0004-0000-0000-000077000000}"/>
    <hyperlink ref="B233" r:id="rId121" xr:uid="{00000000-0004-0000-0000-000078000000}"/>
    <hyperlink ref="B221" r:id="rId122" xr:uid="{00000000-0004-0000-0000-000079000000}"/>
    <hyperlink ref="B229" r:id="rId123" xr:uid="{00000000-0004-0000-0000-00007A000000}"/>
    <hyperlink ref="B230" r:id="rId124" xr:uid="{00000000-0004-0000-0000-00007B000000}"/>
    <hyperlink ref="B222" r:id="rId125" xr:uid="{00000000-0004-0000-0000-00007C000000}"/>
    <hyperlink ref="B224" r:id="rId126" xr:uid="{00000000-0004-0000-0000-00007D000000}"/>
    <hyperlink ref="B226" r:id="rId127" xr:uid="{00000000-0004-0000-0000-00007E000000}"/>
    <hyperlink ref="B228" r:id="rId128" xr:uid="{00000000-0004-0000-0000-00007F000000}"/>
    <hyperlink ref="B223" r:id="rId129" xr:uid="{00000000-0004-0000-0000-000080000000}"/>
    <hyperlink ref="B235" r:id="rId130" xr:uid="{00000000-0004-0000-0000-000081000000}"/>
    <hyperlink ref="B243" r:id="rId131" xr:uid="{00000000-0004-0000-0000-000082000000}"/>
    <hyperlink ref="B237" r:id="rId132" xr:uid="{00000000-0004-0000-0000-000083000000}"/>
    <hyperlink ref="B239" r:id="rId133" xr:uid="{00000000-0004-0000-0000-000084000000}"/>
    <hyperlink ref="B241" r:id="rId134" xr:uid="{00000000-0004-0000-0000-000085000000}"/>
    <hyperlink ref="B245" r:id="rId135" xr:uid="{00000000-0004-0000-0000-000086000000}"/>
    <hyperlink ref="B236" r:id="rId136" xr:uid="{00000000-0004-0000-0000-000087000000}"/>
    <hyperlink ref="B246" r:id="rId137" xr:uid="{00000000-0004-0000-0000-000088000000}"/>
    <hyperlink ref="B242" r:id="rId138" xr:uid="{00000000-0004-0000-0000-000089000000}"/>
    <hyperlink ref="B238" r:id="rId139" xr:uid="{00000000-0004-0000-0000-00008A000000}"/>
    <hyperlink ref="B240" r:id="rId140" xr:uid="{00000000-0004-0000-0000-00008B000000}"/>
    <hyperlink ref="B244" r:id="rId141" xr:uid="{00000000-0004-0000-0000-00008C000000}"/>
    <hyperlink ref="B257" r:id="rId142" xr:uid="{00000000-0004-0000-0000-00008D000000}"/>
    <hyperlink ref="B261" r:id="rId143" xr:uid="{00000000-0004-0000-0000-00008E000000}"/>
    <hyperlink ref="B265" r:id="rId144" xr:uid="{00000000-0004-0000-0000-00008F000000}"/>
    <hyperlink ref="B266" r:id="rId145" xr:uid="{00000000-0004-0000-0000-000090000000}"/>
    <hyperlink ref="B267" r:id="rId146" xr:uid="{00000000-0004-0000-0000-000091000000}"/>
    <hyperlink ref="B249" r:id="rId147" xr:uid="{00000000-0004-0000-0000-000092000000}"/>
    <hyperlink ref="B263" r:id="rId148" xr:uid="{00000000-0004-0000-0000-000093000000}"/>
    <hyperlink ref="B264" r:id="rId149" xr:uid="{00000000-0004-0000-0000-000094000000}"/>
    <hyperlink ref="B251" r:id="rId150" xr:uid="{00000000-0004-0000-0000-000095000000}"/>
    <hyperlink ref="B255" r:id="rId151" xr:uid="{00000000-0004-0000-0000-000096000000}"/>
    <hyperlink ref="B259" r:id="rId152" xr:uid="{00000000-0004-0000-0000-000097000000}"/>
    <hyperlink ref="B262" r:id="rId153" xr:uid="{00000000-0004-0000-0000-000098000000}"/>
    <hyperlink ref="B253" r:id="rId154" xr:uid="{00000000-0004-0000-0000-000099000000}"/>
    <hyperlink ref="B250" r:id="rId155" xr:uid="{00000000-0004-0000-0000-00009A000000}"/>
    <hyperlink ref="B248" r:id="rId156" xr:uid="{00000000-0004-0000-0000-00009B000000}"/>
    <hyperlink ref="B256" r:id="rId157" xr:uid="{00000000-0004-0000-0000-00009C000000}"/>
    <hyperlink ref="B252" r:id="rId158" xr:uid="{00000000-0004-0000-0000-00009D000000}"/>
    <hyperlink ref="B254" r:id="rId159" xr:uid="{00000000-0004-0000-0000-00009E000000}"/>
    <hyperlink ref="B258" r:id="rId160" xr:uid="{00000000-0004-0000-0000-00009F000000}"/>
    <hyperlink ref="B260" r:id="rId161" xr:uid="{00000000-0004-0000-0000-0000A0000000}"/>
    <hyperlink ref="B271" r:id="rId162" xr:uid="{00000000-0004-0000-0000-0000A1000000}"/>
    <hyperlink ref="B277" r:id="rId163" xr:uid="{00000000-0004-0000-0000-0000A2000000}"/>
    <hyperlink ref="B278" r:id="rId164" xr:uid="{00000000-0004-0000-0000-0000A3000000}"/>
    <hyperlink ref="B275" r:id="rId165" xr:uid="{00000000-0004-0000-0000-0000A4000000}"/>
    <hyperlink ref="B273" r:id="rId166" xr:uid="{00000000-0004-0000-0000-0000A5000000}"/>
    <hyperlink ref="B274" r:id="rId167" xr:uid="{00000000-0004-0000-0000-0000A6000000}"/>
    <hyperlink ref="B276" r:id="rId168" xr:uid="{00000000-0004-0000-0000-0000A7000000}"/>
    <hyperlink ref="B272" r:id="rId169" xr:uid="{00000000-0004-0000-0000-0000A8000000}"/>
    <hyperlink ref="B270" r:id="rId170" xr:uid="{00000000-0004-0000-0000-0000A9000000}"/>
    <hyperlink ref="C204" r:id="rId171" xr:uid="{00000000-0004-0000-0000-0000AA000000}"/>
    <hyperlink ref="C153" r:id="rId172" xr:uid="{00000000-0004-0000-0000-0000AB000000}"/>
    <hyperlink ref="C151" r:id="rId173" xr:uid="{00000000-0004-0000-0000-0000AC000000}"/>
    <hyperlink ref="C150" r:id="rId174" xr:uid="{00000000-0004-0000-0000-0000AD000000}"/>
    <hyperlink ref="C147" r:id="rId175" xr:uid="{00000000-0004-0000-0000-0000AE000000}"/>
    <hyperlink ref="C148" r:id="rId176" xr:uid="{00000000-0004-0000-0000-0000AF000000}"/>
    <hyperlink ref="C91" r:id="rId177" xr:uid="{00000000-0004-0000-0000-0000B0000000}"/>
    <hyperlink ref="C72" r:id="rId178" xr:uid="{00000000-0004-0000-0000-0000B1000000}"/>
    <hyperlink ref="C235" r:id="rId179" xr:uid="{00000000-0004-0000-0000-0000B2000000}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564B-6FB9-42E9-819C-3E444EAEBFDD}">
  <sheetPr>
    <pageSetUpPr fitToPage="1"/>
  </sheetPr>
  <dimension ref="A1:AU474"/>
  <sheetViews>
    <sheetView showGridLines="0" zoomScaleNormal="100" workbookViewId="0">
      <selection activeCell="B8" sqref="B8"/>
    </sheetView>
  </sheetViews>
  <sheetFormatPr defaultColWidth="8.85546875"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11.28515625" customWidth="1"/>
    <col min="10" max="10" width="7.42578125" bestFit="1" customWidth="1"/>
    <col min="11" max="11" width="9" bestFit="1" customWidth="1"/>
    <col min="12" max="12" width="11.28515625" bestFit="1" customWidth="1"/>
    <col min="13" max="13" width="7.42578125" bestFit="1" customWidth="1"/>
    <col min="14" max="14" width="36.7109375" customWidth="1"/>
    <col min="15" max="15" width="4.7109375" bestFit="1" customWidth="1"/>
    <col min="16" max="16" width="7.42578125" bestFit="1" customWidth="1"/>
    <col min="17" max="17" width="9" bestFit="1" customWidth="1"/>
    <col min="18" max="18" width="11.28515625" bestFit="1" customWidth="1"/>
    <col min="19" max="19" width="7.42578125" bestFit="1" customWidth="1"/>
    <col min="20" max="20" width="37" customWidth="1"/>
    <col min="21" max="21" width="8.85546875" customWidth="1"/>
    <col min="22" max="22" width="7.42578125" bestFit="1" customWidth="1"/>
    <col min="23" max="23" width="9" bestFit="1" customWidth="1"/>
    <col min="24" max="24" width="11.28515625" bestFit="1" customWidth="1"/>
    <col min="25" max="25" width="7.42578125" bestFit="1" customWidth="1"/>
    <col min="26" max="26" width="37" customWidth="1"/>
    <col min="27" max="27" width="8.85546875" customWidth="1"/>
    <col min="28" max="28" width="7.42578125" bestFit="1" customWidth="1"/>
    <col min="29" max="29" width="9" bestFit="1" customWidth="1"/>
    <col min="30" max="30" width="11.28515625" bestFit="1" customWidth="1"/>
    <col min="31" max="31" width="7.42578125" bestFit="1" customWidth="1"/>
    <col min="32" max="32" width="37" customWidth="1"/>
    <col min="33" max="33" width="8.85546875" customWidth="1"/>
    <col min="34" max="34" width="7.42578125" bestFit="1" customWidth="1"/>
    <col min="35" max="35" width="9" bestFit="1" customWidth="1"/>
    <col min="36" max="36" width="11.28515625" bestFit="1" customWidth="1"/>
    <col min="37" max="37" width="7.42578125" bestFit="1" customWidth="1"/>
    <col min="38" max="38" width="36.7109375" customWidth="1"/>
    <col min="39" max="39" width="8.85546875" customWidth="1"/>
    <col min="40" max="40" width="7.42578125" bestFit="1" customWidth="1"/>
    <col min="41" max="41" width="9" bestFit="1" customWidth="1"/>
    <col min="42" max="42" width="11.28515625" bestFit="1" customWidth="1"/>
    <col min="43" max="43" width="7.42578125" bestFit="1" customWidth="1"/>
    <col min="44" max="44" width="36.42578125" customWidth="1"/>
    <col min="45" max="45" width="4.7109375" bestFit="1" customWidth="1"/>
    <col min="46" max="46" width="7.42578125" bestFit="1" customWidth="1"/>
    <col min="47" max="48" width="17.7109375" bestFit="1" customWidth="1"/>
    <col min="49" max="49" width="15.140625" bestFit="1" customWidth="1"/>
    <col min="50" max="50" width="17.7109375" bestFit="1" customWidth="1"/>
  </cols>
  <sheetData>
    <row r="1" spans="2:47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71"/>
      <c r="AB1" s="20"/>
      <c r="AC1" s="20"/>
      <c r="AD1" s="20"/>
      <c r="AE1" s="20"/>
      <c r="AF1" s="20"/>
      <c r="AG1" s="171"/>
      <c r="AH1" s="20"/>
      <c r="AI1" s="20"/>
      <c r="AJ1" s="20"/>
      <c r="AK1" s="20"/>
      <c r="AL1" s="20"/>
      <c r="AM1" s="168"/>
      <c r="AN1" s="16"/>
      <c r="AO1" s="16"/>
      <c r="AP1" s="16"/>
      <c r="AQ1" s="16"/>
      <c r="AR1" s="16"/>
      <c r="AS1" s="12"/>
      <c r="AT1" s="1"/>
    </row>
    <row r="2" spans="2:47" ht="19.5" thickBot="1" x14ac:dyDescent="0.35">
      <c r="F2" s="25" t="s">
        <v>95</v>
      </c>
      <c r="G2" s="27" t="s">
        <v>98</v>
      </c>
      <c r="H2" s="33" t="s">
        <v>90</v>
      </c>
      <c r="I2" s="58" t="s">
        <v>361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21"/>
      <c r="AA2" s="23"/>
      <c r="AB2" s="23"/>
      <c r="AC2" s="21"/>
      <c r="AD2" s="21"/>
      <c r="AE2" s="21"/>
      <c r="AF2" s="21"/>
      <c r="AG2" s="23"/>
      <c r="AH2" s="23"/>
      <c r="AI2" s="21"/>
      <c r="AJ2" s="21"/>
      <c r="AK2" s="21"/>
      <c r="AL2" s="21"/>
      <c r="AM2" s="23"/>
      <c r="AN2" s="169"/>
      <c r="AO2" s="4"/>
    </row>
    <row r="3" spans="2:47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362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Y3" s="4"/>
      <c r="Z3" s="4"/>
      <c r="AA3" s="4"/>
      <c r="AB3" s="4"/>
      <c r="AC3" s="4"/>
      <c r="AD3" s="4"/>
      <c r="AE3" s="4"/>
      <c r="AF3" s="4"/>
      <c r="AG3" s="4"/>
      <c r="AN3" s="4"/>
      <c r="AO3" s="4"/>
    </row>
    <row r="4" spans="2:47" x14ac:dyDescent="0.25">
      <c r="G4" t="s">
        <v>0</v>
      </c>
      <c r="I4" s="58" t="s">
        <v>363</v>
      </c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2:47" x14ac:dyDescent="0.25">
      <c r="I5" s="58" t="s">
        <v>364</v>
      </c>
      <c r="J5" s="3"/>
      <c r="K5" s="3"/>
      <c r="L5" s="3"/>
      <c r="M5" s="3"/>
      <c r="N5" s="3"/>
      <c r="O5" s="3"/>
      <c r="P5" s="3"/>
      <c r="Q5" s="3"/>
      <c r="R5" s="3"/>
      <c r="S5" s="3"/>
      <c r="T5" s="2"/>
      <c r="Y5" s="4"/>
      <c r="Z5" s="4"/>
      <c r="AA5" s="4"/>
      <c r="AB5" s="4"/>
      <c r="AC5" s="4"/>
      <c r="AD5" s="4"/>
      <c r="AE5" s="4"/>
      <c r="AF5" s="4"/>
      <c r="AG5" s="4"/>
    </row>
    <row r="6" spans="2:47" ht="15.75" thickBot="1" x14ac:dyDescent="0.3">
      <c r="I6" s="59" t="s">
        <v>365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1"/>
    </row>
    <row r="9" spans="2:47" ht="15.75" thickBot="1" x14ac:dyDescent="0.3"/>
    <row r="10" spans="2:47" ht="19.5" thickBot="1" x14ac:dyDescent="0.3">
      <c r="G10" s="5" t="s">
        <v>101</v>
      </c>
      <c r="H10" s="181" t="s">
        <v>1</v>
      </c>
      <c r="I10" s="182"/>
      <c r="J10" s="182"/>
      <c r="K10" s="182"/>
      <c r="L10" s="182"/>
      <c r="M10" s="183"/>
      <c r="N10" s="184" t="s">
        <v>2</v>
      </c>
      <c r="O10" s="185"/>
      <c r="P10" s="185"/>
      <c r="Q10" s="185"/>
      <c r="R10" s="185"/>
      <c r="S10" s="186"/>
      <c r="T10" s="172" t="s">
        <v>3</v>
      </c>
      <c r="U10" s="173"/>
      <c r="V10" s="173"/>
      <c r="W10" s="173"/>
      <c r="X10" s="173"/>
      <c r="Y10" s="174"/>
      <c r="Z10" s="172" t="s">
        <v>4</v>
      </c>
      <c r="AA10" s="173"/>
      <c r="AB10" s="173"/>
      <c r="AC10" s="173"/>
      <c r="AD10" s="173"/>
      <c r="AE10" s="174"/>
      <c r="AF10" s="172" t="s">
        <v>358</v>
      </c>
      <c r="AG10" s="173"/>
      <c r="AH10" s="173"/>
      <c r="AI10" s="173"/>
      <c r="AJ10" s="173"/>
      <c r="AK10" s="174"/>
      <c r="AL10" s="175" t="s">
        <v>359</v>
      </c>
      <c r="AM10" s="176"/>
      <c r="AN10" s="176"/>
      <c r="AO10" s="176"/>
      <c r="AP10" s="176"/>
      <c r="AQ10" s="177"/>
      <c r="AR10" s="178" t="s">
        <v>360</v>
      </c>
      <c r="AS10" s="179"/>
      <c r="AT10" s="179"/>
      <c r="AU10" s="180"/>
    </row>
    <row r="11" spans="2:47" ht="15.75" thickBot="1" x14ac:dyDescent="0.3">
      <c r="B11" s="37"/>
      <c r="C11" s="37" t="s">
        <v>16</v>
      </c>
      <c r="D11" s="37"/>
      <c r="E11" s="37"/>
      <c r="F11" s="37"/>
      <c r="G11" s="77" t="s">
        <v>102</v>
      </c>
      <c r="H11" s="65" t="s">
        <v>88</v>
      </c>
      <c r="I11" s="66" t="s">
        <v>6</v>
      </c>
      <c r="J11" s="67" t="s">
        <v>7</v>
      </c>
      <c r="K11" s="68" t="s">
        <v>8</v>
      </c>
      <c r="L11" s="68" t="s">
        <v>9</v>
      </c>
      <c r="M11" s="69" t="s">
        <v>10</v>
      </c>
      <c r="N11" s="70" t="s">
        <v>88</v>
      </c>
      <c r="O11" s="70" t="s">
        <v>6</v>
      </c>
      <c r="P11" s="67" t="s">
        <v>7</v>
      </c>
      <c r="Q11" s="68" t="s">
        <v>8</v>
      </c>
      <c r="R11" s="68" t="s">
        <v>9</v>
      </c>
      <c r="S11" s="69" t="s">
        <v>10</v>
      </c>
      <c r="T11" s="70" t="s">
        <v>88</v>
      </c>
      <c r="U11" s="70" t="s">
        <v>6</v>
      </c>
      <c r="V11" s="67" t="s">
        <v>7</v>
      </c>
      <c r="W11" s="68" t="s">
        <v>8</v>
      </c>
      <c r="X11" s="68" t="s">
        <v>9</v>
      </c>
      <c r="Y11" s="69" t="s">
        <v>10</v>
      </c>
      <c r="Z11" s="70" t="s">
        <v>88</v>
      </c>
      <c r="AA11" s="70" t="s">
        <v>6</v>
      </c>
      <c r="AB11" s="67" t="s">
        <v>7</v>
      </c>
      <c r="AC11" s="68" t="s">
        <v>8</v>
      </c>
      <c r="AD11" s="68" t="s">
        <v>9</v>
      </c>
      <c r="AE11" s="69" t="s">
        <v>10</v>
      </c>
      <c r="AF11" s="70" t="s">
        <v>88</v>
      </c>
      <c r="AG11" s="70" t="s">
        <v>6</v>
      </c>
      <c r="AH11" s="67" t="s">
        <v>7</v>
      </c>
      <c r="AI11" s="68" t="s">
        <v>8</v>
      </c>
      <c r="AJ11" s="68" t="s">
        <v>9</v>
      </c>
      <c r="AK11" s="69" t="s">
        <v>10</v>
      </c>
      <c r="AL11" s="70" t="s">
        <v>88</v>
      </c>
      <c r="AM11" s="70" t="s">
        <v>6</v>
      </c>
      <c r="AN11" s="67" t="s">
        <v>7</v>
      </c>
      <c r="AO11" s="68" t="s">
        <v>8</v>
      </c>
      <c r="AP11" s="68" t="s">
        <v>9</v>
      </c>
      <c r="AQ11" s="69" t="s">
        <v>10</v>
      </c>
      <c r="AR11" s="70" t="s">
        <v>88</v>
      </c>
      <c r="AS11" s="70" t="s">
        <v>6</v>
      </c>
      <c r="AT11" s="67" t="s">
        <v>7</v>
      </c>
      <c r="AU11" s="71" t="s">
        <v>8</v>
      </c>
    </row>
    <row r="12" spans="2:47" ht="15.75" thickBot="1" x14ac:dyDescent="0.3">
      <c r="B12" s="95" t="s">
        <v>342</v>
      </c>
      <c r="C12" s="99" t="s">
        <v>85</v>
      </c>
      <c r="D12" s="91"/>
      <c r="E12" s="91"/>
      <c r="F12" s="99" t="s">
        <v>356</v>
      </c>
      <c r="G12" s="99" t="s">
        <v>357</v>
      </c>
      <c r="H12" s="65" t="s">
        <v>85</v>
      </c>
      <c r="I12" s="72"/>
      <c r="J12" s="72" t="s">
        <v>0</v>
      </c>
      <c r="K12" s="72"/>
      <c r="L12" s="72"/>
      <c r="M12" s="73"/>
      <c r="N12" s="65" t="s">
        <v>85</v>
      </c>
      <c r="O12" s="72"/>
      <c r="P12" s="72"/>
      <c r="Q12" s="72"/>
      <c r="R12" s="72"/>
      <c r="S12" s="73"/>
      <c r="T12" s="65" t="s">
        <v>85</v>
      </c>
      <c r="U12" s="72"/>
      <c r="V12" s="72"/>
      <c r="W12" s="72"/>
      <c r="X12" s="72"/>
      <c r="Y12" s="73"/>
      <c r="Z12" s="65" t="s">
        <v>85</v>
      </c>
      <c r="AA12" s="72"/>
      <c r="AB12" s="72"/>
      <c r="AC12" s="72"/>
      <c r="AD12" s="72"/>
      <c r="AE12" s="73"/>
      <c r="AF12" s="65" t="s">
        <v>85</v>
      </c>
      <c r="AG12" s="72"/>
      <c r="AH12" s="72"/>
      <c r="AI12" s="72"/>
      <c r="AJ12" s="72"/>
      <c r="AK12" s="73"/>
      <c r="AL12" s="65" t="s">
        <v>85</v>
      </c>
      <c r="AM12" s="72"/>
      <c r="AN12" s="72"/>
      <c r="AO12" s="72"/>
      <c r="AP12" s="72"/>
      <c r="AQ12" s="72"/>
      <c r="AR12" s="65" t="s">
        <v>85</v>
      </c>
      <c r="AS12" s="72"/>
      <c r="AT12" s="72"/>
      <c r="AU12" s="73"/>
    </row>
    <row r="13" spans="2:47" ht="15.75" thickBot="1" x14ac:dyDescent="0.3">
      <c r="B13" s="96" t="s">
        <v>343</v>
      </c>
      <c r="C13" s="100"/>
      <c r="D13" s="92" t="str">
        <f t="array" ref="D13">INDEX(Table_Name76[Name List],MATCH(B13,Table_Name76[Category],0))</f>
        <v>Incline_Push[Exercise]</v>
      </c>
      <c r="E13" s="103" t="e">
        <f t="array" ref="E13">INDEX(Links97[Link],MATCH(C13,Links97[Exercise],0))</f>
        <v>#N/A</v>
      </c>
      <c r="F13" s="106" t="e">
        <f t="shared" ref="F13:F18" si="0">HYPERLINK(E13,"Video")</f>
        <v>#N/A</v>
      </c>
      <c r="G13" s="109"/>
      <c r="H13" s="75">
        <f t="shared" ref="H13:H18" si="1">C13</f>
        <v>0</v>
      </c>
      <c r="I13" s="76">
        <v>2</v>
      </c>
      <c r="J13" s="76">
        <f t="shared" ref="J13:J18" si="2">MROUND(((G13)*0.85),5)</f>
        <v>0</v>
      </c>
      <c r="K13" s="76" t="s">
        <v>11</v>
      </c>
      <c r="L13" s="76"/>
      <c r="M13" s="77"/>
      <c r="N13" s="75">
        <f t="shared" ref="N13:N18" si="3">C13</f>
        <v>0</v>
      </c>
      <c r="O13" s="76">
        <f>I13+(M32)</f>
        <v>2</v>
      </c>
      <c r="P13" s="76">
        <f t="shared" ref="P13:P18" si="4">MROUND((J13*1.02),5)</f>
        <v>0</v>
      </c>
      <c r="Q13" s="76" t="s">
        <v>11</v>
      </c>
      <c r="R13" s="76"/>
      <c r="S13" s="78"/>
      <c r="T13" s="57">
        <f t="shared" ref="T13:T18" si="5">C13</f>
        <v>0</v>
      </c>
      <c r="U13" s="76">
        <f>O13+(S32)</f>
        <v>2</v>
      </c>
      <c r="V13" s="76">
        <f t="shared" ref="V13:V18" si="6">MROUND((J13*1.04),5)</f>
        <v>0</v>
      </c>
      <c r="W13" s="76" t="s">
        <v>12</v>
      </c>
      <c r="X13" s="76"/>
      <c r="Y13" s="78"/>
      <c r="Z13" s="13">
        <f t="shared" ref="Z13:Z18" si="7">C13</f>
        <v>0</v>
      </c>
      <c r="AA13" s="76">
        <f>U13+(Y32)</f>
        <v>2</v>
      </c>
      <c r="AB13" s="76">
        <f t="shared" ref="AB13:AB18" si="8">MROUND((P13*1.04),5)</f>
        <v>0</v>
      </c>
      <c r="AC13" s="76" t="s">
        <v>12</v>
      </c>
      <c r="AD13" s="76"/>
      <c r="AE13" s="78"/>
      <c r="AF13" s="13">
        <f t="shared" ref="AF13:AF18" si="9">C13</f>
        <v>0</v>
      </c>
      <c r="AG13" s="76">
        <f>AA13+(AE32)</f>
        <v>2</v>
      </c>
      <c r="AH13" s="76">
        <f t="shared" ref="AH13:AH18" si="10">MROUND((V13*1.04),5)</f>
        <v>0</v>
      </c>
      <c r="AI13" s="76" t="s">
        <v>12</v>
      </c>
      <c r="AJ13" s="76"/>
      <c r="AK13" s="78"/>
      <c r="AL13" s="75">
        <f t="shared" ref="AL13:AL18" si="11">C13</f>
        <v>0</v>
      </c>
      <c r="AM13" s="76">
        <f>AG13+(AK32)</f>
        <v>2</v>
      </c>
      <c r="AN13" s="76">
        <f t="shared" ref="AN13:AN18" si="12">MROUND((J13*1.1),5)</f>
        <v>0</v>
      </c>
      <c r="AO13" s="76" t="s">
        <v>13</v>
      </c>
      <c r="AP13" s="76"/>
      <c r="AQ13" s="78"/>
      <c r="AR13" s="75">
        <f t="shared" ref="AR13:AR18" si="13">C13</f>
        <v>0</v>
      </c>
      <c r="AS13" s="76">
        <v>2</v>
      </c>
      <c r="AT13" s="79">
        <f t="shared" ref="AT13:AT18" si="14">J13</f>
        <v>0</v>
      </c>
      <c r="AU13" s="77" t="s">
        <v>14</v>
      </c>
    </row>
    <row r="14" spans="2:47" ht="15.75" thickBot="1" x14ac:dyDescent="0.3">
      <c r="B14" s="97" t="s">
        <v>37</v>
      </c>
      <c r="C14" s="101"/>
      <c r="D14" s="93" t="str">
        <f t="array" ref="D14">INDEX(Table_Name76[Name List],MATCH(B14,Table_Name76[Category],0))</f>
        <v>Chest_Isolation[Exercise]</v>
      </c>
      <c r="E14" s="104" t="e">
        <f t="array" ref="E14">INDEX(Links97[Link],MATCH(C14,Links97[Exercise],0))</f>
        <v>#N/A</v>
      </c>
      <c r="F14" s="107" t="e">
        <f t="shared" si="0"/>
        <v>#N/A</v>
      </c>
      <c r="G14" s="110"/>
      <c r="H14" s="75">
        <f t="shared" si="1"/>
        <v>0</v>
      </c>
      <c r="I14" s="76">
        <v>2</v>
      </c>
      <c r="J14" s="76">
        <f t="shared" si="2"/>
        <v>0</v>
      </c>
      <c r="K14" s="76" t="s">
        <v>11</v>
      </c>
      <c r="L14" s="76"/>
      <c r="M14" s="77"/>
      <c r="N14" s="75">
        <f t="shared" si="3"/>
        <v>0</v>
      </c>
      <c r="O14" s="76">
        <f>I14+(M32)</f>
        <v>2</v>
      </c>
      <c r="P14" s="76">
        <f t="shared" si="4"/>
        <v>0</v>
      </c>
      <c r="Q14" s="76" t="s">
        <v>11</v>
      </c>
      <c r="R14" s="76"/>
      <c r="S14" s="78"/>
      <c r="T14" s="57">
        <f t="shared" si="5"/>
        <v>0</v>
      </c>
      <c r="U14" s="76">
        <f>O14+(S32)</f>
        <v>2</v>
      </c>
      <c r="V14" s="76">
        <f t="shared" si="6"/>
        <v>0</v>
      </c>
      <c r="W14" s="76" t="s">
        <v>12</v>
      </c>
      <c r="X14" s="76"/>
      <c r="Y14" s="78"/>
      <c r="Z14" s="13">
        <f t="shared" si="7"/>
        <v>0</v>
      </c>
      <c r="AA14" s="76">
        <f>U14+(Y32)</f>
        <v>2</v>
      </c>
      <c r="AB14" s="76">
        <f t="shared" si="8"/>
        <v>0</v>
      </c>
      <c r="AC14" s="76" t="s">
        <v>12</v>
      </c>
      <c r="AD14" s="76"/>
      <c r="AE14" s="78"/>
      <c r="AF14" s="13">
        <f t="shared" si="9"/>
        <v>0</v>
      </c>
      <c r="AG14" s="76">
        <f>AA14+(AE32)</f>
        <v>2</v>
      </c>
      <c r="AH14" s="76">
        <f t="shared" si="10"/>
        <v>0</v>
      </c>
      <c r="AI14" s="76" t="s">
        <v>12</v>
      </c>
      <c r="AJ14" s="76"/>
      <c r="AK14" s="78"/>
      <c r="AL14" s="75">
        <f t="shared" si="11"/>
        <v>0</v>
      </c>
      <c r="AM14" s="76">
        <f>AG14+(AK32)</f>
        <v>2</v>
      </c>
      <c r="AN14" s="76">
        <f t="shared" si="12"/>
        <v>0</v>
      </c>
      <c r="AO14" s="76" t="s">
        <v>13</v>
      </c>
      <c r="AP14" s="76"/>
      <c r="AQ14" s="78"/>
      <c r="AR14" s="75">
        <f t="shared" si="13"/>
        <v>0</v>
      </c>
      <c r="AS14" s="76">
        <v>2</v>
      </c>
      <c r="AT14" s="79">
        <f t="shared" si="14"/>
        <v>0</v>
      </c>
      <c r="AU14" s="77" t="s">
        <v>14</v>
      </c>
    </row>
    <row r="15" spans="2:47" ht="15.75" thickBot="1" x14ac:dyDescent="0.3">
      <c r="B15" s="97" t="s">
        <v>344</v>
      </c>
      <c r="C15" s="101"/>
      <c r="D15" s="93" t="str">
        <f t="array" ref="D15">INDEX(Table_Name76[Name List],MATCH(B15,Table_Name76[Category],0))</f>
        <v>Horizontal_Push[Exercise]</v>
      </c>
      <c r="E15" s="104" t="e">
        <f t="array" ref="E15">INDEX(Links97[Link],MATCH(C15,Links97[Exercise],0))</f>
        <v>#N/A</v>
      </c>
      <c r="F15" s="107" t="e">
        <f t="shared" si="0"/>
        <v>#N/A</v>
      </c>
      <c r="G15" s="110"/>
      <c r="H15" s="75">
        <f t="shared" si="1"/>
        <v>0</v>
      </c>
      <c r="I15" s="76">
        <v>2</v>
      </c>
      <c r="J15" s="76">
        <f t="shared" si="2"/>
        <v>0</v>
      </c>
      <c r="K15" s="76" t="s">
        <v>11</v>
      </c>
      <c r="L15" s="76"/>
      <c r="M15" s="77"/>
      <c r="N15" s="75">
        <f t="shared" si="3"/>
        <v>0</v>
      </c>
      <c r="O15" s="76">
        <f>I15+(M32)</f>
        <v>2</v>
      </c>
      <c r="P15" s="76">
        <f t="shared" si="4"/>
        <v>0</v>
      </c>
      <c r="Q15" s="76" t="s">
        <v>11</v>
      </c>
      <c r="R15" s="76"/>
      <c r="S15" s="78"/>
      <c r="T15" s="57">
        <f t="shared" si="5"/>
        <v>0</v>
      </c>
      <c r="U15" s="76">
        <f>O15+(S32)</f>
        <v>2</v>
      </c>
      <c r="V15" s="76">
        <f t="shared" si="6"/>
        <v>0</v>
      </c>
      <c r="W15" s="76" t="s">
        <v>12</v>
      </c>
      <c r="X15" s="76"/>
      <c r="Y15" s="78"/>
      <c r="Z15" s="13">
        <f t="shared" si="7"/>
        <v>0</v>
      </c>
      <c r="AA15" s="76">
        <f>U15+(Y32)</f>
        <v>2</v>
      </c>
      <c r="AB15" s="76">
        <f t="shared" si="8"/>
        <v>0</v>
      </c>
      <c r="AC15" s="76" t="s">
        <v>12</v>
      </c>
      <c r="AD15" s="76"/>
      <c r="AE15" s="78"/>
      <c r="AF15" s="13">
        <f t="shared" si="9"/>
        <v>0</v>
      </c>
      <c r="AG15" s="76">
        <f>AA15+(AE32)</f>
        <v>2</v>
      </c>
      <c r="AH15" s="76">
        <f t="shared" si="10"/>
        <v>0</v>
      </c>
      <c r="AI15" s="76" t="s">
        <v>12</v>
      </c>
      <c r="AJ15" s="76"/>
      <c r="AK15" s="78"/>
      <c r="AL15" s="75">
        <f t="shared" si="11"/>
        <v>0</v>
      </c>
      <c r="AM15" s="76">
        <f>AG15+(AK32)</f>
        <v>2</v>
      </c>
      <c r="AN15" s="76">
        <f t="shared" si="12"/>
        <v>0</v>
      </c>
      <c r="AO15" s="76" t="s">
        <v>13</v>
      </c>
      <c r="AP15" s="76"/>
      <c r="AQ15" s="78"/>
      <c r="AR15" s="75">
        <f t="shared" si="13"/>
        <v>0</v>
      </c>
      <c r="AS15" s="76">
        <v>2</v>
      </c>
      <c r="AT15" s="79">
        <f t="shared" si="14"/>
        <v>0</v>
      </c>
      <c r="AU15" s="77" t="s">
        <v>14</v>
      </c>
    </row>
    <row r="16" spans="2:47" ht="15.75" thickBot="1" x14ac:dyDescent="0.3">
      <c r="B16" s="97" t="s">
        <v>338</v>
      </c>
      <c r="C16" s="101"/>
      <c r="D16" s="93" t="str">
        <f t="array" ref="D16">INDEX(Table_Name76[Name List],MATCH(B16,Table_Name76[Category],0))</f>
        <v>Horizontal_Back[Exercise]</v>
      </c>
      <c r="E16" s="104" t="e">
        <f t="array" ref="E16">INDEX(Links97[Link],MATCH(C16,Links97[Exercise],0))</f>
        <v>#N/A</v>
      </c>
      <c r="F16" s="107" t="e">
        <f t="shared" si="0"/>
        <v>#N/A</v>
      </c>
      <c r="G16" s="110"/>
      <c r="H16" s="75">
        <f t="shared" si="1"/>
        <v>0</v>
      </c>
      <c r="I16" s="76">
        <v>2</v>
      </c>
      <c r="J16" s="76">
        <f t="shared" si="2"/>
        <v>0</v>
      </c>
      <c r="K16" s="76" t="s">
        <v>11</v>
      </c>
      <c r="L16" s="76" t="s">
        <v>0</v>
      </c>
      <c r="M16" s="77"/>
      <c r="N16" s="75">
        <f t="shared" si="3"/>
        <v>0</v>
      </c>
      <c r="O16" s="76">
        <f>I16+(M31)</f>
        <v>2</v>
      </c>
      <c r="P16" s="76">
        <f t="shared" si="4"/>
        <v>0</v>
      </c>
      <c r="Q16" s="76" t="s">
        <v>11</v>
      </c>
      <c r="R16" s="76"/>
      <c r="S16" s="78"/>
      <c r="T16" s="57">
        <f t="shared" si="5"/>
        <v>0</v>
      </c>
      <c r="U16" s="76">
        <f>O16+(S31)</f>
        <v>2</v>
      </c>
      <c r="V16" s="76">
        <f t="shared" si="6"/>
        <v>0</v>
      </c>
      <c r="W16" s="76" t="s">
        <v>12</v>
      </c>
      <c r="X16" s="76"/>
      <c r="Y16" s="78"/>
      <c r="Z16" s="13">
        <f t="shared" si="7"/>
        <v>0</v>
      </c>
      <c r="AA16" s="76">
        <f>U16+(Y31)</f>
        <v>2</v>
      </c>
      <c r="AB16" s="76">
        <f t="shared" si="8"/>
        <v>0</v>
      </c>
      <c r="AC16" s="76" t="s">
        <v>12</v>
      </c>
      <c r="AD16" s="76"/>
      <c r="AE16" s="78"/>
      <c r="AF16" s="13">
        <f t="shared" si="9"/>
        <v>0</v>
      </c>
      <c r="AG16" s="76">
        <f>AA16+(AE31)</f>
        <v>2</v>
      </c>
      <c r="AH16" s="76">
        <f t="shared" si="10"/>
        <v>0</v>
      </c>
      <c r="AI16" s="76" t="s">
        <v>12</v>
      </c>
      <c r="AJ16" s="76"/>
      <c r="AK16" s="78"/>
      <c r="AL16" s="75">
        <f t="shared" si="11"/>
        <v>0</v>
      </c>
      <c r="AM16" s="76">
        <f>AG16+(AK31)</f>
        <v>2</v>
      </c>
      <c r="AN16" s="76">
        <f t="shared" si="12"/>
        <v>0</v>
      </c>
      <c r="AO16" s="76" t="s">
        <v>13</v>
      </c>
      <c r="AP16" s="76"/>
      <c r="AQ16" s="78"/>
      <c r="AR16" s="75">
        <f t="shared" si="13"/>
        <v>0</v>
      </c>
      <c r="AS16" s="76">
        <v>2</v>
      </c>
      <c r="AT16" s="79">
        <f t="shared" si="14"/>
        <v>0</v>
      </c>
      <c r="AU16" s="77" t="s">
        <v>14</v>
      </c>
    </row>
    <row r="17" spans="2:47" ht="15.75" thickBot="1" x14ac:dyDescent="0.3">
      <c r="B17" s="97" t="s">
        <v>340</v>
      </c>
      <c r="C17" s="101"/>
      <c r="D17" s="93" t="str">
        <f t="array" ref="D17">INDEX(Table_Name76[Name List],MATCH(B17,Table_Name76[Category],0))</f>
        <v>Rear_or_Side_Delts[Exercise]</v>
      </c>
      <c r="E17" s="104" t="e">
        <f t="array" ref="E17">INDEX(Links97[Link],MATCH(C17,Links97[Exercise],0))</f>
        <v>#N/A</v>
      </c>
      <c r="F17" s="107" t="e">
        <f t="shared" si="0"/>
        <v>#N/A</v>
      </c>
      <c r="G17" s="110"/>
      <c r="H17" s="75">
        <f t="shared" si="1"/>
        <v>0</v>
      </c>
      <c r="I17" s="76">
        <v>3</v>
      </c>
      <c r="J17" s="76">
        <f t="shared" si="2"/>
        <v>0</v>
      </c>
      <c r="K17" s="76" t="s">
        <v>11</v>
      </c>
      <c r="L17" s="76" t="s">
        <v>0</v>
      </c>
      <c r="M17" s="77"/>
      <c r="N17" s="75">
        <f t="shared" si="3"/>
        <v>0</v>
      </c>
      <c r="O17" s="76">
        <f>I17+(M33)</f>
        <v>3</v>
      </c>
      <c r="P17" s="76">
        <f t="shared" si="4"/>
        <v>0</v>
      </c>
      <c r="Q17" s="76" t="s">
        <v>11</v>
      </c>
      <c r="R17" s="76"/>
      <c r="S17" s="78"/>
      <c r="T17" s="57">
        <f t="shared" si="5"/>
        <v>0</v>
      </c>
      <c r="U17" s="76">
        <f>O17+(S33)</f>
        <v>3</v>
      </c>
      <c r="V17" s="76">
        <f t="shared" si="6"/>
        <v>0</v>
      </c>
      <c r="W17" s="76" t="s">
        <v>12</v>
      </c>
      <c r="X17" s="76"/>
      <c r="Y17" s="78"/>
      <c r="Z17" s="13">
        <f t="shared" si="7"/>
        <v>0</v>
      </c>
      <c r="AA17" s="76">
        <f>U17+(Y33)</f>
        <v>3</v>
      </c>
      <c r="AB17" s="76">
        <f t="shared" si="8"/>
        <v>0</v>
      </c>
      <c r="AC17" s="76" t="s">
        <v>12</v>
      </c>
      <c r="AD17" s="76"/>
      <c r="AE17" s="78"/>
      <c r="AF17" s="13">
        <f t="shared" si="9"/>
        <v>0</v>
      </c>
      <c r="AG17" s="76">
        <f>AA17+(AE33)</f>
        <v>3</v>
      </c>
      <c r="AH17" s="76">
        <f t="shared" si="10"/>
        <v>0</v>
      </c>
      <c r="AI17" s="76" t="s">
        <v>12</v>
      </c>
      <c r="AJ17" s="76"/>
      <c r="AK17" s="78"/>
      <c r="AL17" s="75">
        <f t="shared" si="11"/>
        <v>0</v>
      </c>
      <c r="AM17" s="76">
        <f>AG17+(AK33)</f>
        <v>3</v>
      </c>
      <c r="AN17" s="76">
        <f t="shared" si="12"/>
        <v>0</v>
      </c>
      <c r="AO17" s="76" t="s">
        <v>13</v>
      </c>
      <c r="AP17" s="76"/>
      <c r="AQ17" s="78"/>
      <c r="AR17" s="75">
        <f t="shared" si="13"/>
        <v>0</v>
      </c>
      <c r="AS17" s="76">
        <v>2</v>
      </c>
      <c r="AT17" s="79">
        <f t="shared" si="14"/>
        <v>0</v>
      </c>
      <c r="AU17" s="77" t="s">
        <v>14</v>
      </c>
    </row>
    <row r="18" spans="2:47" ht="15.75" thickBot="1" x14ac:dyDescent="0.3">
      <c r="B18" s="98" t="s">
        <v>77</v>
      </c>
      <c r="C18" s="102"/>
      <c r="D18" s="94" t="str">
        <f t="array" ref="D18">INDEX(Table_Name76[Name List],MATCH(B18,Table_Name76[Category],0))</f>
        <v>Abs[Exercise]</v>
      </c>
      <c r="E18" s="105" t="e">
        <f t="array" ref="E18">INDEX(Links97[Link],MATCH(C18,Links97[Exercise],0))</f>
        <v>#N/A</v>
      </c>
      <c r="F18" s="108" t="e">
        <f t="shared" si="0"/>
        <v>#N/A</v>
      </c>
      <c r="G18" s="111"/>
      <c r="H18" s="81">
        <f t="shared" si="1"/>
        <v>0</v>
      </c>
      <c r="I18" s="82">
        <v>2</v>
      </c>
      <c r="J18" s="82">
        <f t="shared" si="2"/>
        <v>0</v>
      </c>
      <c r="K18" s="82" t="s">
        <v>11</v>
      </c>
      <c r="L18" s="82"/>
      <c r="M18" s="64"/>
      <c r="N18" s="81">
        <f t="shared" si="3"/>
        <v>0</v>
      </c>
      <c r="O18" s="82">
        <f>I18+(M34)</f>
        <v>2</v>
      </c>
      <c r="P18" s="76">
        <f t="shared" si="4"/>
        <v>0</v>
      </c>
      <c r="Q18" s="82" t="s">
        <v>11</v>
      </c>
      <c r="R18" s="82"/>
      <c r="S18" s="78"/>
      <c r="T18" s="83">
        <f t="shared" si="5"/>
        <v>0</v>
      </c>
      <c r="U18" s="82">
        <f>O18+(S34)</f>
        <v>2</v>
      </c>
      <c r="V18" s="76">
        <f t="shared" si="6"/>
        <v>0</v>
      </c>
      <c r="W18" s="82" t="s">
        <v>12</v>
      </c>
      <c r="X18" s="82"/>
      <c r="Y18" s="78"/>
      <c r="Z18" s="13">
        <f t="shared" si="7"/>
        <v>0</v>
      </c>
      <c r="AA18" s="82">
        <f>U18+(Y34)</f>
        <v>2</v>
      </c>
      <c r="AB18" s="76">
        <f t="shared" si="8"/>
        <v>0</v>
      </c>
      <c r="AC18" s="82" t="s">
        <v>12</v>
      </c>
      <c r="AD18" s="82"/>
      <c r="AE18" s="78"/>
      <c r="AF18" s="13">
        <f t="shared" si="9"/>
        <v>0</v>
      </c>
      <c r="AG18" s="82">
        <f>AA18+(AE34)</f>
        <v>2</v>
      </c>
      <c r="AH18" s="76">
        <f t="shared" si="10"/>
        <v>0</v>
      </c>
      <c r="AI18" s="82" t="s">
        <v>12</v>
      </c>
      <c r="AJ18" s="82"/>
      <c r="AK18" s="78"/>
      <c r="AL18" s="81">
        <f t="shared" si="11"/>
        <v>0</v>
      </c>
      <c r="AM18" s="82">
        <f>AG18+(AK34)</f>
        <v>2</v>
      </c>
      <c r="AN18" s="82">
        <f t="shared" si="12"/>
        <v>0</v>
      </c>
      <c r="AO18" s="82" t="s">
        <v>13</v>
      </c>
      <c r="AP18" s="82"/>
      <c r="AQ18" s="78"/>
      <c r="AR18" s="81">
        <f t="shared" si="13"/>
        <v>0</v>
      </c>
      <c r="AS18" s="82">
        <v>2</v>
      </c>
      <c r="AT18" s="84">
        <f t="shared" si="14"/>
        <v>0</v>
      </c>
      <c r="AU18" s="64" t="s">
        <v>14</v>
      </c>
    </row>
    <row r="19" spans="2:47" s="43" customFormat="1" ht="19.5" thickBot="1" x14ac:dyDescent="0.3">
      <c r="B19" s="86" t="s">
        <v>337</v>
      </c>
      <c r="C19" s="57"/>
      <c r="D19" s="57"/>
      <c r="E19" s="85"/>
      <c r="F19" s="56"/>
      <c r="G19" s="62"/>
      <c r="H19" s="181" t="s">
        <v>1</v>
      </c>
      <c r="I19" s="182"/>
      <c r="J19" s="182"/>
      <c r="K19" s="182"/>
      <c r="L19" s="182"/>
      <c r="M19" s="183"/>
      <c r="N19" s="184" t="s">
        <v>2</v>
      </c>
      <c r="O19" s="185"/>
      <c r="P19" s="185"/>
      <c r="Q19" s="185"/>
      <c r="R19" s="185"/>
      <c r="S19" s="186"/>
      <c r="T19" s="172" t="s">
        <v>3</v>
      </c>
      <c r="U19" s="173"/>
      <c r="V19" s="173"/>
      <c r="W19" s="173"/>
      <c r="X19" s="173"/>
      <c r="Y19" s="174"/>
      <c r="Z19" s="172" t="s">
        <v>4</v>
      </c>
      <c r="AA19" s="173"/>
      <c r="AB19" s="173"/>
      <c r="AC19" s="173"/>
      <c r="AD19" s="173"/>
      <c r="AE19" s="174"/>
      <c r="AF19" s="172" t="s">
        <v>358</v>
      </c>
      <c r="AG19" s="173"/>
      <c r="AH19" s="173"/>
      <c r="AI19" s="173"/>
      <c r="AJ19" s="173"/>
      <c r="AK19" s="174"/>
      <c r="AL19" s="175" t="s">
        <v>359</v>
      </c>
      <c r="AM19" s="176"/>
      <c r="AN19" s="176"/>
      <c r="AO19" s="176"/>
      <c r="AP19" s="176"/>
      <c r="AQ19" s="177"/>
      <c r="AR19" s="178" t="s">
        <v>360</v>
      </c>
      <c r="AS19" s="179"/>
      <c r="AT19" s="179"/>
      <c r="AU19" s="180"/>
    </row>
    <row r="20" spans="2:47" s="43" customFormat="1" ht="15.75" thickBot="1" x14ac:dyDescent="0.3">
      <c r="B20" s="37"/>
      <c r="C20" s="57"/>
      <c r="D20" s="57"/>
      <c r="E20" s="85"/>
      <c r="F20" s="56"/>
      <c r="G20" s="57"/>
      <c r="H20" s="65" t="s">
        <v>88</v>
      </c>
      <c r="I20" s="66" t="s">
        <v>6</v>
      </c>
      <c r="J20" s="67" t="s">
        <v>7</v>
      </c>
      <c r="K20" s="68" t="s">
        <v>8</v>
      </c>
      <c r="L20" s="68" t="s">
        <v>9</v>
      </c>
      <c r="M20" s="69" t="s">
        <v>10</v>
      </c>
      <c r="N20" s="70" t="s">
        <v>88</v>
      </c>
      <c r="O20" s="70" t="s">
        <v>6</v>
      </c>
      <c r="P20" s="67" t="s">
        <v>7</v>
      </c>
      <c r="Q20" s="68" t="s">
        <v>8</v>
      </c>
      <c r="R20" s="68" t="s">
        <v>9</v>
      </c>
      <c r="S20" s="69" t="s">
        <v>10</v>
      </c>
      <c r="T20" s="70" t="s">
        <v>88</v>
      </c>
      <c r="U20" s="70" t="s">
        <v>6</v>
      </c>
      <c r="V20" s="67" t="s">
        <v>7</v>
      </c>
      <c r="W20" s="68" t="s">
        <v>8</v>
      </c>
      <c r="X20" s="68" t="s">
        <v>9</v>
      </c>
      <c r="Y20" s="69" t="s">
        <v>10</v>
      </c>
      <c r="Z20" s="70" t="s">
        <v>88</v>
      </c>
      <c r="AA20" s="70" t="s">
        <v>6</v>
      </c>
      <c r="AB20" s="67" t="s">
        <v>7</v>
      </c>
      <c r="AC20" s="68" t="s">
        <v>8</v>
      </c>
      <c r="AD20" s="68" t="s">
        <v>9</v>
      </c>
      <c r="AE20" s="69" t="s">
        <v>10</v>
      </c>
      <c r="AF20" s="70" t="s">
        <v>88</v>
      </c>
      <c r="AG20" s="70" t="s">
        <v>6</v>
      </c>
      <c r="AH20" s="67" t="s">
        <v>7</v>
      </c>
      <c r="AI20" s="68" t="s">
        <v>8</v>
      </c>
      <c r="AJ20" s="68" t="s">
        <v>9</v>
      </c>
      <c r="AK20" s="69" t="s">
        <v>10</v>
      </c>
      <c r="AL20" s="70" t="s">
        <v>88</v>
      </c>
      <c r="AM20" s="70" t="s">
        <v>6</v>
      </c>
      <c r="AN20" s="67" t="s">
        <v>7</v>
      </c>
      <c r="AO20" s="87" t="s">
        <v>15</v>
      </c>
      <c r="AP20" s="68" t="s">
        <v>9</v>
      </c>
      <c r="AQ20" s="69" t="s">
        <v>10</v>
      </c>
      <c r="AR20" s="70" t="s">
        <v>88</v>
      </c>
      <c r="AS20" s="70" t="s">
        <v>6</v>
      </c>
      <c r="AT20" s="67" t="s">
        <v>7</v>
      </c>
      <c r="AU20" s="71" t="s">
        <v>8</v>
      </c>
    </row>
    <row r="21" spans="2:47" s="43" customFormat="1" ht="15.75" thickBot="1" x14ac:dyDescent="0.3">
      <c r="B21" s="95" t="s">
        <v>345</v>
      </c>
      <c r="C21" s="99" t="s">
        <v>86</v>
      </c>
      <c r="D21" s="91"/>
      <c r="E21" s="91"/>
      <c r="F21" s="99" t="s">
        <v>356</v>
      </c>
      <c r="G21" s="99" t="s">
        <v>357</v>
      </c>
      <c r="H21" s="65" t="s">
        <v>86</v>
      </c>
      <c r="I21" s="72"/>
      <c r="J21" s="72"/>
      <c r="K21" s="72"/>
      <c r="L21" s="72"/>
      <c r="M21" s="73"/>
      <c r="N21" s="65" t="s">
        <v>86</v>
      </c>
      <c r="O21" s="72"/>
      <c r="P21" s="72"/>
      <c r="Q21" s="72"/>
      <c r="R21" s="72"/>
      <c r="S21" s="73"/>
      <c r="T21" s="65" t="s">
        <v>86</v>
      </c>
      <c r="U21" s="72"/>
      <c r="V21" s="72"/>
      <c r="W21" s="72"/>
      <c r="X21" s="72"/>
      <c r="Y21" s="72"/>
      <c r="Z21" s="65" t="s">
        <v>86</v>
      </c>
      <c r="AA21" s="72"/>
      <c r="AB21" s="72"/>
      <c r="AC21" s="72"/>
      <c r="AD21" s="72"/>
      <c r="AE21" s="72"/>
      <c r="AF21" s="65" t="s">
        <v>86</v>
      </c>
      <c r="AG21" s="72"/>
      <c r="AH21" s="72"/>
      <c r="AI21" s="72"/>
      <c r="AJ21" s="72"/>
      <c r="AK21" s="72"/>
      <c r="AL21" s="65" t="s">
        <v>86</v>
      </c>
      <c r="AM21" s="72"/>
      <c r="AN21" s="72"/>
      <c r="AO21" s="72"/>
      <c r="AP21" s="72"/>
      <c r="AQ21" s="72"/>
      <c r="AR21" s="65" t="s">
        <v>86</v>
      </c>
      <c r="AS21" s="72"/>
      <c r="AT21" s="72"/>
      <c r="AU21" s="73"/>
    </row>
    <row r="22" spans="2:47" s="43" customFormat="1" ht="15.75" thickBot="1" x14ac:dyDescent="0.3">
      <c r="B22" s="96" t="s">
        <v>20</v>
      </c>
      <c r="C22" s="100"/>
      <c r="D22" s="92" t="str">
        <f t="array" ref="D22">INDEX(Table_Name76[Name List],MATCH(B22,Table_Name76[Category],0))</f>
        <v>Quads[Exercise]</v>
      </c>
      <c r="E22" s="103" t="e">
        <f t="array" ref="E22">INDEX(Links97[Link],MATCH(C22,Links97[Exercise],0))</f>
        <v>#N/A</v>
      </c>
      <c r="F22" s="106" t="e">
        <f>HYPERLINK(E22,"Video")</f>
        <v>#N/A</v>
      </c>
      <c r="G22" s="109"/>
      <c r="H22" s="75">
        <f>C22</f>
        <v>0</v>
      </c>
      <c r="I22" s="76">
        <v>3</v>
      </c>
      <c r="J22" s="76">
        <f>MROUND(((G22)*0.85),5)</f>
        <v>0</v>
      </c>
      <c r="K22" s="76" t="s">
        <v>11</v>
      </c>
      <c r="L22" s="76"/>
      <c r="M22" s="77"/>
      <c r="N22" s="88">
        <f>C22</f>
        <v>0</v>
      </c>
      <c r="O22" s="76">
        <f>I22+(M41)</f>
        <v>3</v>
      </c>
      <c r="P22" s="76">
        <f>MROUND((J22*1.02),5)</f>
        <v>0</v>
      </c>
      <c r="Q22" s="76" t="s">
        <v>11</v>
      </c>
      <c r="R22" s="76"/>
      <c r="S22" s="78"/>
      <c r="T22" s="57">
        <f>C22</f>
        <v>0</v>
      </c>
      <c r="U22" s="76">
        <f>O22+(S41)</f>
        <v>3</v>
      </c>
      <c r="V22" s="76">
        <f>MROUND((J22*1.04),5)</f>
        <v>0</v>
      </c>
      <c r="W22" s="76" t="s">
        <v>12</v>
      </c>
      <c r="X22" s="76"/>
      <c r="Y22" s="78"/>
      <c r="Z22" s="13">
        <f>C22</f>
        <v>0</v>
      </c>
      <c r="AA22" s="76">
        <f>U22+(Y41)</f>
        <v>3</v>
      </c>
      <c r="AB22" s="76">
        <f>MROUND((P22*1.04),5)</f>
        <v>0</v>
      </c>
      <c r="AC22" s="76" t="s">
        <v>12</v>
      </c>
      <c r="AD22" s="76"/>
      <c r="AE22" s="78"/>
      <c r="AF22" s="13">
        <f>C22</f>
        <v>0</v>
      </c>
      <c r="AG22" s="76">
        <f>AA22+(AE41)</f>
        <v>3</v>
      </c>
      <c r="AH22" s="76">
        <f>MROUND((V22*1.04),5)</f>
        <v>0</v>
      </c>
      <c r="AI22" s="76" t="s">
        <v>12</v>
      </c>
      <c r="AJ22" s="76"/>
      <c r="AK22" s="78"/>
      <c r="AL22" s="75">
        <f>C22</f>
        <v>0</v>
      </c>
      <c r="AM22" s="76">
        <f>AG22+(AK41)</f>
        <v>3</v>
      </c>
      <c r="AN22" s="76">
        <f>MROUND((J22*1.1),5)</f>
        <v>0</v>
      </c>
      <c r="AO22" s="76" t="s">
        <v>13</v>
      </c>
      <c r="AP22" s="76"/>
      <c r="AQ22" s="78"/>
      <c r="AR22" s="75">
        <f>C22</f>
        <v>0</v>
      </c>
      <c r="AS22" s="76">
        <v>2</v>
      </c>
      <c r="AT22" s="79">
        <f>J22</f>
        <v>0</v>
      </c>
      <c r="AU22" s="77" t="s">
        <v>14</v>
      </c>
    </row>
    <row r="23" spans="2:47" s="43" customFormat="1" ht="15.75" thickBot="1" x14ac:dyDescent="0.3">
      <c r="B23" s="97" t="s">
        <v>20</v>
      </c>
      <c r="C23" s="101"/>
      <c r="D23" s="93" t="str">
        <f t="array" ref="D23">INDEX(Table_Name76[Name List],MATCH(B23,Table_Name76[Category],0))</f>
        <v>Quads[Exercise]</v>
      </c>
      <c r="E23" s="104" t="e">
        <f t="array" ref="E23">INDEX(Links97[Link],MATCH(C23,Links97[Exercise],0))</f>
        <v>#N/A</v>
      </c>
      <c r="F23" s="107" t="e">
        <f>HYPERLINK(E23,"Video")</f>
        <v>#N/A</v>
      </c>
      <c r="G23" s="110"/>
      <c r="H23" s="75">
        <f>C23</f>
        <v>0</v>
      </c>
      <c r="I23" s="76">
        <v>2</v>
      </c>
      <c r="J23" s="76">
        <f>MROUND(((G23)*0.85),5)</f>
        <v>0</v>
      </c>
      <c r="K23" s="76" t="s">
        <v>11</v>
      </c>
      <c r="L23" s="76"/>
      <c r="M23" s="77"/>
      <c r="N23" s="88">
        <f>C23</f>
        <v>0</v>
      </c>
      <c r="O23" s="76">
        <f>I23+(M41)</f>
        <v>2</v>
      </c>
      <c r="P23" s="76">
        <f>MROUND((J23*1.02),5)</f>
        <v>0</v>
      </c>
      <c r="Q23" s="76" t="s">
        <v>11</v>
      </c>
      <c r="R23" s="76"/>
      <c r="S23" s="78"/>
      <c r="T23" s="57">
        <f>C23</f>
        <v>0</v>
      </c>
      <c r="U23" s="76">
        <f>O23+(S41)</f>
        <v>2</v>
      </c>
      <c r="V23" s="76">
        <f>MROUND((J23*1.04),5)</f>
        <v>0</v>
      </c>
      <c r="W23" s="76" t="s">
        <v>12</v>
      </c>
      <c r="X23" s="76"/>
      <c r="Y23" s="78"/>
      <c r="Z23" s="13">
        <f>C23</f>
        <v>0</v>
      </c>
      <c r="AA23" s="76">
        <f>U23+(Y41)</f>
        <v>2</v>
      </c>
      <c r="AB23" s="76">
        <f>MROUND((P23*1.04),5)</f>
        <v>0</v>
      </c>
      <c r="AC23" s="76" t="s">
        <v>12</v>
      </c>
      <c r="AD23" s="76"/>
      <c r="AE23" s="78"/>
      <c r="AF23" s="13">
        <f>C23</f>
        <v>0</v>
      </c>
      <c r="AG23" s="76">
        <f>AA23+(AE41)</f>
        <v>2</v>
      </c>
      <c r="AH23" s="76">
        <f>MROUND((V23*1.04),5)</f>
        <v>0</v>
      </c>
      <c r="AI23" s="76" t="s">
        <v>12</v>
      </c>
      <c r="AJ23" s="76"/>
      <c r="AK23" s="78"/>
      <c r="AL23" s="75">
        <f>C23</f>
        <v>0</v>
      </c>
      <c r="AM23" s="76">
        <f>AG23+(AK41)</f>
        <v>2</v>
      </c>
      <c r="AN23" s="76">
        <f>MROUND((J23*1.1),5)</f>
        <v>0</v>
      </c>
      <c r="AO23" s="76" t="s">
        <v>13</v>
      </c>
      <c r="AP23" s="76"/>
      <c r="AQ23" s="78"/>
      <c r="AR23" s="75">
        <f>C23</f>
        <v>0</v>
      </c>
      <c r="AS23" s="76">
        <v>2</v>
      </c>
      <c r="AT23" s="79">
        <f>J23</f>
        <v>0</v>
      </c>
      <c r="AU23" s="77" t="s">
        <v>14</v>
      </c>
    </row>
    <row r="24" spans="2:47" s="43" customFormat="1" ht="15.75" thickBot="1" x14ac:dyDescent="0.3">
      <c r="B24" s="97" t="s">
        <v>106</v>
      </c>
      <c r="C24" s="101"/>
      <c r="D24" s="93" t="str">
        <f t="array" ref="D24">INDEX(Table_Name76[Name List],MATCH(B24,Table_Name76[Category],0))</f>
        <v>Hamstrings_Isolation[Exercise]</v>
      </c>
      <c r="E24" s="104" t="e">
        <f t="array" ref="E24">INDEX(Links97[Link],MATCH(C24,Links97[Exercise],0))</f>
        <v>#N/A</v>
      </c>
      <c r="F24" s="107" t="e">
        <f>HYPERLINK(E24,"Video")</f>
        <v>#N/A</v>
      </c>
      <c r="G24" s="110"/>
      <c r="H24" s="75">
        <f>C24</f>
        <v>0</v>
      </c>
      <c r="I24" s="76">
        <v>3</v>
      </c>
      <c r="J24" s="76">
        <f>MROUND(((G24)*0.85),5)</f>
        <v>0</v>
      </c>
      <c r="K24" s="76" t="s">
        <v>11</v>
      </c>
      <c r="L24" s="76"/>
      <c r="M24" s="77"/>
      <c r="N24" s="88">
        <f>C24</f>
        <v>0</v>
      </c>
      <c r="O24" s="76">
        <f>I24+(M40)</f>
        <v>3</v>
      </c>
      <c r="P24" s="76">
        <f>MROUND((J24*1.02),5)</f>
        <v>0</v>
      </c>
      <c r="Q24" s="76" t="s">
        <v>11</v>
      </c>
      <c r="R24" s="76"/>
      <c r="S24" s="78"/>
      <c r="T24" s="57">
        <f>C24</f>
        <v>0</v>
      </c>
      <c r="U24" s="76">
        <f>O24+(S40)</f>
        <v>3</v>
      </c>
      <c r="V24" s="76">
        <f>MROUND((J24*1.04),5)</f>
        <v>0</v>
      </c>
      <c r="W24" s="76" t="s">
        <v>12</v>
      </c>
      <c r="X24" s="76"/>
      <c r="Y24" s="78"/>
      <c r="Z24" s="13">
        <f>C24</f>
        <v>0</v>
      </c>
      <c r="AA24" s="76">
        <f>U24+(Y40)</f>
        <v>3</v>
      </c>
      <c r="AB24" s="76">
        <f>MROUND((P24*1.04),5)</f>
        <v>0</v>
      </c>
      <c r="AC24" s="76" t="s">
        <v>12</v>
      </c>
      <c r="AD24" s="76"/>
      <c r="AE24" s="78"/>
      <c r="AF24" s="13">
        <f>C24</f>
        <v>0</v>
      </c>
      <c r="AG24" s="76">
        <f>AA24+(AE40)</f>
        <v>3</v>
      </c>
      <c r="AH24" s="76">
        <f>MROUND((V24*1.04),5)</f>
        <v>0</v>
      </c>
      <c r="AI24" s="76" t="s">
        <v>12</v>
      </c>
      <c r="AJ24" s="76"/>
      <c r="AK24" s="78"/>
      <c r="AL24" s="75">
        <f>C24</f>
        <v>0</v>
      </c>
      <c r="AM24" s="76">
        <f>AG24+(AK40)</f>
        <v>3</v>
      </c>
      <c r="AN24" s="76">
        <f>MROUND((J24*1.1),5)</f>
        <v>0</v>
      </c>
      <c r="AO24" s="76" t="s">
        <v>13</v>
      </c>
      <c r="AP24" s="76"/>
      <c r="AQ24" s="78"/>
      <c r="AR24" s="75">
        <f>C24</f>
        <v>0</v>
      </c>
      <c r="AS24" s="76">
        <v>2</v>
      </c>
      <c r="AT24" s="79">
        <f>J24</f>
        <v>0</v>
      </c>
      <c r="AU24" s="77" t="s">
        <v>14</v>
      </c>
    </row>
    <row r="25" spans="2:47" s="43" customFormat="1" ht="15.75" thickBot="1" x14ac:dyDescent="0.3">
      <c r="B25" s="98" t="s">
        <v>19</v>
      </c>
      <c r="C25" s="102"/>
      <c r="D25" s="94" t="str">
        <f t="array" ref="D25">INDEX(Table_Name76[Name List],MATCH(B25,Table_Name76[Category],0))</f>
        <v>Calves[Exercise]</v>
      </c>
      <c r="E25" s="105" t="e">
        <f t="array" ref="E25">INDEX(Links97[Link],MATCH(C25,Links97[Exercise],0))</f>
        <v>#N/A</v>
      </c>
      <c r="F25" s="108" t="e">
        <f>HYPERLINK(E25,"Video")</f>
        <v>#N/A</v>
      </c>
      <c r="G25" s="111"/>
      <c r="H25" s="81">
        <f>C25</f>
        <v>0</v>
      </c>
      <c r="I25" s="82">
        <v>4</v>
      </c>
      <c r="J25" s="82">
        <f>MROUND(((G25)*0.85),5)</f>
        <v>0</v>
      </c>
      <c r="K25" s="82" t="s">
        <v>11</v>
      </c>
      <c r="L25" s="82"/>
      <c r="M25" s="64"/>
      <c r="N25" s="81">
        <f>C25</f>
        <v>0</v>
      </c>
      <c r="O25" s="82">
        <f>I25+(M42)</f>
        <v>4</v>
      </c>
      <c r="P25" s="76">
        <f>MROUND((J25*1.02),5)</f>
        <v>0</v>
      </c>
      <c r="Q25" s="82" t="s">
        <v>11</v>
      </c>
      <c r="R25" s="82"/>
      <c r="S25" s="78"/>
      <c r="T25" s="83">
        <f>C25</f>
        <v>0</v>
      </c>
      <c r="U25" s="82">
        <f>O25+(S42)</f>
        <v>4</v>
      </c>
      <c r="V25" s="76">
        <f>MROUND((J25*1.04),5)</f>
        <v>0</v>
      </c>
      <c r="W25" s="82" t="s">
        <v>12</v>
      </c>
      <c r="X25" s="82"/>
      <c r="Y25" s="78"/>
      <c r="Z25" s="13">
        <f>C25</f>
        <v>0</v>
      </c>
      <c r="AA25" s="82">
        <f>U25+(Y42)</f>
        <v>4</v>
      </c>
      <c r="AB25" s="76">
        <f>MROUND((P25*1.04),5)</f>
        <v>0</v>
      </c>
      <c r="AC25" s="82" t="s">
        <v>12</v>
      </c>
      <c r="AD25" s="82"/>
      <c r="AE25" s="78"/>
      <c r="AF25" s="13">
        <f>C25</f>
        <v>0</v>
      </c>
      <c r="AG25" s="82">
        <f>AA25+(AE42)</f>
        <v>4</v>
      </c>
      <c r="AH25" s="76">
        <f>MROUND((V25*1.04),5)</f>
        <v>0</v>
      </c>
      <c r="AI25" s="82" t="s">
        <v>12</v>
      </c>
      <c r="AJ25" s="82"/>
      <c r="AK25" s="78"/>
      <c r="AL25" s="81">
        <f>C25</f>
        <v>0</v>
      </c>
      <c r="AM25" s="82">
        <f>AG25+(AK42)</f>
        <v>4</v>
      </c>
      <c r="AN25" s="82">
        <f>MROUND((J25*1.1),5)</f>
        <v>0</v>
      </c>
      <c r="AO25" s="82" t="s">
        <v>13</v>
      </c>
      <c r="AP25" s="82"/>
      <c r="AQ25" s="78"/>
      <c r="AR25" s="81">
        <f>C25</f>
        <v>0</v>
      </c>
      <c r="AS25" s="82">
        <v>2</v>
      </c>
      <c r="AT25" s="84">
        <f>J25</f>
        <v>0</v>
      </c>
      <c r="AU25" s="64" t="s">
        <v>14</v>
      </c>
    </row>
    <row r="26" spans="2:47" s="43" customFormat="1" ht="19.5" thickBot="1" x14ac:dyDescent="0.3">
      <c r="B26" s="86" t="s">
        <v>346</v>
      </c>
      <c r="C26" s="57"/>
      <c r="D26" s="57"/>
      <c r="E26" s="85"/>
      <c r="F26" s="56"/>
      <c r="G26" s="62"/>
      <c r="H26" s="181" t="s">
        <v>1</v>
      </c>
      <c r="I26" s="182"/>
      <c r="J26" s="182"/>
      <c r="K26" s="182"/>
      <c r="L26" s="182"/>
      <c r="M26" s="183"/>
      <c r="N26" s="184" t="s">
        <v>2</v>
      </c>
      <c r="O26" s="185"/>
      <c r="P26" s="185"/>
      <c r="Q26" s="185"/>
      <c r="R26" s="185"/>
      <c r="S26" s="186"/>
      <c r="T26" s="172" t="s">
        <v>3</v>
      </c>
      <c r="U26" s="173"/>
      <c r="V26" s="173"/>
      <c r="W26" s="173"/>
      <c r="X26" s="173"/>
      <c r="Y26" s="174"/>
      <c r="Z26" s="172" t="s">
        <v>4</v>
      </c>
      <c r="AA26" s="173"/>
      <c r="AB26" s="173"/>
      <c r="AC26" s="173"/>
      <c r="AD26" s="173"/>
      <c r="AE26" s="174"/>
      <c r="AF26" s="172" t="s">
        <v>358</v>
      </c>
      <c r="AG26" s="173"/>
      <c r="AH26" s="173"/>
      <c r="AI26" s="173"/>
      <c r="AJ26" s="173"/>
      <c r="AK26" s="174"/>
      <c r="AL26" s="175" t="s">
        <v>359</v>
      </c>
      <c r="AM26" s="176"/>
      <c r="AN26" s="176"/>
      <c r="AO26" s="176"/>
      <c r="AP26" s="176"/>
      <c r="AQ26" s="177"/>
      <c r="AR26" s="178" t="s">
        <v>360</v>
      </c>
      <c r="AS26" s="179"/>
      <c r="AT26" s="179"/>
      <c r="AU26" s="180"/>
    </row>
    <row r="27" spans="2:47" s="43" customFormat="1" ht="15.75" thickBot="1" x14ac:dyDescent="0.3">
      <c r="B27" s="37"/>
      <c r="C27" s="57"/>
      <c r="D27" s="57"/>
      <c r="E27" s="85"/>
      <c r="F27" s="56"/>
      <c r="G27" s="57"/>
      <c r="H27" s="89" t="s">
        <v>88</v>
      </c>
      <c r="I27" s="70" t="s">
        <v>6</v>
      </c>
      <c r="J27" s="67" t="s">
        <v>7</v>
      </c>
      <c r="K27" s="68" t="s">
        <v>8</v>
      </c>
      <c r="L27" s="68" t="s">
        <v>9</v>
      </c>
      <c r="M27" s="69" t="s">
        <v>10</v>
      </c>
      <c r="N27" s="70" t="s">
        <v>88</v>
      </c>
      <c r="O27" s="70" t="s">
        <v>6</v>
      </c>
      <c r="P27" s="67" t="s">
        <v>7</v>
      </c>
      <c r="Q27" s="68" t="s">
        <v>8</v>
      </c>
      <c r="R27" s="68" t="s">
        <v>9</v>
      </c>
      <c r="S27" s="69" t="s">
        <v>10</v>
      </c>
      <c r="T27" s="70" t="s">
        <v>88</v>
      </c>
      <c r="U27" s="70" t="s">
        <v>6</v>
      </c>
      <c r="V27" s="67" t="s">
        <v>7</v>
      </c>
      <c r="W27" s="68" t="s">
        <v>8</v>
      </c>
      <c r="X27" s="68" t="s">
        <v>9</v>
      </c>
      <c r="Y27" s="69" t="s">
        <v>10</v>
      </c>
      <c r="Z27" s="70" t="s">
        <v>88</v>
      </c>
      <c r="AA27" s="70" t="s">
        <v>6</v>
      </c>
      <c r="AB27" s="67" t="s">
        <v>7</v>
      </c>
      <c r="AC27" s="68" t="s">
        <v>8</v>
      </c>
      <c r="AD27" s="68" t="s">
        <v>9</v>
      </c>
      <c r="AE27" s="69" t="s">
        <v>10</v>
      </c>
      <c r="AF27" s="70" t="s">
        <v>88</v>
      </c>
      <c r="AG27" s="70" t="s">
        <v>6</v>
      </c>
      <c r="AH27" s="67" t="s">
        <v>7</v>
      </c>
      <c r="AI27" s="68" t="s">
        <v>8</v>
      </c>
      <c r="AJ27" s="68" t="s">
        <v>9</v>
      </c>
      <c r="AK27" s="69" t="s">
        <v>10</v>
      </c>
      <c r="AL27" s="70" t="s">
        <v>88</v>
      </c>
      <c r="AM27" s="70" t="s">
        <v>6</v>
      </c>
      <c r="AN27" s="67" t="s">
        <v>7</v>
      </c>
      <c r="AO27" s="87" t="s">
        <v>15</v>
      </c>
      <c r="AP27" s="68" t="s">
        <v>9</v>
      </c>
      <c r="AQ27" s="69" t="s">
        <v>10</v>
      </c>
      <c r="AR27" s="70" t="s">
        <v>88</v>
      </c>
      <c r="AS27" s="70" t="s">
        <v>6</v>
      </c>
      <c r="AT27" s="67" t="s">
        <v>7</v>
      </c>
      <c r="AU27" s="71" t="s">
        <v>8</v>
      </c>
    </row>
    <row r="28" spans="2:47" s="43" customFormat="1" ht="15.75" thickBot="1" x14ac:dyDescent="0.3">
      <c r="B28" s="95" t="s">
        <v>347</v>
      </c>
      <c r="C28" s="99" t="s">
        <v>103</v>
      </c>
      <c r="D28" s="91"/>
      <c r="E28" s="91"/>
      <c r="F28" s="99" t="s">
        <v>356</v>
      </c>
      <c r="G28" s="99" t="s">
        <v>357</v>
      </c>
      <c r="H28" s="65" t="s">
        <v>103</v>
      </c>
      <c r="I28" s="72"/>
      <c r="J28" s="72"/>
      <c r="K28" s="72"/>
      <c r="L28" s="72"/>
      <c r="M28" s="73"/>
      <c r="N28" s="65" t="s">
        <v>103</v>
      </c>
      <c r="O28" s="72"/>
      <c r="P28" s="72"/>
      <c r="Q28" s="72"/>
      <c r="R28" s="72"/>
      <c r="S28" s="73"/>
      <c r="T28" s="65" t="s">
        <v>103</v>
      </c>
      <c r="U28" s="72"/>
      <c r="V28" s="72"/>
      <c r="W28" s="72"/>
      <c r="X28" s="72"/>
      <c r="Y28" s="72"/>
      <c r="Z28" s="65" t="s">
        <v>103</v>
      </c>
      <c r="AA28" s="72"/>
      <c r="AB28" s="72"/>
      <c r="AC28" s="72"/>
      <c r="AD28" s="72"/>
      <c r="AE28" s="72"/>
      <c r="AF28" s="65" t="s">
        <v>103</v>
      </c>
      <c r="AG28" s="72"/>
      <c r="AH28" s="72"/>
      <c r="AI28" s="72"/>
      <c r="AJ28" s="72"/>
      <c r="AK28" s="72"/>
      <c r="AL28" s="65" t="s">
        <v>103</v>
      </c>
      <c r="AM28" s="72"/>
      <c r="AN28" s="72"/>
      <c r="AO28" s="72"/>
      <c r="AP28" s="72"/>
      <c r="AQ28" s="72"/>
      <c r="AR28" s="65" t="s">
        <v>103</v>
      </c>
      <c r="AS28" s="72"/>
      <c r="AT28" s="72"/>
      <c r="AU28" s="73"/>
    </row>
    <row r="29" spans="2:47" s="43" customFormat="1" ht="15.75" thickBot="1" x14ac:dyDescent="0.3">
      <c r="B29" s="96" t="s">
        <v>339</v>
      </c>
      <c r="C29" s="100"/>
      <c r="D29" s="92" t="str">
        <f t="array" ref="D29">INDEX(Table_Name76[Name List],MATCH(B29,Table_Name76[Category],0))</f>
        <v>Vertical_Back[Exercise]</v>
      </c>
      <c r="E29" s="103" t="e">
        <f t="array" ref="E29">INDEX(Links97[Link],MATCH(C29,Links97[Exercise],0))</f>
        <v>#N/A</v>
      </c>
      <c r="F29" s="106" t="e">
        <f t="shared" ref="F29:F34" si="15">HYPERLINK(E29,"Video")</f>
        <v>#N/A</v>
      </c>
      <c r="G29" s="109"/>
      <c r="H29" s="75">
        <f t="shared" ref="H29:H34" si="16">C29</f>
        <v>0</v>
      </c>
      <c r="I29" s="76">
        <v>2</v>
      </c>
      <c r="J29" s="76">
        <f t="shared" ref="J29:J34" si="17">MROUND(((G29)*0.85),5)</f>
        <v>0</v>
      </c>
      <c r="K29" s="76" t="s">
        <v>11</v>
      </c>
      <c r="L29" s="76"/>
      <c r="M29" s="78"/>
      <c r="N29" s="88">
        <f t="shared" ref="N29:N34" si="18">C29</f>
        <v>0</v>
      </c>
      <c r="O29" s="76">
        <f>I29+(M50)</f>
        <v>2</v>
      </c>
      <c r="P29" s="76">
        <f t="shared" ref="P29:P34" si="19">MROUND((J29*1.02),5)</f>
        <v>0</v>
      </c>
      <c r="Q29" s="76" t="s">
        <v>11</v>
      </c>
      <c r="R29" s="76"/>
      <c r="S29" s="78"/>
      <c r="T29" s="57">
        <f t="shared" ref="T29:T34" si="20">C29</f>
        <v>0</v>
      </c>
      <c r="U29" s="76">
        <f>O29+(S50)</f>
        <v>2</v>
      </c>
      <c r="V29" s="76">
        <f t="shared" ref="V29:V34" si="21">MROUND((J29*1.04),5)</f>
        <v>0</v>
      </c>
      <c r="W29" s="76" t="s">
        <v>12</v>
      </c>
      <c r="X29" s="76"/>
      <c r="Y29" s="78"/>
      <c r="Z29" s="13">
        <f t="shared" ref="Z29:Z34" si="22">C29</f>
        <v>0</v>
      </c>
      <c r="AA29" s="76">
        <f>U29+(Y50)</f>
        <v>2</v>
      </c>
      <c r="AB29" s="76">
        <f t="shared" ref="AB29:AB34" si="23">MROUND((P29*1.04),5)</f>
        <v>0</v>
      </c>
      <c r="AC29" s="76" t="s">
        <v>12</v>
      </c>
      <c r="AD29" s="76"/>
      <c r="AE29" s="78"/>
      <c r="AF29" s="13">
        <f t="shared" ref="AF29:AF34" si="24">C29</f>
        <v>0</v>
      </c>
      <c r="AG29" s="76">
        <f>AA29+(AE50)</f>
        <v>2</v>
      </c>
      <c r="AH29" s="76">
        <f t="shared" ref="AH29:AH34" si="25">MROUND((V29*1.04),5)</f>
        <v>0</v>
      </c>
      <c r="AI29" s="76" t="s">
        <v>12</v>
      </c>
      <c r="AJ29" s="76"/>
      <c r="AK29" s="78"/>
      <c r="AL29" s="75">
        <f t="shared" ref="AL29:AL34" si="26">C29</f>
        <v>0</v>
      </c>
      <c r="AM29" s="76">
        <f>AG29+(AK50)</f>
        <v>2</v>
      </c>
      <c r="AN29" s="76">
        <f t="shared" ref="AN29:AN34" si="27">MROUND((J29*1.1),5)</f>
        <v>0</v>
      </c>
      <c r="AO29" s="76" t="s">
        <v>13</v>
      </c>
      <c r="AP29" s="76"/>
      <c r="AQ29" s="78"/>
      <c r="AR29" s="75">
        <f t="shared" ref="AR29:AR34" si="28">C29</f>
        <v>0</v>
      </c>
      <c r="AS29" s="76">
        <v>2</v>
      </c>
      <c r="AT29" s="79">
        <f t="shared" ref="AT29:AT34" si="29">J29</f>
        <v>0</v>
      </c>
      <c r="AU29" s="77" t="s">
        <v>14</v>
      </c>
    </row>
    <row r="30" spans="2:47" s="43" customFormat="1" ht="15.75" thickBot="1" x14ac:dyDescent="0.3">
      <c r="B30" s="97" t="s">
        <v>339</v>
      </c>
      <c r="C30" s="101"/>
      <c r="D30" s="93" t="str">
        <f t="array" ref="D30">INDEX(Table_Name76[Name List],MATCH(B30,Table_Name76[Category],0))</f>
        <v>Vertical_Back[Exercise]</v>
      </c>
      <c r="E30" s="104" t="e">
        <f t="array" ref="E30">INDEX(Links97[Link],MATCH(C30,Links97[Exercise],0))</f>
        <v>#N/A</v>
      </c>
      <c r="F30" s="107" t="e">
        <f t="shared" si="15"/>
        <v>#N/A</v>
      </c>
      <c r="G30" s="110"/>
      <c r="H30" s="75">
        <f t="shared" si="16"/>
        <v>0</v>
      </c>
      <c r="I30" s="76">
        <v>2</v>
      </c>
      <c r="J30" s="76">
        <f t="shared" si="17"/>
        <v>0</v>
      </c>
      <c r="K30" s="76" t="s">
        <v>11</v>
      </c>
      <c r="L30" s="76"/>
      <c r="M30" s="78"/>
      <c r="N30" s="88">
        <f t="shared" si="18"/>
        <v>0</v>
      </c>
      <c r="O30" s="76">
        <f>I30+(M50)</f>
        <v>2</v>
      </c>
      <c r="P30" s="76">
        <f t="shared" si="19"/>
        <v>0</v>
      </c>
      <c r="Q30" s="76" t="s">
        <v>11</v>
      </c>
      <c r="R30" s="76"/>
      <c r="S30" s="78"/>
      <c r="T30" s="57">
        <f t="shared" si="20"/>
        <v>0</v>
      </c>
      <c r="U30" s="76">
        <f>O30+(S50)</f>
        <v>2</v>
      </c>
      <c r="V30" s="76">
        <f t="shared" si="21"/>
        <v>0</v>
      </c>
      <c r="W30" s="76" t="s">
        <v>12</v>
      </c>
      <c r="X30" s="76"/>
      <c r="Y30" s="78"/>
      <c r="Z30" s="13">
        <f t="shared" si="22"/>
        <v>0</v>
      </c>
      <c r="AA30" s="76">
        <f>U30+(Y50)</f>
        <v>2</v>
      </c>
      <c r="AB30" s="76">
        <f t="shared" si="23"/>
        <v>0</v>
      </c>
      <c r="AC30" s="76" t="s">
        <v>12</v>
      </c>
      <c r="AD30" s="76"/>
      <c r="AE30" s="78"/>
      <c r="AF30" s="13">
        <f t="shared" si="24"/>
        <v>0</v>
      </c>
      <c r="AG30" s="76">
        <f>AA30+(AE50)</f>
        <v>2</v>
      </c>
      <c r="AH30" s="76">
        <f t="shared" si="25"/>
        <v>0</v>
      </c>
      <c r="AI30" s="76" t="s">
        <v>12</v>
      </c>
      <c r="AJ30" s="76"/>
      <c r="AK30" s="78"/>
      <c r="AL30" s="75">
        <f t="shared" si="26"/>
        <v>0</v>
      </c>
      <c r="AM30" s="76">
        <f>AG30+(AK50)</f>
        <v>2</v>
      </c>
      <c r="AN30" s="76">
        <f t="shared" si="27"/>
        <v>0</v>
      </c>
      <c r="AO30" s="76" t="s">
        <v>13</v>
      </c>
      <c r="AP30" s="76"/>
      <c r="AQ30" s="78"/>
      <c r="AR30" s="75">
        <f t="shared" si="28"/>
        <v>0</v>
      </c>
      <c r="AS30" s="76">
        <v>2</v>
      </c>
      <c r="AT30" s="79">
        <f t="shared" si="29"/>
        <v>0</v>
      </c>
      <c r="AU30" s="77" t="s">
        <v>14</v>
      </c>
    </row>
    <row r="31" spans="2:47" s="43" customFormat="1" ht="15.75" thickBot="1" x14ac:dyDescent="0.3">
      <c r="B31" s="97" t="s">
        <v>338</v>
      </c>
      <c r="C31" s="101"/>
      <c r="D31" s="93" t="str">
        <f t="array" ref="D31">INDEX(Table_Name76[Name List],MATCH(B31,Table_Name76[Category],0))</f>
        <v>Horizontal_Back[Exercise]</v>
      </c>
      <c r="E31" s="104" t="e">
        <f t="array" ref="E31">INDEX(Links97[Link],MATCH(C31,Links97[Exercise],0))</f>
        <v>#N/A</v>
      </c>
      <c r="F31" s="107" t="e">
        <f t="shared" si="15"/>
        <v>#N/A</v>
      </c>
      <c r="G31" s="110"/>
      <c r="H31" s="75">
        <f t="shared" si="16"/>
        <v>0</v>
      </c>
      <c r="I31" s="76">
        <v>2</v>
      </c>
      <c r="J31" s="76">
        <f t="shared" si="17"/>
        <v>0</v>
      </c>
      <c r="K31" s="76" t="s">
        <v>11</v>
      </c>
      <c r="L31" s="76"/>
      <c r="M31" s="78"/>
      <c r="N31" s="88">
        <f t="shared" si="18"/>
        <v>0</v>
      </c>
      <c r="O31" s="76">
        <f>I31+(M50)</f>
        <v>2</v>
      </c>
      <c r="P31" s="76">
        <f t="shared" si="19"/>
        <v>0</v>
      </c>
      <c r="Q31" s="76" t="s">
        <v>11</v>
      </c>
      <c r="R31" s="76"/>
      <c r="S31" s="78"/>
      <c r="T31" s="57">
        <f t="shared" si="20"/>
        <v>0</v>
      </c>
      <c r="U31" s="76">
        <f>O31+(S50)</f>
        <v>2</v>
      </c>
      <c r="V31" s="76">
        <f t="shared" si="21"/>
        <v>0</v>
      </c>
      <c r="W31" s="76" t="s">
        <v>12</v>
      </c>
      <c r="X31" s="76"/>
      <c r="Y31" s="78"/>
      <c r="Z31" s="13">
        <f t="shared" si="22"/>
        <v>0</v>
      </c>
      <c r="AA31" s="76">
        <f>U31+(Y50)</f>
        <v>2</v>
      </c>
      <c r="AB31" s="76">
        <f t="shared" si="23"/>
        <v>0</v>
      </c>
      <c r="AC31" s="76" t="s">
        <v>12</v>
      </c>
      <c r="AD31" s="76"/>
      <c r="AE31" s="78"/>
      <c r="AF31" s="13">
        <f t="shared" si="24"/>
        <v>0</v>
      </c>
      <c r="AG31" s="76">
        <f>AA31+(AE50)</f>
        <v>2</v>
      </c>
      <c r="AH31" s="76">
        <f t="shared" si="25"/>
        <v>0</v>
      </c>
      <c r="AI31" s="76" t="s">
        <v>12</v>
      </c>
      <c r="AJ31" s="76"/>
      <c r="AK31" s="78"/>
      <c r="AL31" s="75">
        <f t="shared" si="26"/>
        <v>0</v>
      </c>
      <c r="AM31" s="76">
        <f>AG31+(AK50)</f>
        <v>2</v>
      </c>
      <c r="AN31" s="76">
        <f t="shared" si="27"/>
        <v>0</v>
      </c>
      <c r="AO31" s="76" t="s">
        <v>13</v>
      </c>
      <c r="AP31" s="76"/>
      <c r="AQ31" s="78"/>
      <c r="AR31" s="75">
        <f t="shared" si="28"/>
        <v>0</v>
      </c>
      <c r="AS31" s="76">
        <v>2</v>
      </c>
      <c r="AT31" s="79">
        <f t="shared" si="29"/>
        <v>0</v>
      </c>
      <c r="AU31" s="77" t="s">
        <v>14</v>
      </c>
    </row>
    <row r="32" spans="2:47" s="43" customFormat="1" ht="15.75" thickBot="1" x14ac:dyDescent="0.3">
      <c r="B32" s="97" t="s">
        <v>344</v>
      </c>
      <c r="C32" s="101"/>
      <c r="D32" s="93" t="str">
        <f t="array" ref="D32">INDEX(Table_Name76[Name List],MATCH(B32,Table_Name76[Category],0))</f>
        <v>Horizontal_Push[Exercise]</v>
      </c>
      <c r="E32" s="104" t="e">
        <f t="array" ref="E32">INDEX(Links97[Link],MATCH(C32,Links97[Exercise],0))</f>
        <v>#N/A</v>
      </c>
      <c r="F32" s="107" t="e">
        <f t="shared" si="15"/>
        <v>#N/A</v>
      </c>
      <c r="G32" s="110"/>
      <c r="H32" s="75">
        <f t="shared" si="16"/>
        <v>0</v>
      </c>
      <c r="I32" s="76">
        <v>2</v>
      </c>
      <c r="J32" s="76">
        <f t="shared" si="17"/>
        <v>0</v>
      </c>
      <c r="K32" s="76" t="s">
        <v>11</v>
      </c>
      <c r="L32" s="76"/>
      <c r="M32" s="78"/>
      <c r="N32" s="88">
        <f t="shared" si="18"/>
        <v>0</v>
      </c>
      <c r="O32" s="76">
        <f>I32+(M51)</f>
        <v>2</v>
      </c>
      <c r="P32" s="76">
        <f t="shared" si="19"/>
        <v>0</v>
      </c>
      <c r="Q32" s="76" t="s">
        <v>11</v>
      </c>
      <c r="R32" s="76"/>
      <c r="S32" s="78"/>
      <c r="T32" s="57">
        <f t="shared" si="20"/>
        <v>0</v>
      </c>
      <c r="U32" s="76">
        <f>O32+(S51)</f>
        <v>2</v>
      </c>
      <c r="V32" s="76">
        <f t="shared" si="21"/>
        <v>0</v>
      </c>
      <c r="W32" s="76" t="s">
        <v>12</v>
      </c>
      <c r="X32" s="76"/>
      <c r="Y32" s="78"/>
      <c r="Z32" s="13">
        <f t="shared" si="22"/>
        <v>0</v>
      </c>
      <c r="AA32" s="76">
        <f>U32+(Y51)</f>
        <v>2</v>
      </c>
      <c r="AB32" s="76">
        <f t="shared" si="23"/>
        <v>0</v>
      </c>
      <c r="AC32" s="76" t="s">
        <v>12</v>
      </c>
      <c r="AD32" s="76"/>
      <c r="AE32" s="78"/>
      <c r="AF32" s="13">
        <f t="shared" si="24"/>
        <v>0</v>
      </c>
      <c r="AG32" s="76">
        <f>AA32+(AE51)</f>
        <v>2</v>
      </c>
      <c r="AH32" s="76">
        <f t="shared" si="25"/>
        <v>0</v>
      </c>
      <c r="AI32" s="76" t="s">
        <v>12</v>
      </c>
      <c r="AJ32" s="76"/>
      <c r="AK32" s="78"/>
      <c r="AL32" s="75">
        <f t="shared" si="26"/>
        <v>0</v>
      </c>
      <c r="AM32" s="76">
        <f>AG32+(AK51)</f>
        <v>2</v>
      </c>
      <c r="AN32" s="76">
        <f t="shared" si="27"/>
        <v>0</v>
      </c>
      <c r="AO32" s="76" t="s">
        <v>13</v>
      </c>
      <c r="AP32" s="76"/>
      <c r="AQ32" s="78"/>
      <c r="AR32" s="75">
        <f t="shared" si="28"/>
        <v>0</v>
      </c>
      <c r="AS32" s="76">
        <v>2</v>
      </c>
      <c r="AT32" s="79">
        <f t="shared" si="29"/>
        <v>0</v>
      </c>
      <c r="AU32" s="77" t="s">
        <v>14</v>
      </c>
    </row>
    <row r="33" spans="2:47" s="43" customFormat="1" ht="15.75" thickBot="1" x14ac:dyDescent="0.3">
      <c r="B33" s="97" t="s">
        <v>340</v>
      </c>
      <c r="C33" s="101"/>
      <c r="D33" s="93" t="str">
        <f t="array" ref="D33">INDEX(Table_Name76[Name List],MATCH(B33,Table_Name76[Category],0))</f>
        <v>Rear_or_Side_Delts[Exercise]</v>
      </c>
      <c r="E33" s="104" t="e">
        <f t="array" ref="E33">INDEX(Links97[Link],MATCH(C33,Links97[Exercise],0))</f>
        <v>#N/A</v>
      </c>
      <c r="F33" s="107" t="e">
        <f t="shared" si="15"/>
        <v>#N/A</v>
      </c>
      <c r="G33" s="110"/>
      <c r="H33" s="75">
        <f t="shared" si="16"/>
        <v>0</v>
      </c>
      <c r="I33" s="76">
        <v>3</v>
      </c>
      <c r="J33" s="76">
        <f t="shared" si="17"/>
        <v>0</v>
      </c>
      <c r="K33" s="76" t="s">
        <v>11</v>
      </c>
      <c r="L33" s="76"/>
      <c r="M33" s="78"/>
      <c r="N33" s="88">
        <f t="shared" si="18"/>
        <v>0</v>
      </c>
      <c r="O33" s="76">
        <f>I33+(S17)</f>
        <v>3</v>
      </c>
      <c r="P33" s="76">
        <f t="shared" si="19"/>
        <v>0</v>
      </c>
      <c r="Q33" s="76" t="s">
        <v>11</v>
      </c>
      <c r="R33" s="76"/>
      <c r="S33" s="78"/>
      <c r="T33" s="57">
        <f t="shared" si="20"/>
        <v>0</v>
      </c>
      <c r="U33" s="76">
        <f>O33+(Y17)</f>
        <v>3</v>
      </c>
      <c r="V33" s="76">
        <f t="shared" si="21"/>
        <v>0</v>
      </c>
      <c r="W33" s="76" t="s">
        <v>12</v>
      </c>
      <c r="X33" s="76"/>
      <c r="Y33" s="78"/>
      <c r="Z33" s="13">
        <f t="shared" si="22"/>
        <v>0</v>
      </c>
      <c r="AA33" s="76">
        <f>U33+(AE17)</f>
        <v>3</v>
      </c>
      <c r="AB33" s="76">
        <f t="shared" si="23"/>
        <v>0</v>
      </c>
      <c r="AC33" s="76" t="s">
        <v>12</v>
      </c>
      <c r="AD33" s="76"/>
      <c r="AE33" s="78"/>
      <c r="AF33" s="13">
        <f t="shared" si="24"/>
        <v>0</v>
      </c>
      <c r="AG33" s="76">
        <f>AA33+(AK17)</f>
        <v>3</v>
      </c>
      <c r="AH33" s="76">
        <f t="shared" si="25"/>
        <v>0</v>
      </c>
      <c r="AI33" s="76" t="s">
        <v>12</v>
      </c>
      <c r="AJ33" s="76"/>
      <c r="AK33" s="78"/>
      <c r="AL33" s="75">
        <f t="shared" si="26"/>
        <v>0</v>
      </c>
      <c r="AM33" s="76">
        <f>AG33+(AQ17)</f>
        <v>3</v>
      </c>
      <c r="AN33" s="76">
        <f t="shared" si="27"/>
        <v>0</v>
      </c>
      <c r="AO33" s="76" t="s">
        <v>13</v>
      </c>
      <c r="AP33" s="76"/>
      <c r="AQ33" s="78"/>
      <c r="AR33" s="75">
        <f t="shared" si="28"/>
        <v>0</v>
      </c>
      <c r="AS33" s="76">
        <v>2</v>
      </c>
      <c r="AT33" s="79">
        <f t="shared" si="29"/>
        <v>0</v>
      </c>
      <c r="AU33" s="77" t="s">
        <v>14</v>
      </c>
    </row>
    <row r="34" spans="2:47" s="43" customFormat="1" ht="15.75" thickBot="1" x14ac:dyDescent="0.3">
      <c r="B34" s="98" t="s">
        <v>77</v>
      </c>
      <c r="C34" s="102"/>
      <c r="D34" s="94" t="str">
        <f t="array" ref="D34">INDEX(Table_Name76[Name List],MATCH(B34,Table_Name76[Category],0))</f>
        <v>Abs[Exercise]</v>
      </c>
      <c r="E34" s="105" t="e">
        <f t="array" ref="E34">INDEX(Links97[Link],MATCH(C34,Links97[Exercise],0))</f>
        <v>#N/A</v>
      </c>
      <c r="F34" s="108" t="e">
        <f t="shared" si="15"/>
        <v>#N/A</v>
      </c>
      <c r="G34" s="111"/>
      <c r="H34" s="81">
        <f t="shared" si="16"/>
        <v>0</v>
      </c>
      <c r="I34" s="82">
        <v>2</v>
      </c>
      <c r="J34" s="82">
        <f t="shared" si="17"/>
        <v>0</v>
      </c>
      <c r="K34" s="82" t="s">
        <v>11</v>
      </c>
      <c r="L34" s="82"/>
      <c r="M34" s="78"/>
      <c r="N34" s="81">
        <f t="shared" si="18"/>
        <v>0</v>
      </c>
      <c r="O34" s="82">
        <f>I34+(M52)</f>
        <v>2</v>
      </c>
      <c r="P34" s="76">
        <f t="shared" si="19"/>
        <v>0</v>
      </c>
      <c r="Q34" s="82" t="s">
        <v>11</v>
      </c>
      <c r="R34" s="82"/>
      <c r="S34" s="78"/>
      <c r="T34" s="83">
        <f t="shared" si="20"/>
        <v>0</v>
      </c>
      <c r="U34" s="82">
        <f>O34+(S52)</f>
        <v>2</v>
      </c>
      <c r="V34" s="76">
        <f t="shared" si="21"/>
        <v>0</v>
      </c>
      <c r="W34" s="82" t="s">
        <v>12</v>
      </c>
      <c r="X34" s="82"/>
      <c r="Y34" s="78"/>
      <c r="Z34" s="13">
        <f t="shared" si="22"/>
        <v>0</v>
      </c>
      <c r="AA34" s="82">
        <f>U34+(Y52)</f>
        <v>2</v>
      </c>
      <c r="AB34" s="76">
        <f t="shared" si="23"/>
        <v>0</v>
      </c>
      <c r="AC34" s="82" t="s">
        <v>12</v>
      </c>
      <c r="AD34" s="82"/>
      <c r="AE34" s="78"/>
      <c r="AF34" s="13">
        <f t="shared" si="24"/>
        <v>0</v>
      </c>
      <c r="AG34" s="82">
        <f>AA34+(AE52)</f>
        <v>2</v>
      </c>
      <c r="AH34" s="76">
        <f t="shared" si="25"/>
        <v>0</v>
      </c>
      <c r="AI34" s="82" t="s">
        <v>12</v>
      </c>
      <c r="AJ34" s="82"/>
      <c r="AK34" s="78"/>
      <c r="AL34" s="81">
        <f t="shared" si="26"/>
        <v>0</v>
      </c>
      <c r="AM34" s="82">
        <f>AG34+(AK52)</f>
        <v>2</v>
      </c>
      <c r="AN34" s="82">
        <f t="shared" si="27"/>
        <v>0</v>
      </c>
      <c r="AO34" s="82" t="s">
        <v>13</v>
      </c>
      <c r="AP34" s="82"/>
      <c r="AQ34" s="78"/>
      <c r="AR34" s="81">
        <f t="shared" si="28"/>
        <v>0</v>
      </c>
      <c r="AS34" s="82">
        <v>2</v>
      </c>
      <c r="AT34" s="84">
        <f t="shared" si="29"/>
        <v>0</v>
      </c>
      <c r="AU34" s="64" t="s">
        <v>14</v>
      </c>
    </row>
    <row r="35" spans="2:47" s="43" customFormat="1" ht="19.5" thickBot="1" x14ac:dyDescent="0.3">
      <c r="B35" s="86" t="s">
        <v>348</v>
      </c>
      <c r="C35" s="57"/>
      <c r="D35" s="57"/>
      <c r="E35" s="85"/>
      <c r="F35" s="56"/>
      <c r="G35" s="62"/>
      <c r="H35" s="181" t="s">
        <v>1</v>
      </c>
      <c r="I35" s="182"/>
      <c r="J35" s="182"/>
      <c r="K35" s="182"/>
      <c r="L35" s="182"/>
      <c r="M35" s="183"/>
      <c r="N35" s="184" t="s">
        <v>2</v>
      </c>
      <c r="O35" s="185"/>
      <c r="P35" s="185"/>
      <c r="Q35" s="185"/>
      <c r="R35" s="185"/>
      <c r="S35" s="186"/>
      <c r="T35" s="172" t="s">
        <v>3</v>
      </c>
      <c r="U35" s="173"/>
      <c r="V35" s="173"/>
      <c r="W35" s="173"/>
      <c r="X35" s="173"/>
      <c r="Y35" s="174"/>
      <c r="Z35" s="172" t="s">
        <v>4</v>
      </c>
      <c r="AA35" s="173"/>
      <c r="AB35" s="173"/>
      <c r="AC35" s="173"/>
      <c r="AD35" s="173"/>
      <c r="AE35" s="174"/>
      <c r="AF35" s="172" t="s">
        <v>358</v>
      </c>
      <c r="AG35" s="173"/>
      <c r="AH35" s="173"/>
      <c r="AI35" s="173"/>
      <c r="AJ35" s="173"/>
      <c r="AK35" s="174"/>
      <c r="AL35" s="175" t="s">
        <v>359</v>
      </c>
      <c r="AM35" s="176"/>
      <c r="AN35" s="176"/>
      <c r="AO35" s="176"/>
      <c r="AP35" s="176"/>
      <c r="AQ35" s="177"/>
      <c r="AR35" s="178" t="s">
        <v>360</v>
      </c>
      <c r="AS35" s="179"/>
      <c r="AT35" s="179"/>
      <c r="AU35" s="180"/>
    </row>
    <row r="36" spans="2:47" s="43" customFormat="1" ht="15.75" thickBot="1" x14ac:dyDescent="0.3">
      <c r="B36" s="37"/>
      <c r="C36" s="57"/>
      <c r="D36" s="57"/>
      <c r="E36" s="85"/>
      <c r="F36" s="56"/>
      <c r="G36" s="57"/>
      <c r="H36" s="65" t="s">
        <v>88</v>
      </c>
      <c r="I36" s="66" t="s">
        <v>6</v>
      </c>
      <c r="J36" s="67" t="s">
        <v>7</v>
      </c>
      <c r="K36" s="68" t="s">
        <v>8</v>
      </c>
      <c r="L36" s="68" t="s">
        <v>9</v>
      </c>
      <c r="M36" s="69" t="s">
        <v>10</v>
      </c>
      <c r="N36" s="70" t="s">
        <v>88</v>
      </c>
      <c r="O36" s="70" t="s">
        <v>6</v>
      </c>
      <c r="P36" s="67" t="s">
        <v>7</v>
      </c>
      <c r="Q36" s="68" t="s">
        <v>8</v>
      </c>
      <c r="R36" s="68" t="s">
        <v>9</v>
      </c>
      <c r="S36" s="69" t="s">
        <v>10</v>
      </c>
      <c r="T36" s="70" t="s">
        <v>88</v>
      </c>
      <c r="U36" s="70" t="s">
        <v>6</v>
      </c>
      <c r="V36" s="67" t="s">
        <v>7</v>
      </c>
      <c r="W36" s="68" t="s">
        <v>8</v>
      </c>
      <c r="X36" s="68" t="s">
        <v>9</v>
      </c>
      <c r="Y36" s="69" t="s">
        <v>10</v>
      </c>
      <c r="Z36" s="70" t="s">
        <v>88</v>
      </c>
      <c r="AA36" s="70" t="s">
        <v>6</v>
      </c>
      <c r="AB36" s="67" t="s">
        <v>7</v>
      </c>
      <c r="AC36" s="68" t="s">
        <v>8</v>
      </c>
      <c r="AD36" s="68" t="s">
        <v>9</v>
      </c>
      <c r="AE36" s="69" t="s">
        <v>10</v>
      </c>
      <c r="AF36" s="70" t="s">
        <v>88</v>
      </c>
      <c r="AG36" s="70" t="s">
        <v>6</v>
      </c>
      <c r="AH36" s="67" t="s">
        <v>7</v>
      </c>
      <c r="AI36" s="68" t="s">
        <v>8</v>
      </c>
      <c r="AJ36" s="68" t="s">
        <v>9</v>
      </c>
      <c r="AK36" s="69" t="s">
        <v>10</v>
      </c>
      <c r="AL36" s="70" t="s">
        <v>88</v>
      </c>
      <c r="AM36" s="70" t="s">
        <v>6</v>
      </c>
      <c r="AN36" s="67" t="s">
        <v>7</v>
      </c>
      <c r="AO36" s="87" t="s">
        <v>15</v>
      </c>
      <c r="AP36" s="68" t="s">
        <v>9</v>
      </c>
      <c r="AQ36" s="69" t="s">
        <v>10</v>
      </c>
      <c r="AR36" s="70" t="s">
        <v>88</v>
      </c>
      <c r="AS36" s="70" t="s">
        <v>6</v>
      </c>
      <c r="AT36" s="67" t="s">
        <v>7</v>
      </c>
      <c r="AU36" s="71" t="s">
        <v>8</v>
      </c>
    </row>
    <row r="37" spans="2:47" s="43" customFormat="1" ht="15.75" thickBot="1" x14ac:dyDescent="0.3">
      <c r="B37" s="95" t="s">
        <v>349</v>
      </c>
      <c r="C37" s="99" t="s">
        <v>336</v>
      </c>
      <c r="D37" s="91"/>
      <c r="E37" s="91"/>
      <c r="F37" s="99" t="s">
        <v>356</v>
      </c>
      <c r="G37" s="99" t="s">
        <v>357</v>
      </c>
      <c r="H37" s="65" t="s">
        <v>336</v>
      </c>
      <c r="I37" s="72"/>
      <c r="J37" s="72"/>
      <c r="K37" s="72"/>
      <c r="L37" s="72"/>
      <c r="M37" s="73"/>
      <c r="N37" s="65" t="s">
        <v>336</v>
      </c>
      <c r="O37" s="72"/>
      <c r="P37" s="72"/>
      <c r="Q37" s="72"/>
      <c r="R37" s="72"/>
      <c r="S37" s="73"/>
      <c r="T37" s="65" t="s">
        <v>336</v>
      </c>
      <c r="U37" s="72"/>
      <c r="V37" s="72"/>
      <c r="W37" s="72"/>
      <c r="X37" s="72"/>
      <c r="Y37" s="72"/>
      <c r="Z37" s="65" t="s">
        <v>336</v>
      </c>
      <c r="AA37" s="72"/>
      <c r="AB37" s="72"/>
      <c r="AC37" s="72"/>
      <c r="AD37" s="72"/>
      <c r="AE37" s="72"/>
      <c r="AF37" s="65" t="s">
        <v>336</v>
      </c>
      <c r="AG37" s="72"/>
      <c r="AH37" s="72"/>
      <c r="AI37" s="72"/>
      <c r="AJ37" s="72"/>
      <c r="AK37" s="72"/>
      <c r="AL37" s="65" t="s">
        <v>336</v>
      </c>
      <c r="AM37" s="72"/>
      <c r="AN37" s="72"/>
      <c r="AO37" s="72"/>
      <c r="AP37" s="72"/>
      <c r="AQ37" s="72"/>
      <c r="AR37" s="65" t="s">
        <v>336</v>
      </c>
      <c r="AS37" s="72"/>
      <c r="AT37" s="72"/>
      <c r="AU37" s="73"/>
    </row>
    <row r="38" spans="2:47" s="43" customFormat="1" ht="15.75" thickBot="1" x14ac:dyDescent="0.3">
      <c r="B38" s="96" t="s">
        <v>108</v>
      </c>
      <c r="C38" s="100"/>
      <c r="D38" s="92" t="str">
        <f t="array" ref="D38">INDEX(Table_Name76[Name List],MATCH(B38,Table_Name76[Category],0))</f>
        <v>Glutes[Exercise]</v>
      </c>
      <c r="E38" s="103" t="e">
        <f t="array" ref="E38">INDEX(Links97[Link],MATCH(C38,Links97[Exercise],0))</f>
        <v>#N/A</v>
      </c>
      <c r="F38" s="106" t="e">
        <f>HYPERLINK(E38,"Video")</f>
        <v>#N/A</v>
      </c>
      <c r="G38" s="109"/>
      <c r="H38" s="75">
        <f>C38</f>
        <v>0</v>
      </c>
      <c r="I38" s="76">
        <v>3</v>
      </c>
      <c r="J38" s="76">
        <f>MROUND(((G38)*0.85),5)</f>
        <v>0</v>
      </c>
      <c r="K38" s="76" t="s">
        <v>11</v>
      </c>
      <c r="L38" s="76"/>
      <c r="M38" s="78"/>
      <c r="N38" s="88">
        <f>C38</f>
        <v>0</v>
      </c>
      <c r="O38" s="76">
        <f>I38+(S22)</f>
        <v>3</v>
      </c>
      <c r="P38" s="76">
        <f>MROUND((J38*1.02),5)</f>
        <v>0</v>
      </c>
      <c r="Q38" s="76" t="s">
        <v>11</v>
      </c>
      <c r="R38" s="76"/>
      <c r="S38" s="78"/>
      <c r="T38" s="57">
        <f>C38</f>
        <v>0</v>
      </c>
      <c r="U38" s="76">
        <f>O38+(Y22)</f>
        <v>3</v>
      </c>
      <c r="V38" s="76">
        <f>MROUND((J38*1.04),5)</f>
        <v>0</v>
      </c>
      <c r="W38" s="76" t="s">
        <v>12</v>
      </c>
      <c r="X38" s="76"/>
      <c r="Y38" s="78"/>
      <c r="Z38" s="13">
        <f>C38</f>
        <v>0</v>
      </c>
      <c r="AA38" s="76">
        <f>U38+(AE22)</f>
        <v>3</v>
      </c>
      <c r="AB38" s="76">
        <f>MROUND((P38*1.04),5)</f>
        <v>0</v>
      </c>
      <c r="AC38" s="76" t="s">
        <v>12</v>
      </c>
      <c r="AD38" s="76"/>
      <c r="AE38" s="78"/>
      <c r="AF38" s="13">
        <f>C38</f>
        <v>0</v>
      </c>
      <c r="AG38" s="76">
        <f>AA38+(AK22)</f>
        <v>3</v>
      </c>
      <c r="AH38" s="76">
        <f>MROUND((V38*1.04),5)</f>
        <v>0</v>
      </c>
      <c r="AI38" s="76" t="s">
        <v>12</v>
      </c>
      <c r="AJ38" s="76"/>
      <c r="AK38" s="78"/>
      <c r="AL38" s="75">
        <f>C38</f>
        <v>0</v>
      </c>
      <c r="AM38" s="76">
        <f>AG38+(AQ22)</f>
        <v>3</v>
      </c>
      <c r="AN38" s="76">
        <f>MROUND((J38*1.1),5)</f>
        <v>0</v>
      </c>
      <c r="AO38" s="76" t="s">
        <v>13</v>
      </c>
      <c r="AP38" s="76"/>
      <c r="AQ38" s="78"/>
      <c r="AR38" s="75">
        <f>C38</f>
        <v>0</v>
      </c>
      <c r="AS38" s="76">
        <v>2</v>
      </c>
      <c r="AT38" s="79">
        <f>MROUND((J38*0.5),5)</f>
        <v>0</v>
      </c>
      <c r="AU38" s="77" t="s">
        <v>14</v>
      </c>
    </row>
    <row r="39" spans="2:47" s="43" customFormat="1" ht="15.75" thickBot="1" x14ac:dyDescent="0.3">
      <c r="B39" s="97" t="s">
        <v>108</v>
      </c>
      <c r="C39" s="101"/>
      <c r="D39" s="93" t="str">
        <f t="array" ref="D39">INDEX(Table_Name76[Name List],MATCH(B39,Table_Name76[Category],0))</f>
        <v>Glutes[Exercise]</v>
      </c>
      <c r="E39" s="104" t="e">
        <f t="array" ref="E39">INDEX(Links97[Link],MATCH(C39,Links97[Exercise],0))</f>
        <v>#N/A</v>
      </c>
      <c r="F39" s="107" t="e">
        <f>HYPERLINK(E39,"Video")</f>
        <v>#N/A</v>
      </c>
      <c r="G39" s="110"/>
      <c r="H39" s="75">
        <f>C39</f>
        <v>0</v>
      </c>
      <c r="I39" s="76">
        <v>3</v>
      </c>
      <c r="J39" s="76">
        <f>MROUND(((G39)*0.85),5)</f>
        <v>0</v>
      </c>
      <c r="K39" s="76" t="s">
        <v>11</v>
      </c>
      <c r="L39" s="76"/>
      <c r="M39" s="78"/>
      <c r="N39" s="88">
        <f>C39</f>
        <v>0</v>
      </c>
      <c r="O39" s="76">
        <f>I39+(S22)</f>
        <v>3</v>
      </c>
      <c r="P39" s="76">
        <f>MROUND((J39*1.02),5)</f>
        <v>0</v>
      </c>
      <c r="Q39" s="76" t="s">
        <v>11</v>
      </c>
      <c r="R39" s="76"/>
      <c r="S39" s="78"/>
      <c r="T39" s="57">
        <f>C39</f>
        <v>0</v>
      </c>
      <c r="U39" s="76">
        <f>O39+(Y22)</f>
        <v>3</v>
      </c>
      <c r="V39" s="76">
        <f>MROUND((J39*1.04),5)</f>
        <v>0</v>
      </c>
      <c r="W39" s="76" t="s">
        <v>12</v>
      </c>
      <c r="X39" s="76"/>
      <c r="Y39" s="78"/>
      <c r="Z39" s="13">
        <f>C39</f>
        <v>0</v>
      </c>
      <c r="AA39" s="76">
        <f>U39+(AE22)</f>
        <v>3</v>
      </c>
      <c r="AB39" s="76">
        <f>MROUND((P39*1.04),5)</f>
        <v>0</v>
      </c>
      <c r="AC39" s="76" t="s">
        <v>12</v>
      </c>
      <c r="AD39" s="76"/>
      <c r="AE39" s="78"/>
      <c r="AF39" s="13">
        <f>C39</f>
        <v>0</v>
      </c>
      <c r="AG39" s="76">
        <f>AA39+(AK22)</f>
        <v>3</v>
      </c>
      <c r="AH39" s="76">
        <f>MROUND((V39*1.04),5)</f>
        <v>0</v>
      </c>
      <c r="AI39" s="76" t="s">
        <v>12</v>
      </c>
      <c r="AJ39" s="76"/>
      <c r="AK39" s="78"/>
      <c r="AL39" s="75">
        <f>C39</f>
        <v>0</v>
      </c>
      <c r="AM39" s="76">
        <f>AG39+(AQ22)</f>
        <v>3</v>
      </c>
      <c r="AN39" s="76">
        <f>MROUND((J39*1.1),5)</f>
        <v>0</v>
      </c>
      <c r="AO39" s="76" t="s">
        <v>13</v>
      </c>
      <c r="AP39" s="76"/>
      <c r="AQ39" s="78"/>
      <c r="AR39" s="75">
        <f>C39</f>
        <v>0</v>
      </c>
      <c r="AS39" s="76">
        <v>2</v>
      </c>
      <c r="AT39" s="79">
        <f>MROUND((J39*0.5),5)</f>
        <v>0</v>
      </c>
      <c r="AU39" s="77" t="s">
        <v>14</v>
      </c>
    </row>
    <row r="40" spans="2:47" s="43" customFormat="1" ht="15.75" thickBot="1" x14ac:dyDescent="0.3">
      <c r="B40" s="97" t="s">
        <v>107</v>
      </c>
      <c r="C40" s="101"/>
      <c r="D40" s="93" t="str">
        <f t="array" ref="D40">INDEX(Table_Name76[Name List],MATCH(B40,Table_Name76[Category],0))</f>
        <v>Hamstrings_Hip_Hinge[Exercise]</v>
      </c>
      <c r="E40" s="104" t="e">
        <f t="array" ref="E40">INDEX(Links97[Link],MATCH(C40,Links97[Exercise],0))</f>
        <v>#N/A</v>
      </c>
      <c r="F40" s="107" t="e">
        <f>HYPERLINK(E40,"Video")</f>
        <v>#N/A</v>
      </c>
      <c r="G40" s="110"/>
      <c r="H40" s="75">
        <f>C40</f>
        <v>0</v>
      </c>
      <c r="I40" s="76">
        <v>3</v>
      </c>
      <c r="J40" s="76">
        <f>MROUND(((G40)*0.85),5)</f>
        <v>0</v>
      </c>
      <c r="K40" s="76" t="s">
        <v>11</v>
      </c>
      <c r="L40" s="76"/>
      <c r="M40" s="78"/>
      <c r="N40" s="88">
        <f>C40</f>
        <v>0</v>
      </c>
      <c r="O40" s="76">
        <f>I40+(S24)</f>
        <v>3</v>
      </c>
      <c r="P40" s="76">
        <f>MROUND((J40*1.02),5)</f>
        <v>0</v>
      </c>
      <c r="Q40" s="76" t="s">
        <v>11</v>
      </c>
      <c r="R40" s="76"/>
      <c r="S40" s="78"/>
      <c r="T40" s="57">
        <f>C40</f>
        <v>0</v>
      </c>
      <c r="U40" s="76">
        <f>O40+(Y24)</f>
        <v>3</v>
      </c>
      <c r="V40" s="76">
        <f>MROUND((J40*1.04),5)</f>
        <v>0</v>
      </c>
      <c r="W40" s="76" t="s">
        <v>12</v>
      </c>
      <c r="X40" s="76"/>
      <c r="Y40" s="78"/>
      <c r="Z40" s="13">
        <f>C40</f>
        <v>0</v>
      </c>
      <c r="AA40" s="76">
        <f>U40+(AE24)</f>
        <v>3</v>
      </c>
      <c r="AB40" s="76">
        <f>MROUND((P40*1.04),5)</f>
        <v>0</v>
      </c>
      <c r="AC40" s="76" t="s">
        <v>12</v>
      </c>
      <c r="AD40" s="76"/>
      <c r="AE40" s="78"/>
      <c r="AF40" s="13">
        <f>C40</f>
        <v>0</v>
      </c>
      <c r="AG40" s="76">
        <f>AA40+(AK24)</f>
        <v>3</v>
      </c>
      <c r="AH40" s="76">
        <f>MROUND((V40*1.04),5)</f>
        <v>0</v>
      </c>
      <c r="AI40" s="76" t="s">
        <v>12</v>
      </c>
      <c r="AJ40" s="76"/>
      <c r="AK40" s="78"/>
      <c r="AL40" s="75">
        <f>C40</f>
        <v>0</v>
      </c>
      <c r="AM40" s="76">
        <f>AG40+(AQ24)</f>
        <v>3</v>
      </c>
      <c r="AN40" s="76">
        <f>MROUND((J40*1.1),5)</f>
        <v>0</v>
      </c>
      <c r="AO40" s="76" t="s">
        <v>13</v>
      </c>
      <c r="AP40" s="76"/>
      <c r="AQ40" s="78"/>
      <c r="AR40" s="75">
        <f>C40</f>
        <v>0</v>
      </c>
      <c r="AS40" s="76">
        <v>2</v>
      </c>
      <c r="AT40" s="79">
        <f>MROUND((J40*0.5),5)</f>
        <v>0</v>
      </c>
      <c r="AU40" s="77" t="s">
        <v>14</v>
      </c>
    </row>
    <row r="41" spans="2:47" s="43" customFormat="1" ht="15.75" thickBot="1" x14ac:dyDescent="0.3">
      <c r="B41" s="97" t="s">
        <v>20</v>
      </c>
      <c r="C41" s="101"/>
      <c r="D41" s="93" t="str">
        <f t="array" ref="D41">INDEX(Table_Name76[Name List],MATCH(B41,Table_Name76[Category],0))</f>
        <v>Quads[Exercise]</v>
      </c>
      <c r="E41" s="104" t="e">
        <f t="array" ref="E41">INDEX(Links97[Link],MATCH(C41,Links97[Exercise],0))</f>
        <v>#N/A</v>
      </c>
      <c r="F41" s="107" t="e">
        <f>HYPERLINK(E41,"Video")</f>
        <v>#N/A</v>
      </c>
      <c r="G41" s="110"/>
      <c r="H41" s="75">
        <f>C41</f>
        <v>0</v>
      </c>
      <c r="I41" s="76">
        <v>3</v>
      </c>
      <c r="J41" s="76">
        <f>MROUND(((G41)*0.85),5)</f>
        <v>0</v>
      </c>
      <c r="K41" s="76" t="s">
        <v>11</v>
      </c>
      <c r="L41" s="76"/>
      <c r="M41" s="78"/>
      <c r="N41" s="88">
        <f>C41</f>
        <v>0</v>
      </c>
      <c r="O41" s="76">
        <f>I41+(S22)</f>
        <v>3</v>
      </c>
      <c r="P41" s="76">
        <f>MROUND((J41*1.02),5)</f>
        <v>0</v>
      </c>
      <c r="Q41" s="76" t="s">
        <v>11</v>
      </c>
      <c r="R41" s="76"/>
      <c r="S41" s="78"/>
      <c r="T41" s="57">
        <f>C41</f>
        <v>0</v>
      </c>
      <c r="U41" s="76">
        <f>O41+(Y22)</f>
        <v>3</v>
      </c>
      <c r="V41" s="76">
        <f>MROUND((J41*1.04),5)</f>
        <v>0</v>
      </c>
      <c r="W41" s="76" t="s">
        <v>12</v>
      </c>
      <c r="X41" s="76"/>
      <c r="Y41" s="78"/>
      <c r="Z41" s="13">
        <f>C41</f>
        <v>0</v>
      </c>
      <c r="AA41" s="76">
        <f>U41+(AE22)</f>
        <v>3</v>
      </c>
      <c r="AB41" s="76">
        <f>MROUND((P41*1.04),5)</f>
        <v>0</v>
      </c>
      <c r="AC41" s="76" t="s">
        <v>12</v>
      </c>
      <c r="AD41" s="76"/>
      <c r="AE41" s="78"/>
      <c r="AF41" s="13">
        <f>C41</f>
        <v>0</v>
      </c>
      <c r="AG41" s="76">
        <f>AA41+(AK22)</f>
        <v>3</v>
      </c>
      <c r="AH41" s="76">
        <f>MROUND((V41*1.04),5)</f>
        <v>0</v>
      </c>
      <c r="AI41" s="76" t="s">
        <v>12</v>
      </c>
      <c r="AJ41" s="76"/>
      <c r="AK41" s="78"/>
      <c r="AL41" s="75">
        <f>C41</f>
        <v>0</v>
      </c>
      <c r="AM41" s="76">
        <f>AG41+(AQ22)</f>
        <v>3</v>
      </c>
      <c r="AN41" s="76">
        <f>MROUND((J41*1.1),5)</f>
        <v>0</v>
      </c>
      <c r="AO41" s="76" t="s">
        <v>13</v>
      </c>
      <c r="AP41" s="76"/>
      <c r="AQ41" s="78"/>
      <c r="AR41" s="75">
        <f>C41</f>
        <v>0</v>
      </c>
      <c r="AS41" s="76">
        <v>2</v>
      </c>
      <c r="AT41" s="79">
        <f>MROUND((J41*0.5),5)</f>
        <v>0</v>
      </c>
      <c r="AU41" s="77" t="s">
        <v>14</v>
      </c>
    </row>
    <row r="42" spans="2:47" s="43" customFormat="1" ht="15.75" thickBot="1" x14ac:dyDescent="0.3">
      <c r="B42" s="98" t="s">
        <v>19</v>
      </c>
      <c r="C42" s="102"/>
      <c r="D42" s="94" t="str">
        <f t="array" ref="D42">INDEX(Table_Name76[Name List],MATCH(B42,Table_Name76[Category],0))</f>
        <v>Calves[Exercise]</v>
      </c>
      <c r="E42" s="105" t="e">
        <f t="array" ref="E42">INDEX(Links97[Link],MATCH(C42,Links97[Exercise],0))</f>
        <v>#N/A</v>
      </c>
      <c r="F42" s="108" t="e">
        <f>HYPERLINK(E42,"Video")</f>
        <v>#N/A</v>
      </c>
      <c r="G42" s="111"/>
      <c r="H42" s="81">
        <f>C42</f>
        <v>0</v>
      </c>
      <c r="I42" s="82">
        <v>4</v>
      </c>
      <c r="J42" s="82">
        <f>MROUND(((G42)*0.85),5)</f>
        <v>0</v>
      </c>
      <c r="K42" s="82" t="s">
        <v>11</v>
      </c>
      <c r="L42" s="82"/>
      <c r="M42" s="78"/>
      <c r="N42" s="81">
        <f>C42</f>
        <v>0</v>
      </c>
      <c r="O42" s="82">
        <f>I42+(S25)</f>
        <v>4</v>
      </c>
      <c r="P42" s="76">
        <f>MROUND((J42*1.02),5)</f>
        <v>0</v>
      </c>
      <c r="Q42" s="82" t="s">
        <v>11</v>
      </c>
      <c r="R42" s="82"/>
      <c r="S42" s="78"/>
      <c r="T42" s="83">
        <f>C42</f>
        <v>0</v>
      </c>
      <c r="U42" s="82">
        <f>O42+(Y25)</f>
        <v>4</v>
      </c>
      <c r="V42" s="76">
        <f>MROUND((J42*1.04),5)</f>
        <v>0</v>
      </c>
      <c r="W42" s="82" t="s">
        <v>12</v>
      </c>
      <c r="X42" s="82"/>
      <c r="Y42" s="78"/>
      <c r="Z42" s="13">
        <f>C42</f>
        <v>0</v>
      </c>
      <c r="AA42" s="82">
        <f>U42+(AE25)</f>
        <v>4</v>
      </c>
      <c r="AB42" s="76">
        <f>MROUND((P42*1.04),5)</f>
        <v>0</v>
      </c>
      <c r="AC42" s="82" t="s">
        <v>12</v>
      </c>
      <c r="AD42" s="82"/>
      <c r="AE42" s="78"/>
      <c r="AF42" s="13">
        <f>C42</f>
        <v>0</v>
      </c>
      <c r="AG42" s="82">
        <f>AA42+(AK25)</f>
        <v>4</v>
      </c>
      <c r="AH42" s="76">
        <f>MROUND((V42*1.04),5)</f>
        <v>0</v>
      </c>
      <c r="AI42" s="82" t="s">
        <v>12</v>
      </c>
      <c r="AJ42" s="82"/>
      <c r="AK42" s="78"/>
      <c r="AL42" s="81">
        <f>C42</f>
        <v>0</v>
      </c>
      <c r="AM42" s="82">
        <f>AG42+(AQ25)</f>
        <v>4</v>
      </c>
      <c r="AN42" s="82">
        <f>MROUND((J42*1.1),5)</f>
        <v>0</v>
      </c>
      <c r="AO42" s="82" t="s">
        <v>13</v>
      </c>
      <c r="AP42" s="82"/>
      <c r="AQ42" s="78"/>
      <c r="AR42" s="81">
        <f>C42</f>
        <v>0</v>
      </c>
      <c r="AS42" s="82">
        <v>2</v>
      </c>
      <c r="AT42" s="84">
        <f>MROUND((J42*0.5),5)</f>
        <v>0</v>
      </c>
      <c r="AU42" s="64" t="s">
        <v>14</v>
      </c>
    </row>
    <row r="43" spans="2:47" s="43" customFormat="1" ht="19.5" thickBot="1" x14ac:dyDescent="0.3">
      <c r="B43" s="86" t="s">
        <v>350</v>
      </c>
      <c r="C43" s="57"/>
      <c r="D43" s="57"/>
      <c r="E43" s="85"/>
      <c r="F43" s="56"/>
      <c r="G43" s="62"/>
      <c r="H43" s="181" t="s">
        <v>1</v>
      </c>
      <c r="I43" s="182"/>
      <c r="J43" s="182"/>
      <c r="K43" s="182"/>
      <c r="L43" s="182"/>
      <c r="M43" s="183"/>
      <c r="N43" s="184" t="s">
        <v>2</v>
      </c>
      <c r="O43" s="185"/>
      <c r="P43" s="185"/>
      <c r="Q43" s="185"/>
      <c r="R43" s="185"/>
      <c r="S43" s="186"/>
      <c r="T43" s="172" t="s">
        <v>3</v>
      </c>
      <c r="U43" s="173"/>
      <c r="V43" s="173"/>
      <c r="W43" s="173"/>
      <c r="X43" s="173"/>
      <c r="Y43" s="174"/>
      <c r="Z43" s="172" t="s">
        <v>4</v>
      </c>
      <c r="AA43" s="173"/>
      <c r="AB43" s="173"/>
      <c r="AC43" s="173"/>
      <c r="AD43" s="173"/>
      <c r="AE43" s="174"/>
      <c r="AF43" s="172" t="s">
        <v>358</v>
      </c>
      <c r="AG43" s="173"/>
      <c r="AH43" s="173"/>
      <c r="AI43" s="173"/>
      <c r="AJ43" s="173"/>
      <c r="AK43" s="174"/>
      <c r="AL43" s="175" t="s">
        <v>359</v>
      </c>
      <c r="AM43" s="176"/>
      <c r="AN43" s="176"/>
      <c r="AO43" s="176"/>
      <c r="AP43" s="176"/>
      <c r="AQ43" s="177"/>
      <c r="AR43" s="178" t="s">
        <v>360</v>
      </c>
      <c r="AS43" s="179"/>
      <c r="AT43" s="179"/>
      <c r="AU43" s="180"/>
    </row>
    <row r="44" spans="2:47" s="43" customFormat="1" ht="15.75" thickBot="1" x14ac:dyDescent="0.3">
      <c r="B44" s="37"/>
      <c r="C44" s="57"/>
      <c r="D44" s="57"/>
      <c r="E44" s="85"/>
      <c r="F44" s="56"/>
      <c r="G44" s="57"/>
      <c r="H44" s="65" t="s">
        <v>88</v>
      </c>
      <c r="I44" s="66" t="s">
        <v>6</v>
      </c>
      <c r="J44" s="67" t="s">
        <v>7</v>
      </c>
      <c r="K44" s="68" t="s">
        <v>8</v>
      </c>
      <c r="L44" s="68" t="s">
        <v>9</v>
      </c>
      <c r="M44" s="69" t="s">
        <v>10</v>
      </c>
      <c r="N44" s="70" t="s">
        <v>88</v>
      </c>
      <c r="O44" s="70" t="s">
        <v>6</v>
      </c>
      <c r="P44" s="67" t="s">
        <v>7</v>
      </c>
      <c r="Q44" s="68" t="s">
        <v>8</v>
      </c>
      <c r="R44" s="68" t="s">
        <v>9</v>
      </c>
      <c r="S44" s="69" t="s">
        <v>10</v>
      </c>
      <c r="T44" s="70" t="s">
        <v>88</v>
      </c>
      <c r="U44" s="70" t="s">
        <v>6</v>
      </c>
      <c r="V44" s="67" t="s">
        <v>7</v>
      </c>
      <c r="W44" s="68" t="s">
        <v>8</v>
      </c>
      <c r="X44" s="68" t="s">
        <v>9</v>
      </c>
      <c r="Y44" s="69" t="s">
        <v>10</v>
      </c>
      <c r="Z44" s="70" t="s">
        <v>88</v>
      </c>
      <c r="AA44" s="70" t="s">
        <v>6</v>
      </c>
      <c r="AB44" s="67" t="s">
        <v>7</v>
      </c>
      <c r="AC44" s="68" t="s">
        <v>8</v>
      </c>
      <c r="AD44" s="68" t="s">
        <v>9</v>
      </c>
      <c r="AE44" s="69" t="s">
        <v>10</v>
      </c>
      <c r="AF44" s="70" t="s">
        <v>88</v>
      </c>
      <c r="AG44" s="70" t="s">
        <v>6</v>
      </c>
      <c r="AH44" s="67" t="s">
        <v>7</v>
      </c>
      <c r="AI44" s="68" t="s">
        <v>8</v>
      </c>
      <c r="AJ44" s="68" t="s">
        <v>9</v>
      </c>
      <c r="AK44" s="69" t="s">
        <v>10</v>
      </c>
      <c r="AL44" s="70" t="s">
        <v>88</v>
      </c>
      <c r="AM44" s="70" t="s">
        <v>6</v>
      </c>
      <c r="AN44" s="67" t="s">
        <v>7</v>
      </c>
      <c r="AO44" s="87" t="s">
        <v>15</v>
      </c>
      <c r="AP44" s="68" t="s">
        <v>9</v>
      </c>
      <c r="AQ44" s="69" t="s">
        <v>10</v>
      </c>
      <c r="AR44" s="70" t="s">
        <v>88</v>
      </c>
      <c r="AS44" s="70" t="s">
        <v>6</v>
      </c>
      <c r="AT44" s="67" t="s">
        <v>7</v>
      </c>
      <c r="AU44" s="71" t="s">
        <v>8</v>
      </c>
    </row>
    <row r="45" spans="2:47" s="43" customFormat="1" ht="15.75" thickBot="1" x14ac:dyDescent="0.3">
      <c r="B45" s="95" t="s">
        <v>351</v>
      </c>
      <c r="C45" s="99" t="s">
        <v>341</v>
      </c>
      <c r="D45" s="91"/>
      <c r="E45" s="91"/>
      <c r="F45" s="99" t="s">
        <v>356</v>
      </c>
      <c r="G45" s="99" t="s">
        <v>357</v>
      </c>
      <c r="H45" s="65" t="s">
        <v>341</v>
      </c>
      <c r="I45" s="72"/>
      <c r="J45" s="72"/>
      <c r="K45" s="72"/>
      <c r="L45" s="72"/>
      <c r="M45" s="73"/>
      <c r="N45" s="65" t="s">
        <v>341</v>
      </c>
      <c r="O45" s="72"/>
      <c r="P45" s="72"/>
      <c r="Q45" s="72"/>
      <c r="R45" s="72"/>
      <c r="S45" s="73"/>
      <c r="T45" s="65" t="s">
        <v>341</v>
      </c>
      <c r="U45" s="72"/>
      <c r="V45" s="72"/>
      <c r="W45" s="72"/>
      <c r="X45" s="72"/>
      <c r="Y45" s="72"/>
      <c r="Z45" s="65" t="s">
        <v>341</v>
      </c>
      <c r="AA45" s="72"/>
      <c r="AB45" s="72"/>
      <c r="AC45" s="72"/>
      <c r="AD45" s="72"/>
      <c r="AE45" s="72"/>
      <c r="AF45" s="65" t="s">
        <v>341</v>
      </c>
      <c r="AG45" s="72"/>
      <c r="AH45" s="72"/>
      <c r="AI45" s="72"/>
      <c r="AJ45" s="72"/>
      <c r="AK45" s="72"/>
      <c r="AL45" s="65" t="s">
        <v>341</v>
      </c>
      <c r="AM45" s="72"/>
      <c r="AN45" s="72"/>
      <c r="AO45" s="72"/>
      <c r="AP45" s="72"/>
      <c r="AQ45" s="72"/>
      <c r="AR45" s="65" t="s">
        <v>341</v>
      </c>
      <c r="AS45" s="72"/>
      <c r="AT45" s="72"/>
      <c r="AU45" s="73"/>
    </row>
    <row r="46" spans="2:47" s="43" customFormat="1" ht="15.75" thickBot="1" x14ac:dyDescent="0.3">
      <c r="B46" s="96" t="s">
        <v>18</v>
      </c>
      <c r="C46" s="100"/>
      <c r="D46" s="92" t="str">
        <f t="array" ref="D46">INDEX(Table_Name76[Name List],MATCH(B46,Table_Name76[Category],0))</f>
        <v>Biceps[Exercise]</v>
      </c>
      <c r="E46" s="103" t="e">
        <f t="array" ref="E46">INDEX(Links97[Link],MATCH(C46,Links97[Exercise],0))</f>
        <v>#N/A</v>
      </c>
      <c r="F46" s="106" t="e">
        <f t="shared" ref="F46:F52" si="30">HYPERLINK(E46,"Video")</f>
        <v>#N/A</v>
      </c>
      <c r="G46" s="109"/>
      <c r="H46" s="75">
        <f t="shared" ref="H46:H52" si="31">C46</f>
        <v>0</v>
      </c>
      <c r="I46" s="76">
        <v>3</v>
      </c>
      <c r="J46" s="76">
        <f t="shared" ref="J46:J52" si="32">MROUND(((G46)*0.85),5)</f>
        <v>0</v>
      </c>
      <c r="K46" s="76" t="s">
        <v>11</v>
      </c>
      <c r="L46" s="76"/>
      <c r="M46" s="78"/>
      <c r="N46" s="88">
        <f t="shared" ref="N46:N52" si="33">C46</f>
        <v>0</v>
      </c>
      <c r="O46" s="76">
        <f>I46+(S16)</f>
        <v>3</v>
      </c>
      <c r="P46" s="76">
        <f>MROUND((J46*1.02),5)</f>
        <v>0</v>
      </c>
      <c r="Q46" s="76" t="s">
        <v>11</v>
      </c>
      <c r="R46" s="76"/>
      <c r="S46" s="78"/>
      <c r="T46" s="57">
        <f t="shared" ref="T46:T52" si="34">C46</f>
        <v>0</v>
      </c>
      <c r="U46" s="76">
        <f>O46+(Y16)</f>
        <v>3</v>
      </c>
      <c r="V46" s="76">
        <f>MROUND((J46*1.04),5)</f>
        <v>0</v>
      </c>
      <c r="W46" s="76" t="s">
        <v>12</v>
      </c>
      <c r="X46" s="76"/>
      <c r="Y46" s="78"/>
      <c r="Z46" s="13">
        <f>C46</f>
        <v>0</v>
      </c>
      <c r="AA46" s="76">
        <f>U46+(AE16)</f>
        <v>3</v>
      </c>
      <c r="AB46" s="76">
        <f t="shared" ref="AB46:AB52" si="35">MROUND((P46*1.04),5)</f>
        <v>0</v>
      </c>
      <c r="AC46" s="76" t="s">
        <v>12</v>
      </c>
      <c r="AD46" s="76"/>
      <c r="AE46" s="78"/>
      <c r="AF46" s="13">
        <f>C46</f>
        <v>0</v>
      </c>
      <c r="AG46" s="76">
        <f>AA46+(AK16)</f>
        <v>3</v>
      </c>
      <c r="AH46" s="76">
        <f t="shared" ref="AH46:AH52" si="36">MROUND((V46*1.04),5)</f>
        <v>0</v>
      </c>
      <c r="AI46" s="76" t="s">
        <v>12</v>
      </c>
      <c r="AJ46" s="76"/>
      <c r="AK46" s="78"/>
      <c r="AL46" s="75">
        <f t="shared" ref="AL46:AL52" si="37">C46</f>
        <v>0</v>
      </c>
      <c r="AM46" s="76">
        <f>AG46+(AQ16)</f>
        <v>3</v>
      </c>
      <c r="AN46" s="76">
        <f t="shared" ref="AN46:AN52" si="38">MROUND((J46*1.1),5)</f>
        <v>0</v>
      </c>
      <c r="AO46" s="76" t="s">
        <v>13</v>
      </c>
      <c r="AP46" s="76"/>
      <c r="AQ46" s="77"/>
      <c r="AR46" s="75">
        <f t="shared" ref="AR46:AR52" si="39">C46</f>
        <v>0</v>
      </c>
      <c r="AS46" s="76">
        <v>2</v>
      </c>
      <c r="AT46" s="79">
        <f t="shared" ref="AT46:AT52" si="40">MROUND((J46*0.5),5)</f>
        <v>0</v>
      </c>
      <c r="AU46" s="77" t="s">
        <v>14</v>
      </c>
    </row>
    <row r="47" spans="2:47" s="43" customFormat="1" ht="15.75" thickBot="1" x14ac:dyDescent="0.3">
      <c r="B47" s="97" t="s">
        <v>17</v>
      </c>
      <c r="C47" s="101"/>
      <c r="D47" s="93" t="str">
        <f t="array" ref="D47">INDEX(Table_Name76[Name List],MATCH(B47,Table_Name76[Category],0))</f>
        <v>Triceps[Exercise]</v>
      </c>
      <c r="E47" s="104" t="e">
        <f t="array" ref="E47">INDEX(Links97[Link],MATCH(C47,Links97[Exercise],0))</f>
        <v>#N/A</v>
      </c>
      <c r="F47" s="107" t="e">
        <f t="shared" si="30"/>
        <v>#N/A</v>
      </c>
      <c r="G47" s="110"/>
      <c r="H47" s="75">
        <f t="shared" si="31"/>
        <v>0</v>
      </c>
      <c r="I47" s="76">
        <v>3</v>
      </c>
      <c r="J47" s="76">
        <f t="shared" si="32"/>
        <v>0</v>
      </c>
      <c r="K47" s="76" t="s">
        <v>11</v>
      </c>
      <c r="L47" s="76"/>
      <c r="M47" s="78"/>
      <c r="N47" s="88">
        <f t="shared" si="33"/>
        <v>0</v>
      </c>
      <c r="O47" s="76">
        <f>I47+(S13)</f>
        <v>3</v>
      </c>
      <c r="P47" s="76">
        <f t="shared" ref="P47:P52" si="41">MROUND((J47*1.02),5)</f>
        <v>0</v>
      </c>
      <c r="Q47" s="76" t="s">
        <v>11</v>
      </c>
      <c r="R47" s="76"/>
      <c r="S47" s="78"/>
      <c r="T47" s="57">
        <f t="shared" si="34"/>
        <v>0</v>
      </c>
      <c r="U47" s="76">
        <f>O47+(Y13)</f>
        <v>3</v>
      </c>
      <c r="V47" s="76">
        <f t="shared" ref="V47:V52" si="42">MROUND((J47*1.04),5)</f>
        <v>0</v>
      </c>
      <c r="W47" s="76" t="s">
        <v>12</v>
      </c>
      <c r="X47" s="76"/>
      <c r="Y47" s="78"/>
      <c r="Z47" s="13">
        <f t="shared" ref="Z47:Z52" si="43">C47</f>
        <v>0</v>
      </c>
      <c r="AA47" s="76">
        <f>U47+(AE13)</f>
        <v>3</v>
      </c>
      <c r="AB47" s="76">
        <f t="shared" si="35"/>
        <v>0</v>
      </c>
      <c r="AC47" s="76" t="s">
        <v>12</v>
      </c>
      <c r="AD47" s="76"/>
      <c r="AE47" s="78"/>
      <c r="AF47" s="13">
        <f t="shared" ref="AF47:AF52" si="44">C47</f>
        <v>0</v>
      </c>
      <c r="AG47" s="76">
        <f>AA47+(AK13)</f>
        <v>3</v>
      </c>
      <c r="AH47" s="76">
        <f t="shared" si="36"/>
        <v>0</v>
      </c>
      <c r="AI47" s="76" t="s">
        <v>12</v>
      </c>
      <c r="AJ47" s="76"/>
      <c r="AK47" s="78"/>
      <c r="AL47" s="75">
        <f t="shared" si="37"/>
        <v>0</v>
      </c>
      <c r="AM47" s="76">
        <f>AG47+(AQ13)</f>
        <v>3</v>
      </c>
      <c r="AN47" s="76">
        <f t="shared" si="38"/>
        <v>0</v>
      </c>
      <c r="AO47" s="76" t="s">
        <v>13</v>
      </c>
      <c r="AP47" s="76"/>
      <c r="AQ47" s="77"/>
      <c r="AR47" s="75">
        <f t="shared" si="39"/>
        <v>0</v>
      </c>
      <c r="AS47" s="76">
        <v>2</v>
      </c>
      <c r="AT47" s="79">
        <f t="shared" si="40"/>
        <v>0</v>
      </c>
      <c r="AU47" s="77" t="s">
        <v>14</v>
      </c>
    </row>
    <row r="48" spans="2:47" s="43" customFormat="1" ht="15.75" thickBot="1" x14ac:dyDescent="0.3">
      <c r="B48" s="97" t="s">
        <v>104</v>
      </c>
      <c r="C48" s="101"/>
      <c r="D48" s="93" t="str">
        <f t="array" ref="D48">INDEX(Table_Name76[Name List],MATCH(B48,Table_Name76[Category],0))</f>
        <v>Front_Delts[Exercise]</v>
      </c>
      <c r="E48" s="104" t="e">
        <f t="array" ref="E48">INDEX(Links97[Link],MATCH(C48,Links97[Exercise],0))</f>
        <v>#N/A</v>
      </c>
      <c r="F48" s="107" t="e">
        <f t="shared" si="30"/>
        <v>#N/A</v>
      </c>
      <c r="G48" s="110"/>
      <c r="H48" s="75">
        <f t="shared" si="31"/>
        <v>0</v>
      </c>
      <c r="I48" s="76">
        <v>3</v>
      </c>
      <c r="J48" s="76">
        <f t="shared" si="32"/>
        <v>0</v>
      </c>
      <c r="K48" s="76" t="s">
        <v>11</v>
      </c>
      <c r="L48" s="76"/>
      <c r="M48" s="78"/>
      <c r="N48" s="88">
        <f t="shared" si="33"/>
        <v>0</v>
      </c>
      <c r="O48" s="76">
        <f>I48+(S13)</f>
        <v>3</v>
      </c>
      <c r="P48" s="76">
        <f t="shared" si="41"/>
        <v>0</v>
      </c>
      <c r="Q48" s="76" t="s">
        <v>11</v>
      </c>
      <c r="R48" s="76"/>
      <c r="S48" s="78"/>
      <c r="T48" s="57">
        <f t="shared" si="34"/>
        <v>0</v>
      </c>
      <c r="U48" s="76">
        <f>O48+(Y13)</f>
        <v>3</v>
      </c>
      <c r="V48" s="76">
        <f t="shared" si="42"/>
        <v>0</v>
      </c>
      <c r="W48" s="76" t="s">
        <v>12</v>
      </c>
      <c r="X48" s="76"/>
      <c r="Y48" s="78"/>
      <c r="Z48" s="13">
        <f t="shared" si="43"/>
        <v>0</v>
      </c>
      <c r="AA48" s="76">
        <f>U48+(AE13)</f>
        <v>3</v>
      </c>
      <c r="AB48" s="76">
        <f t="shared" si="35"/>
        <v>0</v>
      </c>
      <c r="AC48" s="76" t="s">
        <v>12</v>
      </c>
      <c r="AD48" s="76"/>
      <c r="AE48" s="78"/>
      <c r="AF48" s="13">
        <f t="shared" si="44"/>
        <v>0</v>
      </c>
      <c r="AG48" s="76">
        <f>AA48+(AK13)</f>
        <v>3</v>
      </c>
      <c r="AH48" s="76">
        <f t="shared" si="36"/>
        <v>0</v>
      </c>
      <c r="AI48" s="76" t="s">
        <v>12</v>
      </c>
      <c r="AJ48" s="76"/>
      <c r="AK48" s="78"/>
      <c r="AL48" s="75">
        <f t="shared" si="37"/>
        <v>0</v>
      </c>
      <c r="AM48" s="76">
        <f>AG48+(AQ13)</f>
        <v>3</v>
      </c>
      <c r="AN48" s="76">
        <f t="shared" si="38"/>
        <v>0</v>
      </c>
      <c r="AO48" s="76" t="s">
        <v>13</v>
      </c>
      <c r="AP48" s="76"/>
      <c r="AQ48" s="77"/>
      <c r="AR48" s="75">
        <f t="shared" si="39"/>
        <v>0</v>
      </c>
      <c r="AS48" s="76">
        <v>2</v>
      </c>
      <c r="AT48" s="79">
        <f t="shared" si="40"/>
        <v>0</v>
      </c>
      <c r="AU48" s="77" t="s">
        <v>14</v>
      </c>
    </row>
    <row r="49" spans="2:47" s="43" customFormat="1" ht="15.75" thickBot="1" x14ac:dyDescent="0.3">
      <c r="B49" s="97" t="s">
        <v>120</v>
      </c>
      <c r="C49" s="101"/>
      <c r="D49" s="93" t="str">
        <f t="array" ref="D49">INDEX(Table_Name76[Name List],MATCH(B49,Table_Name76[Category],0))</f>
        <v>Traps[Exercise]</v>
      </c>
      <c r="E49" s="104" t="e">
        <f t="array" ref="E49">INDEX(Links97[Link],MATCH(C49,Links97[Exercise],0))</f>
        <v>#N/A</v>
      </c>
      <c r="F49" s="107" t="e">
        <f t="shared" si="30"/>
        <v>#N/A</v>
      </c>
      <c r="G49" s="110"/>
      <c r="H49" s="75">
        <f t="shared" si="31"/>
        <v>0</v>
      </c>
      <c r="I49" s="76">
        <v>3</v>
      </c>
      <c r="J49" s="76">
        <f t="shared" si="32"/>
        <v>0</v>
      </c>
      <c r="K49" s="76" t="s">
        <v>11</v>
      </c>
      <c r="L49" s="76"/>
      <c r="M49" s="78"/>
      <c r="N49" s="88">
        <f t="shared" si="33"/>
        <v>0</v>
      </c>
      <c r="O49" s="76">
        <f>I49+(S17)</f>
        <v>3</v>
      </c>
      <c r="P49" s="76">
        <f t="shared" si="41"/>
        <v>0</v>
      </c>
      <c r="Q49" s="76" t="s">
        <v>11</v>
      </c>
      <c r="R49" s="76"/>
      <c r="S49" s="78"/>
      <c r="T49" s="57">
        <f t="shared" si="34"/>
        <v>0</v>
      </c>
      <c r="U49" s="76">
        <f>O49+(Y17)</f>
        <v>3</v>
      </c>
      <c r="V49" s="76">
        <f t="shared" si="42"/>
        <v>0</v>
      </c>
      <c r="W49" s="76" t="s">
        <v>12</v>
      </c>
      <c r="X49" s="76"/>
      <c r="Y49" s="78"/>
      <c r="Z49" s="13">
        <f t="shared" si="43"/>
        <v>0</v>
      </c>
      <c r="AA49" s="76">
        <f>U49+(AE17)</f>
        <v>3</v>
      </c>
      <c r="AB49" s="76">
        <f t="shared" si="35"/>
        <v>0</v>
      </c>
      <c r="AC49" s="76" t="s">
        <v>12</v>
      </c>
      <c r="AD49" s="76"/>
      <c r="AE49" s="78"/>
      <c r="AF49" s="13">
        <f t="shared" si="44"/>
        <v>0</v>
      </c>
      <c r="AG49" s="76">
        <f>AA49+(AK17)</f>
        <v>3</v>
      </c>
      <c r="AH49" s="76">
        <f t="shared" si="36"/>
        <v>0</v>
      </c>
      <c r="AI49" s="76" t="s">
        <v>12</v>
      </c>
      <c r="AJ49" s="76"/>
      <c r="AK49" s="78"/>
      <c r="AL49" s="75">
        <f t="shared" si="37"/>
        <v>0</v>
      </c>
      <c r="AM49" s="76">
        <f>AG49+(AQ17)</f>
        <v>3</v>
      </c>
      <c r="AN49" s="76">
        <f t="shared" si="38"/>
        <v>0</v>
      </c>
      <c r="AO49" s="76" t="s">
        <v>13</v>
      </c>
      <c r="AP49" s="76"/>
      <c r="AQ49" s="77"/>
      <c r="AR49" s="75">
        <f t="shared" si="39"/>
        <v>0</v>
      </c>
      <c r="AS49" s="76">
        <v>2</v>
      </c>
      <c r="AT49" s="79">
        <f t="shared" si="40"/>
        <v>0</v>
      </c>
      <c r="AU49" s="77" t="s">
        <v>14</v>
      </c>
    </row>
    <row r="50" spans="2:47" s="43" customFormat="1" ht="15.75" thickBot="1" x14ac:dyDescent="0.3">
      <c r="B50" s="97" t="s">
        <v>339</v>
      </c>
      <c r="C50" s="101"/>
      <c r="D50" s="93" t="str">
        <f t="array" ref="D50">INDEX(Table_Name76[Name List],MATCH(B50,Table_Name76[Category],0))</f>
        <v>Vertical_Back[Exercise]</v>
      </c>
      <c r="E50" s="104" t="e">
        <f t="array" ref="E50">INDEX(Links97[Link],MATCH(C50,Links97[Exercise],0))</f>
        <v>#N/A</v>
      </c>
      <c r="F50" s="107" t="e">
        <f t="shared" si="30"/>
        <v>#N/A</v>
      </c>
      <c r="G50" s="110"/>
      <c r="H50" s="75">
        <f t="shared" si="31"/>
        <v>0</v>
      </c>
      <c r="I50" s="76">
        <v>2</v>
      </c>
      <c r="J50" s="76">
        <f t="shared" si="32"/>
        <v>0</v>
      </c>
      <c r="K50" s="76" t="s">
        <v>11</v>
      </c>
      <c r="L50" s="76"/>
      <c r="M50" s="78"/>
      <c r="N50" s="88">
        <f t="shared" si="33"/>
        <v>0</v>
      </c>
      <c r="O50" s="76">
        <f>I50+(S16)</f>
        <v>2</v>
      </c>
      <c r="P50" s="76">
        <f t="shared" si="41"/>
        <v>0</v>
      </c>
      <c r="Q50" s="76" t="s">
        <v>11</v>
      </c>
      <c r="R50" s="76"/>
      <c r="S50" s="78"/>
      <c r="T50" s="57">
        <f t="shared" si="34"/>
        <v>0</v>
      </c>
      <c r="U50" s="76">
        <f>O50+(Y16)</f>
        <v>2</v>
      </c>
      <c r="V50" s="76">
        <f t="shared" si="42"/>
        <v>0</v>
      </c>
      <c r="W50" s="76" t="s">
        <v>12</v>
      </c>
      <c r="X50" s="76"/>
      <c r="Y50" s="78"/>
      <c r="Z50" s="13">
        <f t="shared" si="43"/>
        <v>0</v>
      </c>
      <c r="AA50" s="76">
        <f>U50+(AE16)</f>
        <v>2</v>
      </c>
      <c r="AB50" s="76">
        <f t="shared" si="35"/>
        <v>0</v>
      </c>
      <c r="AC50" s="76" t="s">
        <v>12</v>
      </c>
      <c r="AD50" s="76"/>
      <c r="AE50" s="78"/>
      <c r="AF50" s="13">
        <f t="shared" si="44"/>
        <v>0</v>
      </c>
      <c r="AG50" s="76">
        <f>AA50+(AK16)</f>
        <v>2</v>
      </c>
      <c r="AH50" s="76">
        <f t="shared" si="36"/>
        <v>0</v>
      </c>
      <c r="AI50" s="76" t="s">
        <v>12</v>
      </c>
      <c r="AJ50" s="76"/>
      <c r="AK50" s="78"/>
      <c r="AL50" s="75">
        <f t="shared" si="37"/>
        <v>0</v>
      </c>
      <c r="AM50" s="76">
        <f>AG50+(AQ16)</f>
        <v>2</v>
      </c>
      <c r="AN50" s="76">
        <f t="shared" si="38"/>
        <v>0</v>
      </c>
      <c r="AO50" s="76" t="s">
        <v>13</v>
      </c>
      <c r="AP50" s="76"/>
      <c r="AQ50" s="77"/>
      <c r="AR50" s="75">
        <f t="shared" si="39"/>
        <v>0</v>
      </c>
      <c r="AS50" s="76">
        <v>2</v>
      </c>
      <c r="AT50" s="79">
        <f t="shared" si="40"/>
        <v>0</v>
      </c>
      <c r="AU50" s="77" t="s">
        <v>14</v>
      </c>
    </row>
    <row r="51" spans="2:47" s="43" customFormat="1" ht="15.75" thickBot="1" x14ac:dyDescent="0.3">
      <c r="B51" s="97" t="s">
        <v>343</v>
      </c>
      <c r="C51" s="101"/>
      <c r="D51" s="93" t="str">
        <f t="array" ref="D51">INDEX(Table_Name76[Name List],MATCH(B51,Table_Name76[Category],0))</f>
        <v>Incline_Push[Exercise]</v>
      </c>
      <c r="E51" s="104" t="e">
        <f t="array" ref="E51">INDEX(Links97[Link],MATCH(C51,Links97[Exercise],0))</f>
        <v>#N/A</v>
      </c>
      <c r="F51" s="107" t="e">
        <f t="shared" si="30"/>
        <v>#N/A</v>
      </c>
      <c r="G51" s="110"/>
      <c r="H51" s="75">
        <f t="shared" si="31"/>
        <v>0</v>
      </c>
      <c r="I51" s="76">
        <v>2</v>
      </c>
      <c r="J51" s="76">
        <f t="shared" si="32"/>
        <v>0</v>
      </c>
      <c r="K51" s="76" t="s">
        <v>11</v>
      </c>
      <c r="L51" s="76"/>
      <c r="M51" s="78"/>
      <c r="N51" s="88">
        <f t="shared" si="33"/>
        <v>0</v>
      </c>
      <c r="O51" s="76">
        <f>I51+(S13)</f>
        <v>2</v>
      </c>
      <c r="P51" s="76">
        <f t="shared" si="41"/>
        <v>0</v>
      </c>
      <c r="Q51" s="76" t="s">
        <v>11</v>
      </c>
      <c r="R51" s="76"/>
      <c r="S51" s="78"/>
      <c r="T51" s="57">
        <f t="shared" si="34"/>
        <v>0</v>
      </c>
      <c r="U51" s="76">
        <f>O51+(Y13)</f>
        <v>2</v>
      </c>
      <c r="V51" s="76">
        <f t="shared" si="42"/>
        <v>0</v>
      </c>
      <c r="W51" s="76" t="s">
        <v>12</v>
      </c>
      <c r="X51" s="76"/>
      <c r="Y51" s="78"/>
      <c r="Z51" s="13">
        <f t="shared" si="43"/>
        <v>0</v>
      </c>
      <c r="AA51" s="76">
        <f>U51+(AE13)</f>
        <v>2</v>
      </c>
      <c r="AB51" s="76">
        <f t="shared" si="35"/>
        <v>0</v>
      </c>
      <c r="AC51" s="76" t="s">
        <v>12</v>
      </c>
      <c r="AD51" s="76"/>
      <c r="AE51" s="78"/>
      <c r="AF51" s="13">
        <f t="shared" si="44"/>
        <v>0</v>
      </c>
      <c r="AG51" s="76">
        <f>AA51+(AK13)</f>
        <v>2</v>
      </c>
      <c r="AH51" s="76">
        <f t="shared" si="36"/>
        <v>0</v>
      </c>
      <c r="AI51" s="76" t="s">
        <v>12</v>
      </c>
      <c r="AJ51" s="76"/>
      <c r="AK51" s="78"/>
      <c r="AL51" s="75">
        <f t="shared" si="37"/>
        <v>0</v>
      </c>
      <c r="AM51" s="76">
        <f>AG51+(AQ13)</f>
        <v>2</v>
      </c>
      <c r="AN51" s="76">
        <f t="shared" si="38"/>
        <v>0</v>
      </c>
      <c r="AO51" s="76" t="s">
        <v>13</v>
      </c>
      <c r="AP51" s="76"/>
      <c r="AQ51" s="77"/>
      <c r="AR51" s="75">
        <f t="shared" si="39"/>
        <v>0</v>
      </c>
      <c r="AS51" s="76">
        <v>2</v>
      </c>
      <c r="AT51" s="79">
        <f t="shared" si="40"/>
        <v>0</v>
      </c>
      <c r="AU51" s="77" t="s">
        <v>14</v>
      </c>
    </row>
    <row r="52" spans="2:47" s="43" customFormat="1" ht="15.75" thickBot="1" x14ac:dyDescent="0.3">
      <c r="B52" s="98" t="s">
        <v>77</v>
      </c>
      <c r="C52" s="102"/>
      <c r="D52" s="93" t="str">
        <f t="array" ref="D52">INDEX(Table_Name76[Name List],MATCH(B52,Table_Name76[Category],0))</f>
        <v>Abs[Exercise]</v>
      </c>
      <c r="E52" s="104" t="e">
        <f t="array" ref="E52">INDEX(Links97[Link],MATCH(C52,Links97[Exercise],0))</f>
        <v>#N/A</v>
      </c>
      <c r="F52" s="108" t="e">
        <f t="shared" si="30"/>
        <v>#N/A</v>
      </c>
      <c r="G52" s="111"/>
      <c r="H52" s="81">
        <f t="shared" si="31"/>
        <v>0</v>
      </c>
      <c r="I52" s="82">
        <v>2</v>
      </c>
      <c r="J52" s="82">
        <f t="shared" si="32"/>
        <v>0</v>
      </c>
      <c r="K52" s="82" t="s">
        <v>11</v>
      </c>
      <c r="L52" s="82"/>
      <c r="M52" s="78"/>
      <c r="N52" s="81">
        <f t="shared" si="33"/>
        <v>0</v>
      </c>
      <c r="O52" s="82">
        <f>I52+(S18)</f>
        <v>2</v>
      </c>
      <c r="P52" s="76">
        <f t="shared" si="41"/>
        <v>0</v>
      </c>
      <c r="Q52" s="82" t="s">
        <v>11</v>
      </c>
      <c r="R52" s="82"/>
      <c r="S52" s="78"/>
      <c r="T52" s="83">
        <f t="shared" si="34"/>
        <v>0</v>
      </c>
      <c r="U52" s="82">
        <f>O52+(Y18)</f>
        <v>2</v>
      </c>
      <c r="V52" s="76">
        <f t="shared" si="42"/>
        <v>0</v>
      </c>
      <c r="W52" s="82" t="s">
        <v>12</v>
      </c>
      <c r="X52" s="82"/>
      <c r="Y52" s="78"/>
      <c r="Z52" s="81">
        <f t="shared" si="43"/>
        <v>0</v>
      </c>
      <c r="AA52" s="82">
        <f>U52+(AE18)</f>
        <v>2</v>
      </c>
      <c r="AB52" s="82">
        <f t="shared" si="35"/>
        <v>0</v>
      </c>
      <c r="AC52" s="82" t="s">
        <v>12</v>
      </c>
      <c r="AD52" s="82"/>
      <c r="AE52" s="78"/>
      <c r="AF52" s="13">
        <f t="shared" si="44"/>
        <v>0</v>
      </c>
      <c r="AG52" s="82">
        <f>AA52+(AK18)</f>
        <v>2</v>
      </c>
      <c r="AH52" s="82">
        <f t="shared" si="36"/>
        <v>0</v>
      </c>
      <c r="AI52" s="82" t="s">
        <v>12</v>
      </c>
      <c r="AJ52" s="82"/>
      <c r="AK52" s="78"/>
      <c r="AL52" s="81">
        <f t="shared" si="37"/>
        <v>0</v>
      </c>
      <c r="AM52" s="82">
        <f>AG52+(AQ18)</f>
        <v>2</v>
      </c>
      <c r="AN52" s="82">
        <f t="shared" si="38"/>
        <v>0</v>
      </c>
      <c r="AO52" s="82" t="s">
        <v>13</v>
      </c>
      <c r="AP52" s="82"/>
      <c r="AQ52" s="64"/>
      <c r="AR52" s="81">
        <f t="shared" si="39"/>
        <v>0</v>
      </c>
      <c r="AS52" s="82">
        <v>2</v>
      </c>
      <c r="AT52" s="84">
        <f t="shared" si="40"/>
        <v>0</v>
      </c>
      <c r="AU52" s="64" t="s">
        <v>14</v>
      </c>
    </row>
    <row r="53" spans="2:47" s="43" customFormat="1" x14ac:dyDescent="0.25">
      <c r="B53"/>
      <c r="C53" s="60"/>
      <c r="D53" s="35"/>
      <c r="E53" s="55"/>
      <c r="F53" s="56"/>
      <c r="G53" s="61"/>
      <c r="H53" s="35"/>
      <c r="I53" s="4"/>
      <c r="J53" s="4"/>
      <c r="K53" s="4"/>
      <c r="L53" s="4"/>
      <c r="M53" s="4"/>
      <c r="N53" s="35"/>
      <c r="O53" s="4"/>
      <c r="P53" s="170"/>
      <c r="Q53" s="4"/>
      <c r="R53" s="4"/>
      <c r="S53" s="4"/>
      <c r="T53" s="35"/>
      <c r="U53" s="4"/>
      <c r="V53" s="170"/>
      <c r="W53" s="4"/>
      <c r="X53" s="4"/>
      <c r="Y53" s="4"/>
      <c r="Z53" s="35"/>
      <c r="AA53" s="4"/>
      <c r="AB53" s="4"/>
      <c r="AC53" s="4"/>
      <c r="AD53" s="4"/>
      <c r="AE53" s="4"/>
      <c r="AF53" s="60"/>
      <c r="AG53" s="4"/>
      <c r="AH53" s="4"/>
      <c r="AI53" s="4"/>
      <c r="AJ53" s="4"/>
      <c r="AK53" s="4"/>
      <c r="AL53" s="35"/>
      <c r="AM53" s="4"/>
      <c r="AN53" s="4"/>
      <c r="AO53" s="4"/>
      <c r="AP53" s="4"/>
      <c r="AQ53" s="4"/>
      <c r="AR53" s="35"/>
      <c r="AS53" s="4"/>
      <c r="AT53" s="4"/>
      <c r="AU53" s="4"/>
    </row>
    <row r="54" spans="2:47" s="43" customFormat="1" x14ac:dyDescent="0.25">
      <c r="B54" s="17" t="s">
        <v>352</v>
      </c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  <c r="X54" s="4"/>
      <c r="Y54" s="4"/>
      <c r="Z54" s="35"/>
      <c r="AA54" s="4"/>
      <c r="AB54" s="4"/>
      <c r="AC54" s="4"/>
      <c r="AD54" s="4"/>
      <c r="AE54" s="4"/>
      <c r="AF54" s="35"/>
      <c r="AG54" s="4"/>
      <c r="AH54" s="4"/>
      <c r="AI54" s="4"/>
      <c r="AJ54" s="4"/>
      <c r="AK54" s="4"/>
      <c r="AL54" s="35"/>
      <c r="AM54" s="4"/>
      <c r="AN54" s="4"/>
      <c r="AO54" s="4"/>
      <c r="AP54" s="4"/>
      <c r="AQ54" s="4"/>
      <c r="AR54" s="35"/>
      <c r="AS54" s="4"/>
      <c r="AT54" s="4"/>
      <c r="AU54" s="4"/>
    </row>
    <row r="55" spans="2:47" s="43" customFormat="1" x14ac:dyDescent="0.25">
      <c r="B55" s="17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  <c r="AJ55" s="4"/>
      <c r="AK55" s="4"/>
      <c r="AL55" s="35"/>
      <c r="AM55" s="4"/>
      <c r="AN55" s="4"/>
      <c r="AO55" s="4"/>
      <c r="AP55" s="4"/>
      <c r="AQ55" s="4"/>
      <c r="AR55" s="35"/>
      <c r="AS55" s="4"/>
      <c r="AT55" s="4"/>
      <c r="AU55" s="4"/>
    </row>
    <row r="56" spans="2:47" s="43" customFormat="1" x14ac:dyDescent="0.25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  <c r="AJ56" s="4"/>
      <c r="AK56" s="4"/>
      <c r="AL56" s="35"/>
      <c r="AM56" s="4"/>
      <c r="AN56" s="4"/>
      <c r="AO56" s="4"/>
      <c r="AP56" s="4"/>
      <c r="AQ56" s="4"/>
      <c r="AR56" s="35"/>
      <c r="AS56" s="4"/>
      <c r="AT56" s="4"/>
      <c r="AU56" s="4"/>
    </row>
    <row r="57" spans="2:47" s="43" customFormat="1" x14ac:dyDescent="0.25">
      <c r="B57" s="17"/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  <c r="AJ57" s="4"/>
      <c r="AK57" s="4"/>
      <c r="AL57" s="35"/>
      <c r="AM57" s="4"/>
      <c r="AN57" s="4"/>
      <c r="AO57" s="4"/>
      <c r="AP57" s="4"/>
      <c r="AQ57" s="4"/>
      <c r="AR57" s="35"/>
      <c r="AS57" s="4"/>
      <c r="AT57" s="4"/>
      <c r="AU57" s="4"/>
    </row>
    <row r="58" spans="2:47" s="43" customFormat="1" x14ac:dyDescent="0.25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  <c r="AJ58" s="4"/>
      <c r="AK58" s="4"/>
      <c r="AL58" s="35"/>
      <c r="AM58" s="4"/>
      <c r="AN58" s="4"/>
      <c r="AO58" s="4"/>
      <c r="AP58" s="4"/>
      <c r="AQ58" s="4"/>
      <c r="AR58" s="35"/>
      <c r="AS58" s="4"/>
      <c r="AT58" s="4"/>
      <c r="AU58" s="4"/>
    </row>
    <row r="59" spans="2:47" ht="14.45" hidden="1" customHeight="1" x14ac:dyDescent="0.25">
      <c r="C59" t="s">
        <v>21</v>
      </c>
      <c r="E59" s="43"/>
    </row>
    <row r="60" spans="2:47" ht="14.45" hidden="1" customHeight="1" x14ac:dyDescent="0.25">
      <c r="C60">
        <v>2</v>
      </c>
      <c r="E60" s="43"/>
    </row>
    <row r="61" spans="2:47" ht="14.45" hidden="1" customHeight="1" x14ac:dyDescent="0.25">
      <c r="C61">
        <v>1</v>
      </c>
      <c r="E61" s="43"/>
    </row>
    <row r="62" spans="2:47" ht="14.45" hidden="1" customHeight="1" x14ac:dyDescent="0.25">
      <c r="C62">
        <v>0</v>
      </c>
      <c r="E62" s="43"/>
    </row>
    <row r="63" spans="2:47" ht="14.45" hidden="1" customHeight="1" x14ac:dyDescent="0.25">
      <c r="C63">
        <v>-1</v>
      </c>
      <c r="E63" s="43"/>
    </row>
    <row r="64" spans="2:47" ht="14.45" hidden="1" customHeight="1" x14ac:dyDescent="0.25">
      <c r="C64">
        <v>-2</v>
      </c>
      <c r="E64" s="43"/>
    </row>
    <row r="65" spans="1:9" ht="14.45" hidden="1" customHeight="1" x14ac:dyDescent="0.25">
      <c r="E65" s="43"/>
    </row>
    <row r="66" spans="1:9" ht="14.45" hidden="1" customHeight="1" x14ac:dyDescent="0.25">
      <c r="E66" s="43"/>
      <c r="F66" s="9"/>
      <c r="G66" s="9"/>
      <c r="H66" s="9"/>
    </row>
    <row r="67" spans="1:9" ht="14.45" hidden="1" customHeight="1" x14ac:dyDescent="0.25">
      <c r="A67" s="36" t="s">
        <v>77</v>
      </c>
      <c r="B67" s="47" t="s">
        <v>88</v>
      </c>
      <c r="C67" s="51" t="s">
        <v>294</v>
      </c>
      <c r="D67" s="9"/>
      <c r="E67" s="43"/>
      <c r="H67" s="13"/>
    </row>
    <row r="68" spans="1:9" ht="14.45" hidden="1" customHeight="1" x14ac:dyDescent="0.25">
      <c r="A68" s="13"/>
      <c r="B68" s="52" t="s">
        <v>109</v>
      </c>
      <c r="C68" s="47" t="s">
        <v>178</v>
      </c>
      <c r="D68" s="37"/>
      <c r="E68" s="43"/>
      <c r="H68" s="13"/>
    </row>
    <row r="69" spans="1:9" ht="14.45" hidden="1" customHeight="1" x14ac:dyDescent="0.25">
      <c r="A69" s="13"/>
      <c r="B69" s="52" t="s">
        <v>79</v>
      </c>
      <c r="C69" s="47" t="s">
        <v>179</v>
      </c>
      <c r="D69" s="37"/>
      <c r="E69" s="43"/>
      <c r="H69" s="13"/>
    </row>
    <row r="70" spans="1:9" ht="14.45" hidden="1" customHeight="1" x14ac:dyDescent="0.25">
      <c r="A70" s="13"/>
      <c r="B70" s="52" t="s">
        <v>80</v>
      </c>
      <c r="C70" s="47" t="s">
        <v>180</v>
      </c>
      <c r="D70" s="37"/>
      <c r="E70" s="43"/>
      <c r="H70" s="13"/>
    </row>
    <row r="71" spans="1:9" ht="14.45" hidden="1" customHeight="1" x14ac:dyDescent="0.25">
      <c r="A71" s="13"/>
      <c r="B71" s="52" t="s">
        <v>78</v>
      </c>
      <c r="C71" s="47" t="s">
        <v>181</v>
      </c>
      <c r="D71" s="37"/>
      <c r="E71" s="43"/>
      <c r="H71" s="13"/>
    </row>
    <row r="72" spans="1:9" ht="14.45" hidden="1" customHeight="1" x14ac:dyDescent="0.25">
      <c r="A72" s="13"/>
      <c r="B72" s="52" t="s">
        <v>110</v>
      </c>
      <c r="C72" s="52" t="s">
        <v>182</v>
      </c>
      <c r="D72" s="39"/>
      <c r="E72" s="43"/>
      <c r="H72" s="13"/>
    </row>
    <row r="73" spans="1:9" ht="14.45" hidden="1" customHeight="1" x14ac:dyDescent="0.25">
      <c r="A73" s="13"/>
      <c r="B73" s="52" t="s">
        <v>81</v>
      </c>
      <c r="C73" s="47" t="s">
        <v>183</v>
      </c>
      <c r="D73" s="37"/>
      <c r="E73" s="43"/>
      <c r="H73" s="13"/>
    </row>
    <row r="74" spans="1:9" ht="14.45" hidden="1" customHeight="1" x14ac:dyDescent="0.25">
      <c r="A74" s="13"/>
      <c r="B74" s="52" t="s">
        <v>146</v>
      </c>
      <c r="C74" s="47" t="s">
        <v>184</v>
      </c>
      <c r="D74" s="37"/>
      <c r="E74" s="43"/>
      <c r="H74" s="37"/>
      <c r="I74" s="37"/>
    </row>
    <row r="75" spans="1:9" ht="14.45" hidden="1" customHeight="1" x14ac:dyDescent="0.25">
      <c r="A75" s="37"/>
      <c r="B75" s="47"/>
      <c r="C75" s="51"/>
      <c r="D75" s="9"/>
      <c r="E75" s="43"/>
    </row>
    <row r="76" spans="1:9" ht="14.45" hidden="1" customHeight="1" x14ac:dyDescent="0.25">
      <c r="A76" s="36" t="s">
        <v>19</v>
      </c>
      <c r="B76" s="48" t="s">
        <v>88</v>
      </c>
      <c r="C76" s="53" t="s">
        <v>294</v>
      </c>
      <c r="D76" s="42"/>
      <c r="E76" s="43"/>
      <c r="H76" s="36"/>
      <c r="I76" s="37"/>
    </row>
    <row r="77" spans="1:9" ht="14.45" hidden="1" customHeight="1" x14ac:dyDescent="0.25">
      <c r="A77" s="13"/>
      <c r="B77" s="52" t="s">
        <v>111</v>
      </c>
      <c r="C77" s="47" t="s">
        <v>185</v>
      </c>
      <c r="D77" s="37"/>
      <c r="E77" s="43"/>
      <c r="H77" s="13"/>
    </row>
    <row r="78" spans="1:9" ht="14.45" hidden="1" customHeight="1" x14ac:dyDescent="0.25">
      <c r="A78" s="13"/>
      <c r="B78" s="52" t="s">
        <v>75</v>
      </c>
      <c r="C78" s="47" t="s">
        <v>186</v>
      </c>
      <c r="D78" s="37"/>
      <c r="E78" s="43"/>
      <c r="H78" s="13"/>
    </row>
    <row r="79" spans="1:9" ht="14.45" hidden="1" customHeight="1" x14ac:dyDescent="0.25">
      <c r="A79" s="13"/>
      <c r="B79" s="52" t="s">
        <v>74</v>
      </c>
      <c r="C79" s="47" t="s">
        <v>187</v>
      </c>
      <c r="D79" s="37"/>
      <c r="E79" s="43"/>
      <c r="H79" s="13"/>
    </row>
    <row r="80" spans="1:9" ht="14.45" hidden="1" customHeight="1" x14ac:dyDescent="0.25">
      <c r="A80" s="13"/>
      <c r="B80" s="52" t="s">
        <v>76</v>
      </c>
      <c r="C80" s="47" t="s">
        <v>188</v>
      </c>
      <c r="D80" s="37"/>
      <c r="E80" s="43"/>
      <c r="H80" s="13"/>
    </row>
    <row r="81" spans="1:9" ht="14.45" hidden="1" customHeight="1" x14ac:dyDescent="0.25">
      <c r="A81" s="37"/>
      <c r="B81" s="47"/>
      <c r="C81" s="51"/>
      <c r="D81" s="9"/>
      <c r="E81" s="43"/>
      <c r="H81" s="37"/>
      <c r="I81" s="37"/>
    </row>
    <row r="82" spans="1:9" ht="14.45" hidden="1" customHeight="1" x14ac:dyDescent="0.25">
      <c r="A82" s="36" t="s">
        <v>18</v>
      </c>
      <c r="B82" s="48" t="s">
        <v>88</v>
      </c>
      <c r="C82" s="53" t="s">
        <v>294</v>
      </c>
      <c r="D82" s="42"/>
      <c r="E82" s="43"/>
      <c r="H82" s="36"/>
      <c r="I82" s="37"/>
    </row>
    <row r="83" spans="1:9" ht="14.45" hidden="1" customHeight="1" x14ac:dyDescent="0.25">
      <c r="A83" s="13"/>
      <c r="B83" s="52" t="s">
        <v>61</v>
      </c>
      <c r="C83" s="47" t="s">
        <v>189</v>
      </c>
      <c r="D83" s="37"/>
      <c r="E83" s="43"/>
      <c r="H83" s="13"/>
    </row>
    <row r="84" spans="1:9" ht="14.45" hidden="1" customHeight="1" x14ac:dyDescent="0.25">
      <c r="A84" s="13"/>
      <c r="B84" s="52" t="s">
        <v>62</v>
      </c>
      <c r="C84" s="47" t="s">
        <v>190</v>
      </c>
      <c r="D84" s="37"/>
      <c r="E84" s="43"/>
      <c r="H84" s="13"/>
    </row>
    <row r="85" spans="1:9" ht="14.45" hidden="1" customHeight="1" x14ac:dyDescent="0.25">
      <c r="A85" s="13"/>
      <c r="B85" s="52" t="s">
        <v>112</v>
      </c>
      <c r="C85" s="47" t="s">
        <v>191</v>
      </c>
      <c r="D85" s="37"/>
      <c r="E85" s="43"/>
      <c r="H85" s="13"/>
    </row>
    <row r="86" spans="1:9" ht="14.45" hidden="1" customHeight="1" x14ac:dyDescent="0.25">
      <c r="A86" s="13"/>
      <c r="B86" s="52" t="s">
        <v>63</v>
      </c>
      <c r="C86" s="47" t="s">
        <v>192</v>
      </c>
      <c r="D86" s="37"/>
      <c r="E86" s="43"/>
      <c r="H86" s="13"/>
    </row>
    <row r="87" spans="1:9" ht="14.45" hidden="1" customHeight="1" x14ac:dyDescent="0.25">
      <c r="A87" s="13"/>
      <c r="B87" s="52" t="s">
        <v>113</v>
      </c>
      <c r="C87" s="47" t="s">
        <v>193</v>
      </c>
      <c r="D87" s="37"/>
      <c r="E87" s="43"/>
      <c r="H87" s="13"/>
    </row>
    <row r="88" spans="1:9" ht="14.45" hidden="1" customHeight="1" x14ac:dyDescent="0.25">
      <c r="A88" s="13"/>
      <c r="B88" s="52" t="s">
        <v>114</v>
      </c>
      <c r="C88" s="47" t="s">
        <v>194</v>
      </c>
      <c r="D88" s="37"/>
      <c r="E88" s="43"/>
      <c r="H88" s="13"/>
    </row>
    <row r="89" spans="1:9" ht="14.45" hidden="1" customHeight="1" x14ac:dyDescent="0.25">
      <c r="A89" s="13"/>
      <c r="B89" s="52" t="s">
        <v>147</v>
      </c>
      <c r="C89" s="47" t="s">
        <v>195</v>
      </c>
      <c r="D89" s="37"/>
      <c r="E89" s="43"/>
      <c r="H89" s="13"/>
    </row>
    <row r="90" spans="1:9" ht="14.45" hidden="1" customHeight="1" x14ac:dyDescent="0.25">
      <c r="A90" s="13"/>
      <c r="B90" s="52" t="s">
        <v>148</v>
      </c>
      <c r="C90" s="47" t="s">
        <v>196</v>
      </c>
      <c r="D90" s="37"/>
      <c r="E90" s="43"/>
      <c r="H90" s="13"/>
    </row>
    <row r="91" spans="1:9" ht="14.45" hidden="1" customHeight="1" x14ac:dyDescent="0.25">
      <c r="A91" s="13"/>
      <c r="B91" s="52" t="s">
        <v>115</v>
      </c>
      <c r="C91" s="52" t="s">
        <v>197</v>
      </c>
      <c r="D91" s="39"/>
      <c r="E91" s="43"/>
      <c r="H91" s="13"/>
    </row>
    <row r="92" spans="1:9" ht="14.45" hidden="1" customHeight="1" x14ac:dyDescent="0.25">
      <c r="A92" s="13"/>
      <c r="B92" s="52" t="s">
        <v>116</v>
      </c>
      <c r="C92" s="47" t="s">
        <v>198</v>
      </c>
      <c r="D92" s="37"/>
      <c r="E92" s="43"/>
      <c r="H92" s="13"/>
    </row>
    <row r="93" spans="1:9" ht="14.45" hidden="1" customHeight="1" x14ac:dyDescent="0.25">
      <c r="A93" s="13"/>
      <c r="B93" s="52" t="s">
        <v>149</v>
      </c>
      <c r="C93" s="47" t="s">
        <v>199</v>
      </c>
      <c r="D93" s="37"/>
      <c r="E93" s="43"/>
      <c r="H93" s="13"/>
    </row>
    <row r="94" spans="1:9" ht="14.45" hidden="1" customHeight="1" x14ac:dyDescent="0.25">
      <c r="A94" s="37"/>
      <c r="B94" s="47"/>
      <c r="C94" s="49"/>
      <c r="E94" s="43"/>
      <c r="H94" s="37"/>
      <c r="I94" s="37"/>
    </row>
    <row r="95" spans="1:9" ht="14.45" hidden="1" customHeight="1" x14ac:dyDescent="0.25">
      <c r="A95" s="36" t="s">
        <v>117</v>
      </c>
      <c r="B95" s="48" t="s">
        <v>88</v>
      </c>
      <c r="C95" s="53" t="s">
        <v>294</v>
      </c>
      <c r="D95" s="42"/>
      <c r="E95" s="43"/>
      <c r="H95" s="36"/>
      <c r="I95" s="37"/>
    </row>
    <row r="96" spans="1:9" ht="14.45" hidden="1" customHeight="1" x14ac:dyDescent="0.25">
      <c r="A96" s="13"/>
      <c r="B96" s="52" t="s">
        <v>51</v>
      </c>
      <c r="C96" s="47" t="s">
        <v>200</v>
      </c>
      <c r="D96" s="37"/>
      <c r="E96" s="43"/>
      <c r="H96" s="13"/>
    </row>
    <row r="97" spans="1:8" ht="14.45" hidden="1" customHeight="1" x14ac:dyDescent="0.25">
      <c r="A97" s="13"/>
      <c r="B97" s="52" t="s">
        <v>118</v>
      </c>
      <c r="C97" s="47" t="s">
        <v>201</v>
      </c>
      <c r="D97" s="37"/>
      <c r="E97" s="43"/>
      <c r="H97" s="13"/>
    </row>
    <row r="98" spans="1:8" ht="14.45" hidden="1" customHeight="1" x14ac:dyDescent="0.25">
      <c r="A98" s="13"/>
      <c r="B98" s="52" t="s">
        <v>150</v>
      </c>
      <c r="C98" s="47" t="s">
        <v>202</v>
      </c>
      <c r="D98" s="37"/>
      <c r="E98" s="43"/>
      <c r="H98" s="13"/>
    </row>
    <row r="99" spans="1:8" ht="14.45" hidden="1" customHeight="1" x14ac:dyDescent="0.25">
      <c r="A99" s="13"/>
      <c r="B99" s="52" t="s">
        <v>50</v>
      </c>
      <c r="C99" s="47" t="s">
        <v>203</v>
      </c>
      <c r="D99" s="37"/>
      <c r="E99" s="43"/>
      <c r="H99" s="13"/>
    </row>
    <row r="100" spans="1:8" ht="14.45" hidden="1" customHeight="1" x14ac:dyDescent="0.25">
      <c r="A100" s="37"/>
      <c r="B100" s="47"/>
      <c r="C100" s="47"/>
      <c r="D100" s="37"/>
      <c r="E100" s="43"/>
      <c r="H100" s="37"/>
    </row>
    <row r="101" spans="1:8" ht="14.45" hidden="1" customHeight="1" x14ac:dyDescent="0.25">
      <c r="A101" s="38" t="s">
        <v>105</v>
      </c>
      <c r="B101" s="48" t="s">
        <v>88</v>
      </c>
      <c r="C101" s="53" t="s">
        <v>294</v>
      </c>
      <c r="D101" s="42"/>
      <c r="E101" s="43"/>
      <c r="H101" s="38"/>
    </row>
    <row r="102" spans="1:8" ht="14.45" hidden="1" customHeight="1" x14ac:dyDescent="0.25">
      <c r="A102" s="13"/>
      <c r="B102" s="52" t="s">
        <v>46</v>
      </c>
      <c r="C102" s="47" t="s">
        <v>204</v>
      </c>
      <c r="D102" s="37"/>
      <c r="E102" s="43"/>
      <c r="H102" s="13"/>
    </row>
    <row r="103" spans="1:8" ht="14.45" hidden="1" customHeight="1" x14ac:dyDescent="0.25">
      <c r="A103" s="13"/>
      <c r="B103" s="52" t="s">
        <v>47</v>
      </c>
      <c r="C103" s="47" t="s">
        <v>205</v>
      </c>
      <c r="D103" s="37"/>
      <c r="E103" s="43"/>
      <c r="H103" s="13"/>
    </row>
    <row r="104" spans="1:8" ht="14.45" hidden="1" customHeight="1" x14ac:dyDescent="0.25">
      <c r="A104" s="13"/>
      <c r="B104" s="52" t="s">
        <v>49</v>
      </c>
      <c r="C104" s="47" t="s">
        <v>206</v>
      </c>
      <c r="D104" s="37"/>
      <c r="E104" s="43"/>
      <c r="H104" s="13"/>
    </row>
    <row r="105" spans="1:8" ht="14.45" hidden="1" customHeight="1" x14ac:dyDescent="0.25">
      <c r="A105" s="13"/>
      <c r="B105" s="52" t="s">
        <v>48</v>
      </c>
      <c r="C105" s="47" t="s">
        <v>207</v>
      </c>
      <c r="D105" s="37"/>
      <c r="E105" s="43"/>
      <c r="H105" s="13"/>
    </row>
    <row r="106" spans="1:8" ht="14.45" hidden="1" customHeight="1" x14ac:dyDescent="0.25">
      <c r="A106" s="13"/>
      <c r="B106" s="52" t="s">
        <v>119</v>
      </c>
      <c r="C106" s="47" t="s">
        <v>208</v>
      </c>
      <c r="D106" s="37"/>
      <c r="E106" s="43"/>
      <c r="H106" s="13"/>
    </row>
    <row r="107" spans="1:8" ht="14.45" hidden="1" customHeight="1" x14ac:dyDescent="0.25">
      <c r="A107" s="37"/>
      <c r="B107" s="47"/>
      <c r="C107" s="47"/>
      <c r="D107" s="37"/>
      <c r="E107" s="43"/>
      <c r="H107" s="37"/>
    </row>
    <row r="108" spans="1:8" ht="14.45" hidden="1" customHeight="1" x14ac:dyDescent="0.25">
      <c r="A108" s="38" t="s">
        <v>120</v>
      </c>
      <c r="B108" s="48" t="s">
        <v>88</v>
      </c>
      <c r="C108" s="53" t="s">
        <v>294</v>
      </c>
      <c r="D108" s="42"/>
      <c r="E108" s="43"/>
      <c r="H108" s="38"/>
    </row>
    <row r="109" spans="1:8" ht="14.45" hidden="1" customHeight="1" x14ac:dyDescent="0.25">
      <c r="A109" s="13"/>
      <c r="B109" s="52" t="s">
        <v>151</v>
      </c>
      <c r="C109" s="47" t="s">
        <v>209</v>
      </c>
      <c r="D109" s="37"/>
      <c r="E109" s="43"/>
      <c r="H109" s="13"/>
    </row>
    <row r="110" spans="1:8" ht="14.45" hidden="1" customHeight="1" x14ac:dyDescent="0.25">
      <c r="A110" s="13"/>
      <c r="B110" s="52" t="s">
        <v>121</v>
      </c>
      <c r="C110" s="47" t="s">
        <v>210</v>
      </c>
      <c r="D110" s="37"/>
      <c r="E110" s="43"/>
      <c r="H110" s="13"/>
    </row>
    <row r="111" spans="1:8" ht="14.45" hidden="1" customHeight="1" x14ac:dyDescent="0.25">
      <c r="A111" s="13"/>
      <c r="B111" s="52" t="s">
        <v>122</v>
      </c>
      <c r="C111" s="47" t="s">
        <v>211</v>
      </c>
      <c r="D111" s="37"/>
      <c r="E111" s="43"/>
      <c r="H111" s="13"/>
    </row>
    <row r="112" spans="1:8" ht="14.45" hidden="1" customHeight="1" x14ac:dyDescent="0.25">
      <c r="A112" s="13"/>
      <c r="B112" s="52" t="s">
        <v>123</v>
      </c>
      <c r="C112" s="47" t="s">
        <v>212</v>
      </c>
      <c r="D112" s="37"/>
      <c r="E112" s="43"/>
      <c r="H112" s="13"/>
    </row>
    <row r="113" spans="1:8" ht="14.45" hidden="1" customHeight="1" x14ac:dyDescent="0.25">
      <c r="A113" s="13"/>
      <c r="B113" s="52"/>
      <c r="C113" s="47"/>
      <c r="D113" s="37"/>
      <c r="E113" s="43"/>
      <c r="H113" s="13"/>
    </row>
    <row r="114" spans="1:8" ht="14.45" hidden="1" customHeight="1" x14ac:dyDescent="0.25">
      <c r="A114" s="38" t="s">
        <v>52</v>
      </c>
      <c r="B114" s="48" t="s">
        <v>88</v>
      </c>
      <c r="C114" s="53" t="s">
        <v>294</v>
      </c>
      <c r="D114" s="42"/>
      <c r="E114" s="43"/>
      <c r="H114" s="38"/>
    </row>
    <row r="115" spans="1:8" ht="14.45" hidden="1" customHeight="1" x14ac:dyDescent="0.25">
      <c r="A115" s="13"/>
      <c r="B115" s="52" t="s">
        <v>152</v>
      </c>
      <c r="C115" s="47" t="s">
        <v>213</v>
      </c>
      <c r="D115" s="37"/>
      <c r="E115" s="43"/>
      <c r="H115" s="13"/>
    </row>
    <row r="116" spans="1:8" ht="14.45" hidden="1" customHeight="1" x14ac:dyDescent="0.25">
      <c r="A116" s="13"/>
      <c r="B116" s="52" t="s">
        <v>124</v>
      </c>
      <c r="C116" s="47" t="s">
        <v>214</v>
      </c>
      <c r="D116" s="37"/>
      <c r="E116" s="43"/>
      <c r="H116" s="13"/>
    </row>
    <row r="117" spans="1:8" ht="14.45" hidden="1" customHeight="1" x14ac:dyDescent="0.25">
      <c r="A117" s="13"/>
      <c r="B117" s="52" t="s">
        <v>56</v>
      </c>
      <c r="C117" s="47" t="s">
        <v>215</v>
      </c>
      <c r="D117" s="37"/>
      <c r="E117" s="43"/>
      <c r="H117" s="13"/>
    </row>
    <row r="118" spans="1:8" ht="14.45" hidden="1" customHeight="1" x14ac:dyDescent="0.25">
      <c r="A118" s="13"/>
      <c r="B118" s="52" t="s">
        <v>55</v>
      </c>
      <c r="C118" s="47" t="s">
        <v>216</v>
      </c>
      <c r="D118" s="37"/>
      <c r="E118" s="43"/>
      <c r="H118" s="13"/>
    </row>
    <row r="119" spans="1:8" ht="14.45" hidden="1" customHeight="1" x14ac:dyDescent="0.25">
      <c r="A119" s="13"/>
      <c r="B119" s="52" t="s">
        <v>153</v>
      </c>
      <c r="C119" s="47" t="s">
        <v>217</v>
      </c>
      <c r="D119" s="37"/>
      <c r="E119" s="43"/>
      <c r="H119" s="13"/>
    </row>
    <row r="120" spans="1:8" ht="14.45" hidden="1" customHeight="1" x14ac:dyDescent="0.25">
      <c r="A120" s="13"/>
      <c r="B120" s="52" t="s">
        <v>53</v>
      </c>
      <c r="C120" s="47" t="s">
        <v>218</v>
      </c>
      <c r="D120" s="37"/>
      <c r="E120" s="43"/>
      <c r="H120" s="13"/>
    </row>
    <row r="121" spans="1:8" ht="14.45" hidden="1" customHeight="1" x14ac:dyDescent="0.25">
      <c r="A121" s="13"/>
      <c r="B121" s="52" t="s">
        <v>125</v>
      </c>
      <c r="C121" s="47" t="s">
        <v>219</v>
      </c>
      <c r="D121" s="37"/>
      <c r="E121" s="43"/>
      <c r="H121" s="13"/>
    </row>
    <row r="122" spans="1:8" ht="14.45" hidden="1" customHeight="1" x14ac:dyDescent="0.25">
      <c r="A122" s="13"/>
      <c r="B122" s="52" t="s">
        <v>54</v>
      </c>
      <c r="C122" s="47" t="s">
        <v>220</v>
      </c>
      <c r="D122" s="37"/>
      <c r="E122" s="43"/>
      <c r="H122" s="13"/>
    </row>
    <row r="123" spans="1:8" ht="14.45" hidden="1" customHeight="1" x14ac:dyDescent="0.25">
      <c r="A123" s="37"/>
      <c r="B123" s="47"/>
      <c r="C123" s="47"/>
      <c r="D123" s="37"/>
      <c r="E123" s="43"/>
      <c r="H123" s="37"/>
    </row>
    <row r="124" spans="1:8" ht="14.45" hidden="1" customHeight="1" x14ac:dyDescent="0.25">
      <c r="A124" s="38" t="s">
        <v>57</v>
      </c>
      <c r="B124" s="48" t="s">
        <v>88</v>
      </c>
      <c r="C124" s="53" t="s">
        <v>294</v>
      </c>
      <c r="D124" s="42"/>
      <c r="E124" s="43"/>
      <c r="H124" s="38"/>
    </row>
    <row r="125" spans="1:8" ht="14.45" hidden="1" customHeight="1" x14ac:dyDescent="0.25">
      <c r="A125" s="13"/>
      <c r="B125" s="52" t="s">
        <v>59</v>
      </c>
      <c r="C125" s="47" t="s">
        <v>221</v>
      </c>
      <c r="D125" s="37"/>
      <c r="E125" s="43"/>
      <c r="H125" s="13"/>
    </row>
    <row r="126" spans="1:8" ht="14.45" hidden="1" customHeight="1" x14ac:dyDescent="0.25">
      <c r="A126" s="13"/>
      <c r="B126" s="52" t="s">
        <v>58</v>
      </c>
      <c r="C126" s="47" t="s">
        <v>222</v>
      </c>
      <c r="D126" s="37"/>
      <c r="E126" s="43"/>
      <c r="H126" s="13"/>
    </row>
    <row r="127" spans="1:8" ht="14.45" hidden="1" customHeight="1" x14ac:dyDescent="0.25">
      <c r="A127" s="13"/>
      <c r="B127" s="52" t="s">
        <v>154</v>
      </c>
      <c r="C127" s="47" t="s">
        <v>223</v>
      </c>
      <c r="D127" s="37"/>
      <c r="E127" s="43"/>
      <c r="H127" s="13"/>
    </row>
    <row r="128" spans="1:8" ht="14.45" hidden="1" customHeight="1" x14ac:dyDescent="0.25">
      <c r="A128" s="13"/>
      <c r="B128" s="52" t="s">
        <v>155</v>
      </c>
      <c r="C128" s="47" t="s">
        <v>224</v>
      </c>
      <c r="D128" s="37"/>
      <c r="E128" s="43"/>
      <c r="H128" s="13"/>
    </row>
    <row r="129" spans="1:8" ht="14.45" hidden="1" customHeight="1" x14ac:dyDescent="0.25">
      <c r="A129" s="13"/>
      <c r="B129" s="52" t="s">
        <v>60</v>
      </c>
      <c r="C129" s="47" t="s">
        <v>225</v>
      </c>
      <c r="D129" s="37"/>
      <c r="E129" s="43"/>
      <c r="H129" s="13"/>
    </row>
    <row r="130" spans="1:8" ht="14.45" hidden="1" customHeight="1" x14ac:dyDescent="0.25">
      <c r="A130" s="37"/>
      <c r="B130" s="47"/>
      <c r="C130" s="47"/>
      <c r="D130" s="37"/>
      <c r="E130" s="43"/>
      <c r="H130" s="37"/>
    </row>
    <row r="131" spans="1:8" ht="14.45" hidden="1" customHeight="1" x14ac:dyDescent="0.25">
      <c r="A131" s="36" t="s">
        <v>126</v>
      </c>
      <c r="B131" s="48" t="s">
        <v>88</v>
      </c>
      <c r="C131" s="53" t="s">
        <v>294</v>
      </c>
      <c r="D131" s="42"/>
      <c r="E131" s="43"/>
      <c r="H131" s="36"/>
    </row>
    <row r="132" spans="1:8" ht="14.45" hidden="1" customHeight="1" x14ac:dyDescent="0.25">
      <c r="A132" s="13"/>
      <c r="B132" s="52" t="s">
        <v>156</v>
      </c>
      <c r="C132" s="47" t="s">
        <v>226</v>
      </c>
      <c r="D132" s="37"/>
      <c r="E132" s="43"/>
      <c r="H132" s="13"/>
    </row>
    <row r="133" spans="1:8" ht="14.45" hidden="1" customHeight="1" x14ac:dyDescent="0.25">
      <c r="A133" s="13"/>
      <c r="B133" s="52" t="s">
        <v>157</v>
      </c>
      <c r="C133" s="47" t="s">
        <v>227</v>
      </c>
      <c r="D133" s="37"/>
      <c r="E133" s="43"/>
      <c r="H133" s="13"/>
    </row>
    <row r="134" spans="1:8" ht="14.45" hidden="1" customHeight="1" x14ac:dyDescent="0.25">
      <c r="A134" s="13"/>
      <c r="B134" s="52" t="s">
        <v>158</v>
      </c>
      <c r="C134" s="47" t="s">
        <v>228</v>
      </c>
      <c r="D134" s="37"/>
      <c r="E134" s="43"/>
      <c r="H134" s="13"/>
    </row>
    <row r="135" spans="1:8" ht="14.45" hidden="1" customHeight="1" x14ac:dyDescent="0.25">
      <c r="A135" s="13"/>
      <c r="B135" s="52" t="s">
        <v>42</v>
      </c>
      <c r="C135" s="47" t="s">
        <v>229</v>
      </c>
      <c r="D135" s="37"/>
      <c r="E135" s="43"/>
      <c r="H135" s="13"/>
    </row>
    <row r="136" spans="1:8" ht="14.45" hidden="1" customHeight="1" x14ac:dyDescent="0.25">
      <c r="A136" s="13"/>
      <c r="B136" s="52" t="s">
        <v>127</v>
      </c>
      <c r="C136" s="47" t="s">
        <v>230</v>
      </c>
      <c r="D136" s="37"/>
      <c r="E136" s="43"/>
      <c r="H136" s="13"/>
    </row>
    <row r="137" spans="1:8" ht="14.45" hidden="1" customHeight="1" x14ac:dyDescent="0.25">
      <c r="A137" s="13"/>
      <c r="B137" s="52" t="s">
        <v>128</v>
      </c>
      <c r="C137" s="47" t="s">
        <v>231</v>
      </c>
      <c r="D137" s="37"/>
      <c r="E137" s="43"/>
      <c r="H137" s="13"/>
    </row>
    <row r="138" spans="1:8" ht="14.45" hidden="1" customHeight="1" x14ac:dyDescent="0.25">
      <c r="A138" s="13"/>
      <c r="B138" s="52" t="s">
        <v>41</v>
      </c>
      <c r="C138" s="47" t="s">
        <v>232</v>
      </c>
      <c r="D138" s="37"/>
      <c r="E138" s="43"/>
      <c r="H138" s="13"/>
    </row>
    <row r="139" spans="1:8" ht="14.45" hidden="1" customHeight="1" x14ac:dyDescent="0.25">
      <c r="A139" s="13"/>
      <c r="B139" s="52" t="s">
        <v>129</v>
      </c>
      <c r="C139" s="47" t="s">
        <v>233</v>
      </c>
      <c r="D139" s="37"/>
      <c r="E139" s="43"/>
      <c r="H139" s="13"/>
    </row>
    <row r="140" spans="1:8" ht="14.45" hidden="1" customHeight="1" x14ac:dyDescent="0.25">
      <c r="A140" s="37"/>
      <c r="B140" s="47"/>
      <c r="C140" s="47"/>
      <c r="D140" s="37"/>
      <c r="E140" s="43"/>
      <c r="H140" s="37"/>
    </row>
    <row r="141" spans="1:8" ht="14.45" hidden="1" customHeight="1" x14ac:dyDescent="0.25">
      <c r="A141" s="38" t="s">
        <v>130</v>
      </c>
      <c r="B141" s="48" t="s">
        <v>88</v>
      </c>
      <c r="C141" s="53" t="s">
        <v>294</v>
      </c>
      <c r="D141" s="42"/>
      <c r="E141" s="43"/>
      <c r="H141" s="38"/>
    </row>
    <row r="142" spans="1:8" ht="14.45" hidden="1" customHeight="1" x14ac:dyDescent="0.25">
      <c r="A142" s="13"/>
      <c r="B142" s="52" t="s">
        <v>131</v>
      </c>
      <c r="C142" s="47" t="s">
        <v>234</v>
      </c>
      <c r="D142" s="37"/>
      <c r="E142" s="43"/>
      <c r="H142" s="13"/>
    </row>
    <row r="143" spans="1:8" ht="14.45" hidden="1" customHeight="1" x14ac:dyDescent="0.25">
      <c r="A143" s="13"/>
      <c r="B143" s="52" t="s">
        <v>159</v>
      </c>
      <c r="C143" s="47" t="s">
        <v>235</v>
      </c>
      <c r="D143" s="37"/>
      <c r="E143" s="43"/>
      <c r="H143" s="13"/>
    </row>
    <row r="144" spans="1:8" ht="14.45" hidden="1" customHeight="1" x14ac:dyDescent="0.25">
      <c r="A144" s="13"/>
      <c r="B144" s="52" t="s">
        <v>160</v>
      </c>
      <c r="C144" s="47" t="s">
        <v>236</v>
      </c>
      <c r="D144" s="37"/>
      <c r="E144" s="43"/>
      <c r="H144" s="13"/>
    </row>
    <row r="145" spans="1:8" ht="14.45" hidden="1" customHeight="1" x14ac:dyDescent="0.25">
      <c r="A145" s="13"/>
      <c r="B145" s="52" t="s">
        <v>161</v>
      </c>
      <c r="C145" s="47" t="s">
        <v>237</v>
      </c>
      <c r="D145" s="37"/>
      <c r="E145" s="43"/>
      <c r="H145" s="13"/>
    </row>
    <row r="146" spans="1:8" ht="14.45" hidden="1" customHeight="1" x14ac:dyDescent="0.25">
      <c r="A146" s="13"/>
      <c r="B146" s="52" t="s">
        <v>162</v>
      </c>
      <c r="C146" s="47" t="s">
        <v>238</v>
      </c>
      <c r="D146" s="37"/>
      <c r="E146" s="43"/>
      <c r="H146" s="13"/>
    </row>
    <row r="147" spans="1:8" ht="14.45" hidden="1" customHeight="1" x14ac:dyDescent="0.25">
      <c r="A147" s="13"/>
      <c r="B147" s="52" t="s">
        <v>163</v>
      </c>
      <c r="C147" s="52" t="s">
        <v>239</v>
      </c>
      <c r="D147" s="39"/>
      <c r="E147" s="43"/>
      <c r="H147" s="13"/>
    </row>
    <row r="148" spans="1:8" ht="14.45" hidden="1" customHeight="1" x14ac:dyDescent="0.25">
      <c r="A148" s="13"/>
      <c r="B148" s="52" t="s">
        <v>164</v>
      </c>
      <c r="C148" s="52" t="s">
        <v>240</v>
      </c>
      <c r="D148" s="39"/>
      <c r="E148" s="43"/>
      <c r="H148" s="13"/>
    </row>
    <row r="149" spans="1:8" ht="14.45" hidden="1" customHeight="1" x14ac:dyDescent="0.25">
      <c r="A149" s="13"/>
      <c r="B149" s="52" t="s">
        <v>43</v>
      </c>
      <c r="C149" s="47" t="s">
        <v>241</v>
      </c>
      <c r="D149" s="37"/>
      <c r="E149" s="43"/>
      <c r="H149" s="13"/>
    </row>
    <row r="150" spans="1:8" ht="14.45" hidden="1" customHeight="1" x14ac:dyDescent="0.25">
      <c r="A150" s="13"/>
      <c r="B150" s="52" t="s">
        <v>165</v>
      </c>
      <c r="C150" s="52" t="s">
        <v>242</v>
      </c>
      <c r="D150" s="39"/>
      <c r="E150" s="43"/>
      <c r="H150" s="13"/>
    </row>
    <row r="151" spans="1:8" ht="14.45" hidden="1" customHeight="1" x14ac:dyDescent="0.25">
      <c r="A151" s="13"/>
      <c r="B151" s="52" t="s">
        <v>166</v>
      </c>
      <c r="C151" s="52" t="s">
        <v>243</v>
      </c>
      <c r="D151" s="39"/>
      <c r="E151" s="43"/>
      <c r="H151" s="13"/>
    </row>
    <row r="152" spans="1:8" ht="14.45" hidden="1" customHeight="1" x14ac:dyDescent="0.25">
      <c r="A152" s="13"/>
      <c r="B152" s="52" t="s">
        <v>44</v>
      </c>
      <c r="C152" s="47" t="s">
        <v>244</v>
      </c>
      <c r="D152" s="37"/>
      <c r="E152" s="43"/>
      <c r="H152" s="13"/>
    </row>
    <row r="153" spans="1:8" ht="14.45" hidden="1" customHeight="1" x14ac:dyDescent="0.25">
      <c r="A153" s="13"/>
      <c r="B153" s="52" t="s">
        <v>45</v>
      </c>
      <c r="C153" s="52" t="s">
        <v>245</v>
      </c>
      <c r="D153" s="39"/>
      <c r="E153" s="43"/>
      <c r="H153" s="13"/>
    </row>
    <row r="154" spans="1:8" ht="14.45" hidden="1" customHeight="1" x14ac:dyDescent="0.25">
      <c r="A154" s="37"/>
      <c r="B154" s="47"/>
      <c r="C154" s="47"/>
      <c r="D154" s="37"/>
      <c r="E154" s="43"/>
      <c r="H154" s="37"/>
    </row>
    <row r="155" spans="1:8" ht="14.45" hidden="1" customHeight="1" x14ac:dyDescent="0.25">
      <c r="A155" s="36" t="s">
        <v>20</v>
      </c>
      <c r="B155" s="48" t="s">
        <v>88</v>
      </c>
      <c r="C155" s="53" t="s">
        <v>294</v>
      </c>
      <c r="D155" s="42"/>
      <c r="E155" s="43"/>
      <c r="H155" s="36"/>
    </row>
    <row r="156" spans="1:8" ht="14.45" hidden="1" customHeight="1" x14ac:dyDescent="0.25">
      <c r="A156" s="13"/>
      <c r="B156" s="52" t="s">
        <v>64</v>
      </c>
      <c r="C156" s="47" t="s">
        <v>246</v>
      </c>
      <c r="D156" s="37"/>
      <c r="E156" s="43"/>
      <c r="H156" s="13"/>
    </row>
    <row r="157" spans="1:8" ht="14.45" hidden="1" customHeight="1" x14ac:dyDescent="0.25">
      <c r="A157" s="13"/>
      <c r="B157" s="52" t="s">
        <v>167</v>
      </c>
      <c r="C157" s="47" t="s">
        <v>247</v>
      </c>
      <c r="D157" s="37"/>
      <c r="E157" s="43"/>
      <c r="H157" s="13"/>
    </row>
    <row r="158" spans="1:8" ht="14.45" hidden="1" customHeight="1" x14ac:dyDescent="0.25">
      <c r="A158" s="13"/>
      <c r="B158" s="52" t="s">
        <v>168</v>
      </c>
      <c r="C158" s="47" t="s">
        <v>248</v>
      </c>
      <c r="D158" s="37"/>
      <c r="E158" s="43"/>
      <c r="H158" s="13"/>
    </row>
    <row r="159" spans="1:8" ht="14.45" hidden="1" customHeight="1" x14ac:dyDescent="0.25">
      <c r="A159" s="13"/>
      <c r="B159" s="52" t="s">
        <v>65</v>
      </c>
      <c r="C159" s="47" t="s">
        <v>249</v>
      </c>
      <c r="D159" s="37"/>
      <c r="E159" s="43"/>
      <c r="H159" s="13"/>
    </row>
    <row r="160" spans="1:8" ht="14.45" hidden="1" customHeight="1" x14ac:dyDescent="0.25">
      <c r="A160" s="13"/>
      <c r="B160" s="52" t="s">
        <v>132</v>
      </c>
      <c r="C160" s="47" t="s">
        <v>250</v>
      </c>
      <c r="D160" s="37"/>
      <c r="E160" s="43"/>
      <c r="H160" s="13"/>
    </row>
    <row r="161" spans="1:8" ht="14.45" hidden="1" customHeight="1" x14ac:dyDescent="0.25">
      <c r="A161" s="13"/>
      <c r="B161" s="52" t="s">
        <v>68</v>
      </c>
      <c r="C161" s="47" t="s">
        <v>251</v>
      </c>
      <c r="D161" s="37"/>
      <c r="E161" s="43"/>
      <c r="H161" s="13"/>
    </row>
    <row r="162" spans="1:8" ht="14.45" hidden="1" customHeight="1" x14ac:dyDescent="0.25">
      <c r="A162" s="13"/>
      <c r="B162" s="52" t="s">
        <v>169</v>
      </c>
      <c r="C162" s="47" t="s">
        <v>252</v>
      </c>
      <c r="D162" s="37"/>
      <c r="E162" s="43"/>
      <c r="H162" s="13"/>
    </row>
    <row r="163" spans="1:8" ht="14.45" hidden="1" customHeight="1" x14ac:dyDescent="0.25">
      <c r="A163" s="13"/>
      <c r="B163" s="52"/>
      <c r="C163" s="47"/>
      <c r="D163" s="37"/>
      <c r="E163" s="43"/>
      <c r="H163" s="13"/>
    </row>
    <row r="164" spans="1:8" ht="14.45" hidden="1" customHeight="1" x14ac:dyDescent="0.25">
      <c r="A164" s="38" t="s">
        <v>108</v>
      </c>
      <c r="B164" s="48" t="s">
        <v>88</v>
      </c>
      <c r="C164" s="53" t="s">
        <v>294</v>
      </c>
      <c r="D164" s="42"/>
      <c r="E164" s="43"/>
      <c r="H164" s="38"/>
    </row>
    <row r="165" spans="1:8" ht="14.45" hidden="1" customHeight="1" x14ac:dyDescent="0.25">
      <c r="A165" s="13"/>
      <c r="B165" s="52" t="s">
        <v>66</v>
      </c>
      <c r="C165" s="47" t="s">
        <v>253</v>
      </c>
      <c r="D165" s="37"/>
      <c r="E165" s="43"/>
      <c r="H165" s="13"/>
    </row>
    <row r="166" spans="1:8" ht="14.45" hidden="1" customHeight="1" x14ac:dyDescent="0.25">
      <c r="A166" s="13"/>
      <c r="B166" s="52" t="s">
        <v>67</v>
      </c>
      <c r="C166" s="47" t="s">
        <v>254</v>
      </c>
      <c r="D166" s="37"/>
      <c r="E166" s="43"/>
      <c r="H166" s="13"/>
    </row>
    <row r="167" spans="1:8" ht="14.45" hidden="1" customHeight="1" x14ac:dyDescent="0.25">
      <c r="A167" s="13"/>
      <c r="B167" s="52" t="s">
        <v>133</v>
      </c>
      <c r="C167" s="47" t="s">
        <v>255</v>
      </c>
      <c r="D167" s="37"/>
      <c r="E167" s="43"/>
      <c r="H167" s="13"/>
    </row>
    <row r="168" spans="1:8" ht="14.45" hidden="1" customHeight="1" x14ac:dyDescent="0.25">
      <c r="A168" s="13"/>
      <c r="B168" s="52" t="s">
        <v>170</v>
      </c>
      <c r="C168" s="47" t="s">
        <v>256</v>
      </c>
      <c r="D168" s="37"/>
      <c r="E168" s="43"/>
      <c r="H168" s="13"/>
    </row>
    <row r="169" spans="1:8" ht="14.45" hidden="1" customHeight="1" x14ac:dyDescent="0.25">
      <c r="A169" s="13"/>
      <c r="B169" s="52" t="s">
        <v>70</v>
      </c>
      <c r="C169" s="47" t="s">
        <v>257</v>
      </c>
      <c r="D169" s="37"/>
      <c r="E169" s="43"/>
      <c r="H169" s="13"/>
    </row>
    <row r="170" spans="1:8" ht="14.45" hidden="1" customHeight="1" x14ac:dyDescent="0.25">
      <c r="A170" s="13"/>
      <c r="B170" s="52" t="s">
        <v>69</v>
      </c>
      <c r="C170" s="47" t="s">
        <v>258</v>
      </c>
      <c r="D170" s="37"/>
      <c r="E170" s="43"/>
      <c r="H170" s="13"/>
    </row>
    <row r="171" spans="1:8" ht="14.45" hidden="1" customHeight="1" x14ac:dyDescent="0.25">
      <c r="A171" s="13"/>
      <c r="B171" s="52" t="s">
        <v>134</v>
      </c>
      <c r="C171" s="47" t="s">
        <v>259</v>
      </c>
      <c r="D171" s="37"/>
      <c r="E171" s="43"/>
      <c r="H171" s="13"/>
    </row>
    <row r="172" spans="1:8" ht="14.45" hidden="1" customHeight="1" x14ac:dyDescent="0.25">
      <c r="A172" s="13"/>
      <c r="B172" s="52" t="s">
        <v>171</v>
      </c>
      <c r="C172" s="47" t="s">
        <v>260</v>
      </c>
      <c r="D172" s="37"/>
      <c r="E172" s="43"/>
      <c r="H172" s="13"/>
    </row>
    <row r="173" spans="1:8" ht="14.45" hidden="1" customHeight="1" x14ac:dyDescent="0.25">
      <c r="A173" s="37"/>
      <c r="B173" s="47"/>
      <c r="C173" s="47"/>
      <c r="D173" s="37"/>
      <c r="E173" s="43"/>
      <c r="H173" s="37"/>
    </row>
    <row r="174" spans="1:8" ht="14.45" hidden="1" customHeight="1" x14ac:dyDescent="0.25">
      <c r="A174" s="38" t="s">
        <v>107</v>
      </c>
      <c r="B174" s="48" t="s">
        <v>88</v>
      </c>
      <c r="C174" s="53" t="s">
        <v>294</v>
      </c>
      <c r="D174" s="42"/>
      <c r="E174" s="43"/>
      <c r="H174" s="38"/>
    </row>
    <row r="175" spans="1:8" ht="14.45" hidden="1" customHeight="1" x14ac:dyDescent="0.25">
      <c r="A175" s="13"/>
      <c r="B175" s="52" t="s">
        <v>135</v>
      </c>
      <c r="C175" s="47" t="s">
        <v>261</v>
      </c>
      <c r="D175" s="37"/>
      <c r="E175" s="43"/>
      <c r="H175" s="13"/>
    </row>
    <row r="176" spans="1:8" ht="14.45" hidden="1" customHeight="1" x14ac:dyDescent="0.25">
      <c r="A176" s="13"/>
      <c r="B176" s="52" t="s">
        <v>71</v>
      </c>
      <c r="C176" s="47" t="s">
        <v>262</v>
      </c>
      <c r="D176" s="37"/>
      <c r="E176" s="43"/>
      <c r="H176" s="13"/>
    </row>
    <row r="177" spans="1:8" ht="14.45" hidden="1" customHeight="1" x14ac:dyDescent="0.25">
      <c r="A177" s="13"/>
      <c r="B177" s="52" t="s">
        <v>72</v>
      </c>
      <c r="C177" s="47" t="s">
        <v>263</v>
      </c>
      <c r="D177" s="37"/>
      <c r="E177" s="43"/>
      <c r="H177" s="13"/>
    </row>
    <row r="178" spans="1:8" ht="14.45" hidden="1" customHeight="1" x14ac:dyDescent="0.25">
      <c r="A178" s="13"/>
      <c r="B178" s="52" t="s">
        <v>136</v>
      </c>
      <c r="C178" s="47" t="s">
        <v>264</v>
      </c>
      <c r="D178" s="37"/>
      <c r="E178" s="43"/>
      <c r="H178" s="13"/>
    </row>
    <row r="179" spans="1:8" ht="14.45" hidden="1" customHeight="1" x14ac:dyDescent="0.25">
      <c r="A179" s="13"/>
      <c r="B179" s="47"/>
      <c r="C179" s="47"/>
      <c r="D179" s="37"/>
      <c r="E179" s="43"/>
      <c r="H179" s="13"/>
    </row>
    <row r="180" spans="1:8" ht="14.45" hidden="1" customHeight="1" x14ac:dyDescent="0.25">
      <c r="A180" s="38" t="s">
        <v>106</v>
      </c>
      <c r="B180" s="48" t="s">
        <v>88</v>
      </c>
      <c r="C180" s="53" t="s">
        <v>294</v>
      </c>
      <c r="D180" s="42"/>
      <c r="E180" s="43"/>
      <c r="H180" s="38"/>
    </row>
    <row r="181" spans="1:8" ht="14.45" hidden="1" customHeight="1" x14ac:dyDescent="0.25">
      <c r="A181" s="13"/>
      <c r="B181" s="52" t="s">
        <v>172</v>
      </c>
      <c r="C181" s="47" t="s">
        <v>265</v>
      </c>
      <c r="D181" s="37"/>
      <c r="E181" s="43"/>
      <c r="H181" s="13"/>
    </row>
    <row r="182" spans="1:8" ht="14.45" hidden="1" customHeight="1" x14ac:dyDescent="0.25">
      <c r="A182" s="13"/>
      <c r="B182" s="52" t="s">
        <v>73</v>
      </c>
      <c r="C182" s="47" t="s">
        <v>266</v>
      </c>
      <c r="D182" s="37"/>
      <c r="E182" s="43"/>
      <c r="H182" s="13"/>
    </row>
    <row r="183" spans="1:8" ht="14.45" hidden="1" customHeight="1" x14ac:dyDescent="0.25">
      <c r="A183" s="13"/>
      <c r="B183" s="52" t="s">
        <v>137</v>
      </c>
      <c r="C183" s="47" t="s">
        <v>267</v>
      </c>
      <c r="D183" s="37"/>
      <c r="E183" s="43"/>
      <c r="H183" s="13"/>
    </row>
    <row r="184" spans="1:8" ht="14.45" hidden="1" customHeight="1" x14ac:dyDescent="0.25">
      <c r="A184" s="37"/>
      <c r="B184" s="47"/>
      <c r="C184" s="47"/>
      <c r="D184" s="37"/>
      <c r="E184" s="43"/>
      <c r="H184" s="37"/>
    </row>
    <row r="185" spans="1:8" ht="14.45" hidden="1" customHeight="1" x14ac:dyDescent="0.25">
      <c r="A185" s="38" t="s">
        <v>37</v>
      </c>
      <c r="B185" s="48" t="s">
        <v>88</v>
      </c>
      <c r="C185" s="53" t="s">
        <v>294</v>
      </c>
      <c r="D185" s="42"/>
      <c r="E185" s="43"/>
      <c r="H185" s="38"/>
    </row>
    <row r="186" spans="1:8" ht="14.45" hidden="1" customHeight="1" x14ac:dyDescent="0.25">
      <c r="A186" s="13"/>
      <c r="B186" s="52" t="s">
        <v>138</v>
      </c>
      <c r="C186" s="47" t="s">
        <v>268</v>
      </c>
      <c r="D186" s="37"/>
      <c r="E186" s="43"/>
      <c r="H186" s="13"/>
    </row>
    <row r="187" spans="1:8" ht="14.45" hidden="1" customHeight="1" x14ac:dyDescent="0.25">
      <c r="A187" s="13"/>
      <c r="B187" s="52" t="s">
        <v>38</v>
      </c>
      <c r="C187" s="47" t="s">
        <v>269</v>
      </c>
      <c r="D187" s="37"/>
      <c r="E187" s="43"/>
      <c r="H187" s="13"/>
    </row>
    <row r="188" spans="1:8" ht="14.45" hidden="1" customHeight="1" x14ac:dyDescent="0.25">
      <c r="A188" s="13"/>
      <c r="B188" s="52" t="s">
        <v>39</v>
      </c>
      <c r="C188" s="47" t="s">
        <v>270</v>
      </c>
      <c r="D188" s="37"/>
      <c r="E188" s="43"/>
      <c r="H188" s="13"/>
    </row>
    <row r="189" spans="1:8" ht="14.45" hidden="1" customHeight="1" x14ac:dyDescent="0.25">
      <c r="A189" s="13"/>
      <c r="B189" s="52" t="s">
        <v>139</v>
      </c>
      <c r="C189" s="47" t="s">
        <v>271</v>
      </c>
      <c r="D189" s="37"/>
      <c r="E189" s="43"/>
      <c r="H189" s="13"/>
    </row>
    <row r="190" spans="1:8" ht="14.45" hidden="1" customHeight="1" x14ac:dyDescent="0.25">
      <c r="A190" s="13"/>
      <c r="B190" s="52" t="s">
        <v>40</v>
      </c>
      <c r="C190" s="47" t="s">
        <v>272</v>
      </c>
      <c r="D190" s="37"/>
      <c r="E190" s="43"/>
      <c r="H190" s="13"/>
    </row>
    <row r="191" spans="1:8" ht="14.45" hidden="1" customHeight="1" x14ac:dyDescent="0.25">
      <c r="A191" s="13"/>
      <c r="B191" s="52" t="s">
        <v>140</v>
      </c>
      <c r="C191" s="47" t="s">
        <v>273</v>
      </c>
      <c r="D191" s="37"/>
      <c r="E191" s="43"/>
      <c r="H191" s="13"/>
    </row>
    <row r="192" spans="1:8" ht="14.45" hidden="1" customHeight="1" x14ac:dyDescent="0.25">
      <c r="A192" s="13"/>
      <c r="B192" s="52" t="s">
        <v>141</v>
      </c>
      <c r="C192" s="47" t="s">
        <v>274</v>
      </c>
      <c r="D192" s="37"/>
      <c r="E192" s="43"/>
      <c r="H192" s="13"/>
    </row>
    <row r="193" spans="1:8" ht="14.45" hidden="1" customHeight="1" x14ac:dyDescent="0.25">
      <c r="A193" s="37"/>
      <c r="B193" s="47"/>
      <c r="C193" s="47"/>
      <c r="D193" s="37"/>
      <c r="E193" s="43"/>
      <c r="H193" s="37"/>
    </row>
    <row r="194" spans="1:8" ht="14.45" hidden="1" customHeight="1" x14ac:dyDescent="0.25">
      <c r="A194" s="38" t="s">
        <v>22</v>
      </c>
      <c r="B194" s="48" t="s">
        <v>88</v>
      </c>
      <c r="C194" s="53" t="s">
        <v>294</v>
      </c>
      <c r="D194" s="42"/>
      <c r="E194" s="43"/>
      <c r="H194" s="38"/>
    </row>
    <row r="195" spans="1:8" ht="14.45" hidden="1" customHeight="1" x14ac:dyDescent="0.25">
      <c r="A195" s="13"/>
      <c r="B195" s="52" t="s">
        <v>23</v>
      </c>
      <c r="C195" s="47" t="s">
        <v>275</v>
      </c>
      <c r="D195" s="37"/>
      <c r="E195" s="43"/>
      <c r="H195" s="13"/>
    </row>
    <row r="196" spans="1:8" ht="14.45" hidden="1" customHeight="1" x14ac:dyDescent="0.25">
      <c r="A196" s="13"/>
      <c r="B196" s="52" t="s">
        <v>25</v>
      </c>
      <c r="C196" s="47" t="s">
        <v>276</v>
      </c>
      <c r="D196" s="37"/>
      <c r="E196" s="43"/>
      <c r="H196" s="13"/>
    </row>
    <row r="197" spans="1:8" ht="14.45" hidden="1" customHeight="1" x14ac:dyDescent="0.25">
      <c r="A197" s="13"/>
      <c r="B197" s="52" t="s">
        <v>142</v>
      </c>
      <c r="C197" s="47" t="s">
        <v>277</v>
      </c>
      <c r="D197" s="37"/>
      <c r="E197" s="43"/>
      <c r="H197" s="13"/>
    </row>
    <row r="198" spans="1:8" ht="14.45" hidden="1" customHeight="1" x14ac:dyDescent="0.25">
      <c r="A198" s="13"/>
      <c r="B198" s="52" t="s">
        <v>24</v>
      </c>
      <c r="C198" s="47" t="s">
        <v>278</v>
      </c>
      <c r="D198" s="37"/>
      <c r="E198" s="43"/>
      <c r="H198" s="13"/>
    </row>
    <row r="199" spans="1:8" ht="14.45" hidden="1" customHeight="1" x14ac:dyDescent="0.25">
      <c r="A199" s="13"/>
      <c r="B199" s="54" t="s">
        <v>173</v>
      </c>
      <c r="C199" s="50" t="s">
        <v>279</v>
      </c>
      <c r="D199" s="13"/>
      <c r="E199" s="43"/>
      <c r="H199" s="13"/>
    </row>
    <row r="200" spans="1:8" ht="14.45" hidden="1" customHeight="1" x14ac:dyDescent="0.25">
      <c r="A200" s="13"/>
      <c r="B200" s="52" t="s">
        <v>26</v>
      </c>
      <c r="C200" s="47" t="s">
        <v>280</v>
      </c>
      <c r="D200" s="37"/>
      <c r="E200" s="43"/>
      <c r="H200" s="13"/>
    </row>
    <row r="201" spans="1:8" ht="14.45" hidden="1" customHeight="1" x14ac:dyDescent="0.25">
      <c r="A201" s="13"/>
      <c r="B201" s="52" t="s">
        <v>27</v>
      </c>
      <c r="C201" s="47" t="s">
        <v>281</v>
      </c>
      <c r="D201" s="37"/>
      <c r="E201" s="43"/>
      <c r="H201" s="13"/>
    </row>
    <row r="202" spans="1:8" ht="14.45" hidden="1" customHeight="1" x14ac:dyDescent="0.25">
      <c r="A202" s="37"/>
      <c r="B202" s="47"/>
      <c r="C202" s="47"/>
      <c r="D202" s="37"/>
      <c r="E202" s="43"/>
      <c r="H202" s="37"/>
    </row>
    <row r="203" spans="1:8" ht="14.45" hidden="1" customHeight="1" x14ac:dyDescent="0.25">
      <c r="A203" s="38" t="s">
        <v>143</v>
      </c>
      <c r="B203" s="48" t="s">
        <v>88</v>
      </c>
      <c r="C203" s="53" t="s">
        <v>294</v>
      </c>
      <c r="D203" s="42"/>
      <c r="E203" s="43"/>
      <c r="H203" s="38"/>
    </row>
    <row r="204" spans="1:8" ht="14.45" hidden="1" customHeight="1" x14ac:dyDescent="0.25">
      <c r="A204" s="13"/>
      <c r="B204" s="52" t="s">
        <v>29</v>
      </c>
      <c r="C204" s="52" t="s">
        <v>282</v>
      </c>
      <c r="D204" s="39"/>
      <c r="E204" s="43"/>
      <c r="H204" s="13"/>
    </row>
    <row r="205" spans="1:8" ht="14.45" hidden="1" customHeight="1" x14ac:dyDescent="0.25">
      <c r="A205" s="13"/>
      <c r="B205" s="52" t="s">
        <v>31</v>
      </c>
      <c r="C205" s="47" t="s">
        <v>283</v>
      </c>
      <c r="D205" s="37"/>
      <c r="E205" s="43"/>
      <c r="H205" s="13"/>
    </row>
    <row r="206" spans="1:8" ht="14.45" hidden="1" customHeight="1" x14ac:dyDescent="0.25">
      <c r="A206" s="13"/>
      <c r="B206" s="52" t="s">
        <v>28</v>
      </c>
      <c r="C206" s="47" t="s">
        <v>284</v>
      </c>
      <c r="D206" s="37"/>
      <c r="E206" s="43"/>
      <c r="H206" s="13"/>
    </row>
    <row r="207" spans="1:8" ht="14.45" hidden="1" customHeight="1" x14ac:dyDescent="0.25">
      <c r="A207" s="13"/>
      <c r="B207" s="52" t="s">
        <v>36</v>
      </c>
      <c r="C207" s="47" t="s">
        <v>285</v>
      </c>
      <c r="D207" s="37"/>
      <c r="E207" s="43"/>
      <c r="H207" s="13"/>
    </row>
    <row r="208" spans="1:8" ht="14.45" hidden="1" customHeight="1" x14ac:dyDescent="0.25">
      <c r="A208" s="13"/>
      <c r="B208" s="52" t="s">
        <v>30</v>
      </c>
      <c r="C208" s="47" t="s">
        <v>286</v>
      </c>
      <c r="D208" s="37"/>
      <c r="E208" s="43"/>
      <c r="H208" s="13"/>
    </row>
    <row r="209" spans="1:9" ht="14.45" hidden="1" customHeight="1" x14ac:dyDescent="0.25">
      <c r="A209" s="13"/>
      <c r="B209" s="54" t="s">
        <v>144</v>
      </c>
      <c r="C209" s="50" t="s">
        <v>287</v>
      </c>
      <c r="D209" s="13"/>
      <c r="E209" s="43"/>
      <c r="H209" s="13"/>
    </row>
    <row r="210" spans="1:9" ht="14.45" hidden="1" customHeight="1" x14ac:dyDescent="0.25">
      <c r="A210" s="13"/>
      <c r="B210" s="52"/>
      <c r="C210" s="47"/>
      <c r="D210" s="37"/>
      <c r="E210" s="43"/>
      <c r="H210" s="13"/>
    </row>
    <row r="211" spans="1:9" ht="14.45" hidden="1" customHeight="1" x14ac:dyDescent="0.25">
      <c r="A211" s="38" t="s">
        <v>104</v>
      </c>
      <c r="B211" s="48" t="s">
        <v>88</v>
      </c>
      <c r="C211" s="53" t="s">
        <v>294</v>
      </c>
      <c r="D211" s="42"/>
      <c r="E211" s="43"/>
      <c r="H211" s="38"/>
    </row>
    <row r="212" spans="1:9" ht="14.45" hidden="1" customHeight="1" x14ac:dyDescent="0.25">
      <c r="A212" s="13"/>
      <c r="B212" s="52" t="s">
        <v>32</v>
      </c>
      <c r="C212" s="47" t="s">
        <v>288</v>
      </c>
      <c r="D212" s="37"/>
      <c r="E212" s="43"/>
      <c r="H212" s="13"/>
    </row>
    <row r="213" spans="1:9" ht="14.45" hidden="1" customHeight="1" x14ac:dyDescent="0.25">
      <c r="A213" s="13"/>
      <c r="B213" s="52" t="s">
        <v>34</v>
      </c>
      <c r="C213" s="47" t="s">
        <v>289</v>
      </c>
      <c r="D213" s="37"/>
      <c r="E213" s="43"/>
      <c r="H213" s="13"/>
    </row>
    <row r="214" spans="1:9" ht="14.45" hidden="1" customHeight="1" x14ac:dyDescent="0.25">
      <c r="A214" s="13"/>
      <c r="B214" s="52" t="s">
        <v>35</v>
      </c>
      <c r="C214" s="47" t="s">
        <v>290</v>
      </c>
      <c r="D214" s="37"/>
      <c r="E214" s="43"/>
      <c r="H214" s="13"/>
    </row>
    <row r="215" spans="1:9" ht="14.45" hidden="1" customHeight="1" x14ac:dyDescent="0.25">
      <c r="A215" s="13"/>
      <c r="B215" s="52" t="s">
        <v>174</v>
      </c>
      <c r="C215" s="47" t="s">
        <v>291</v>
      </c>
      <c r="D215" s="37"/>
      <c r="E215" s="43"/>
      <c r="H215" s="13"/>
    </row>
    <row r="216" spans="1:9" ht="14.45" hidden="1" customHeight="1" x14ac:dyDescent="0.25">
      <c r="A216" s="13"/>
      <c r="B216" s="54" t="s">
        <v>145</v>
      </c>
      <c r="C216" s="50" t="s">
        <v>292</v>
      </c>
      <c r="D216" s="13"/>
      <c r="E216" s="43"/>
      <c r="H216" s="13"/>
    </row>
    <row r="217" spans="1:9" ht="14.45" hidden="1" customHeight="1" x14ac:dyDescent="0.25">
      <c r="A217" s="13"/>
      <c r="B217" s="52" t="s">
        <v>33</v>
      </c>
      <c r="C217" s="47" t="s">
        <v>293</v>
      </c>
      <c r="D217" s="37"/>
      <c r="E217" s="43"/>
      <c r="H217" s="13"/>
    </row>
    <row r="218" spans="1:9" ht="14.45" hidden="1" customHeight="1" x14ac:dyDescent="0.25">
      <c r="B218" s="49"/>
      <c r="C218" s="49"/>
      <c r="E218" s="43"/>
    </row>
    <row r="219" spans="1:9" ht="14.45" hidden="1" customHeight="1" x14ac:dyDescent="0.25">
      <c r="B219" s="49"/>
      <c r="C219" s="49"/>
      <c r="E219" s="43"/>
    </row>
    <row r="220" spans="1:9" ht="14.45" hidden="1" customHeight="1" x14ac:dyDescent="0.25">
      <c r="A220" s="38" t="s">
        <v>17</v>
      </c>
      <c r="B220" s="48" t="s">
        <v>88</v>
      </c>
      <c r="C220" s="53" t="s">
        <v>294</v>
      </c>
      <c r="D220" s="42"/>
      <c r="E220" s="43"/>
    </row>
    <row r="221" spans="1:9" ht="14.45" hidden="1" customHeight="1" x14ac:dyDescent="0.25">
      <c r="B221" s="52" t="s">
        <v>152</v>
      </c>
      <c r="C221" s="47" t="s">
        <v>213</v>
      </c>
      <c r="D221" s="37"/>
      <c r="E221" s="43"/>
      <c r="I221" s="39"/>
    </row>
    <row r="222" spans="1:9" ht="14.45" hidden="1" customHeight="1" x14ac:dyDescent="0.25">
      <c r="B222" s="52" t="s">
        <v>59</v>
      </c>
      <c r="C222" s="47" t="s">
        <v>221</v>
      </c>
      <c r="D222" s="37"/>
      <c r="E222" s="43"/>
      <c r="I222" s="39"/>
    </row>
    <row r="223" spans="1:9" ht="14.45" hidden="1" customHeight="1" x14ac:dyDescent="0.25">
      <c r="B223" s="52" t="s">
        <v>124</v>
      </c>
      <c r="C223" s="47" t="s">
        <v>214</v>
      </c>
      <c r="D223" s="37"/>
      <c r="E223" s="43"/>
      <c r="I223" s="39"/>
    </row>
    <row r="224" spans="1:9" ht="14.45" hidden="1" customHeight="1" x14ac:dyDescent="0.25">
      <c r="B224" s="52" t="s">
        <v>58</v>
      </c>
      <c r="C224" s="47" t="s">
        <v>222</v>
      </c>
      <c r="D224" s="37"/>
      <c r="E224" s="43"/>
      <c r="I224" s="39"/>
    </row>
    <row r="225" spans="1:11" ht="14.45" hidden="1" customHeight="1" x14ac:dyDescent="0.25">
      <c r="B225" s="52" t="s">
        <v>56</v>
      </c>
      <c r="C225" s="47" t="s">
        <v>215</v>
      </c>
      <c r="D225" s="37"/>
      <c r="E225" s="43"/>
      <c r="I225" s="39"/>
    </row>
    <row r="226" spans="1:11" ht="14.45" hidden="1" customHeight="1" x14ac:dyDescent="0.25">
      <c r="B226" s="52" t="s">
        <v>154</v>
      </c>
      <c r="C226" s="47" t="s">
        <v>223</v>
      </c>
      <c r="D226" s="37"/>
      <c r="E226" s="43"/>
      <c r="I226" s="39"/>
    </row>
    <row r="227" spans="1:11" ht="14.45" hidden="1" customHeight="1" x14ac:dyDescent="0.25">
      <c r="B227" s="52" t="s">
        <v>55</v>
      </c>
      <c r="C227" s="47" t="s">
        <v>216</v>
      </c>
      <c r="D227" s="37"/>
      <c r="E227" s="43"/>
      <c r="I227" s="39"/>
    </row>
    <row r="228" spans="1:11" ht="14.45" hidden="1" customHeight="1" x14ac:dyDescent="0.25">
      <c r="B228" s="52" t="s">
        <v>155</v>
      </c>
      <c r="C228" s="47" t="s">
        <v>224</v>
      </c>
      <c r="D228" s="37"/>
      <c r="E228" s="43"/>
      <c r="I228" s="39"/>
    </row>
    <row r="229" spans="1:11" ht="14.45" hidden="1" customHeight="1" x14ac:dyDescent="0.25">
      <c r="B229" s="52" t="s">
        <v>153</v>
      </c>
      <c r="C229" s="47" t="s">
        <v>217</v>
      </c>
      <c r="D229" s="37"/>
      <c r="E229" s="43"/>
      <c r="I229" s="37"/>
      <c r="K229" s="37"/>
    </row>
    <row r="230" spans="1:11" ht="14.45" hidden="1" customHeight="1" x14ac:dyDescent="0.25">
      <c r="B230" s="52" t="s">
        <v>60</v>
      </c>
      <c r="C230" s="47" t="s">
        <v>225</v>
      </c>
      <c r="D230" s="37"/>
      <c r="E230" s="43"/>
      <c r="I230" s="37"/>
      <c r="K230" s="37"/>
    </row>
    <row r="231" spans="1:11" ht="14.45" hidden="1" customHeight="1" x14ac:dyDescent="0.25">
      <c r="B231" s="52" t="s">
        <v>53</v>
      </c>
      <c r="C231" s="47" t="s">
        <v>218</v>
      </c>
      <c r="D231" s="37"/>
      <c r="E231" s="43"/>
      <c r="I231" s="39"/>
    </row>
    <row r="232" spans="1:11" ht="14.45" hidden="1" customHeight="1" x14ac:dyDescent="0.25">
      <c r="B232" s="52" t="s">
        <v>125</v>
      </c>
      <c r="C232" s="47" t="s">
        <v>219</v>
      </c>
      <c r="D232" s="37"/>
      <c r="E232" s="43"/>
      <c r="I232" s="39"/>
    </row>
    <row r="233" spans="1:11" ht="14.45" hidden="1" customHeight="1" x14ac:dyDescent="0.25">
      <c r="B233" s="52" t="s">
        <v>54</v>
      </c>
      <c r="C233" s="47" t="s">
        <v>220</v>
      </c>
      <c r="D233" s="37"/>
      <c r="E233" s="43"/>
      <c r="I233" s="39"/>
    </row>
    <row r="234" spans="1:11" ht="14.45" hidden="1" customHeight="1" x14ac:dyDescent="0.25">
      <c r="B234" s="48" t="s">
        <v>88</v>
      </c>
      <c r="C234" s="53" t="s">
        <v>294</v>
      </c>
      <c r="D234" s="42"/>
      <c r="E234" s="43"/>
      <c r="I234" s="39"/>
    </row>
    <row r="235" spans="1:11" ht="14.45" hidden="1" customHeight="1" x14ac:dyDescent="0.25">
      <c r="A235" s="38" t="s">
        <v>176</v>
      </c>
      <c r="B235" s="52" t="s">
        <v>29</v>
      </c>
      <c r="C235" s="52" t="s">
        <v>282</v>
      </c>
      <c r="D235" s="39"/>
      <c r="E235" s="43"/>
      <c r="I235" s="39"/>
    </row>
    <row r="236" spans="1:11" ht="14.45" hidden="1" customHeight="1" x14ac:dyDescent="0.25">
      <c r="B236" s="52" t="s">
        <v>32</v>
      </c>
      <c r="C236" s="47" t="s">
        <v>288</v>
      </c>
      <c r="D236" s="37"/>
      <c r="E236" s="43"/>
      <c r="I236" s="39"/>
    </row>
    <row r="237" spans="1:11" ht="14.45" hidden="1" customHeight="1" x14ac:dyDescent="0.25">
      <c r="B237" s="52" t="s">
        <v>31</v>
      </c>
      <c r="C237" s="47" t="s">
        <v>283</v>
      </c>
      <c r="D237" s="37"/>
      <c r="E237" s="43"/>
      <c r="I237" s="39"/>
    </row>
    <row r="238" spans="1:11" ht="14.45" hidden="1" customHeight="1" x14ac:dyDescent="0.25">
      <c r="B238" s="52" t="s">
        <v>34</v>
      </c>
      <c r="C238" s="47" t="s">
        <v>289</v>
      </c>
      <c r="D238" s="37"/>
      <c r="E238" s="44"/>
      <c r="I238" s="39"/>
    </row>
    <row r="239" spans="1:11" ht="14.45" hidden="1" customHeight="1" x14ac:dyDescent="0.25">
      <c r="B239" s="52" t="s">
        <v>28</v>
      </c>
      <c r="C239" s="47" t="s">
        <v>284</v>
      </c>
      <c r="D239" s="37"/>
      <c r="E239" s="45"/>
      <c r="I239" s="39"/>
    </row>
    <row r="240" spans="1:11" ht="14.45" hidden="1" customHeight="1" x14ac:dyDescent="0.25">
      <c r="B240" s="52" t="s">
        <v>35</v>
      </c>
      <c r="C240" s="47" t="s">
        <v>290</v>
      </c>
      <c r="D240" s="37"/>
      <c r="E240" s="44"/>
      <c r="I240" s="40"/>
    </row>
    <row r="241" spans="1:11" ht="14.45" hidden="1" customHeight="1" x14ac:dyDescent="0.25">
      <c r="B241" s="52" t="s">
        <v>36</v>
      </c>
      <c r="C241" s="47" t="s">
        <v>285</v>
      </c>
      <c r="D241" s="37"/>
      <c r="E241" s="45"/>
      <c r="I241" s="39"/>
      <c r="K241" s="37"/>
    </row>
    <row r="242" spans="1:11" ht="14.45" hidden="1" customHeight="1" x14ac:dyDescent="0.25">
      <c r="B242" s="52" t="s">
        <v>174</v>
      </c>
      <c r="C242" s="47" t="s">
        <v>291</v>
      </c>
      <c r="D242" s="37"/>
      <c r="E242" s="43"/>
      <c r="I242" s="37"/>
      <c r="K242" s="37"/>
    </row>
    <row r="243" spans="1:11" ht="14.45" hidden="1" customHeight="1" x14ac:dyDescent="0.25">
      <c r="B243" s="52" t="s">
        <v>30</v>
      </c>
      <c r="C243" s="47" t="s">
        <v>286</v>
      </c>
      <c r="D243" s="37"/>
      <c r="E243" s="45"/>
      <c r="I243" s="39"/>
    </row>
    <row r="244" spans="1:11" ht="14.45" hidden="1" customHeight="1" x14ac:dyDescent="0.25">
      <c r="B244" s="54" t="s">
        <v>145</v>
      </c>
      <c r="C244" s="50" t="s">
        <v>292</v>
      </c>
      <c r="D244" s="13"/>
      <c r="E244" s="46"/>
      <c r="I244" s="39"/>
    </row>
    <row r="245" spans="1:11" ht="14.45" hidden="1" customHeight="1" x14ac:dyDescent="0.25">
      <c r="B245" s="54" t="s">
        <v>144</v>
      </c>
      <c r="C245" s="50" t="s">
        <v>287</v>
      </c>
      <c r="D245" s="13"/>
      <c r="E245" s="45"/>
      <c r="I245" s="39"/>
    </row>
    <row r="246" spans="1:11" ht="14.45" hidden="1" customHeight="1" x14ac:dyDescent="0.25">
      <c r="B246" s="52" t="s">
        <v>33</v>
      </c>
      <c r="C246" s="47" t="s">
        <v>293</v>
      </c>
      <c r="D246" s="37"/>
      <c r="E246" s="46"/>
      <c r="I246" s="39"/>
    </row>
    <row r="247" spans="1:11" ht="14.45" hidden="1" customHeight="1" x14ac:dyDescent="0.25">
      <c r="B247" s="48" t="s">
        <v>88</v>
      </c>
      <c r="C247" s="53" t="s">
        <v>294</v>
      </c>
      <c r="D247" s="42"/>
      <c r="E247" s="45"/>
      <c r="I247" s="40"/>
    </row>
    <row r="248" spans="1:11" ht="14.45" hidden="1" customHeight="1" x14ac:dyDescent="0.25">
      <c r="A248" s="38" t="s">
        <v>175</v>
      </c>
      <c r="B248" s="52" t="s">
        <v>138</v>
      </c>
      <c r="C248" s="47" t="s">
        <v>268</v>
      </c>
      <c r="D248" s="37"/>
      <c r="E248" s="46"/>
      <c r="I248" s="39"/>
    </row>
    <row r="249" spans="1:11" ht="14.45" hidden="1" customHeight="1" x14ac:dyDescent="0.25">
      <c r="B249" s="52" t="s">
        <v>152</v>
      </c>
      <c r="C249" s="47" t="s">
        <v>213</v>
      </c>
      <c r="D249" s="37"/>
      <c r="E249" s="45"/>
      <c r="I249" s="39"/>
    </row>
    <row r="250" spans="1:11" ht="14.45" hidden="1" customHeight="1" x14ac:dyDescent="0.25">
      <c r="B250" s="52" t="s">
        <v>38</v>
      </c>
      <c r="C250" s="47" t="s">
        <v>269</v>
      </c>
      <c r="D250" s="37"/>
      <c r="E250" s="46"/>
      <c r="I250" s="39"/>
    </row>
    <row r="251" spans="1:11" ht="14.45" hidden="1" customHeight="1" x14ac:dyDescent="0.25">
      <c r="B251" s="52" t="s">
        <v>59</v>
      </c>
      <c r="C251" s="47" t="s">
        <v>221</v>
      </c>
      <c r="D251" s="37"/>
      <c r="E251" s="45"/>
      <c r="I251" s="39"/>
    </row>
    <row r="252" spans="1:11" ht="14.45" hidden="1" customHeight="1" x14ac:dyDescent="0.25">
      <c r="B252" s="52" t="s">
        <v>39</v>
      </c>
      <c r="C252" s="47" t="s">
        <v>270</v>
      </c>
      <c r="D252" s="37"/>
      <c r="E252" s="46"/>
      <c r="I252" s="39"/>
    </row>
    <row r="253" spans="1:11" ht="14.45" hidden="1" customHeight="1" x14ac:dyDescent="0.25">
      <c r="B253" s="52" t="s">
        <v>124</v>
      </c>
      <c r="C253" s="47" t="s">
        <v>214</v>
      </c>
      <c r="D253" s="37"/>
      <c r="E253" s="45"/>
      <c r="I253" s="39"/>
    </row>
    <row r="254" spans="1:11" ht="14.45" hidden="1" customHeight="1" x14ac:dyDescent="0.25">
      <c r="B254" s="52" t="s">
        <v>139</v>
      </c>
      <c r="C254" s="47" t="s">
        <v>271</v>
      </c>
      <c r="D254" s="37"/>
      <c r="E254" s="46"/>
      <c r="I254" s="39"/>
    </row>
    <row r="255" spans="1:11" ht="14.45" hidden="1" customHeight="1" x14ac:dyDescent="0.25">
      <c r="B255" s="52" t="s">
        <v>58</v>
      </c>
      <c r="C255" s="47" t="s">
        <v>222</v>
      </c>
      <c r="D255" s="37"/>
      <c r="E255" s="45"/>
    </row>
    <row r="256" spans="1:11" ht="14.45" hidden="1" customHeight="1" x14ac:dyDescent="0.25">
      <c r="B256" s="52" t="s">
        <v>40</v>
      </c>
      <c r="C256" s="47" t="s">
        <v>272</v>
      </c>
      <c r="D256" s="37"/>
      <c r="E256" s="46"/>
    </row>
    <row r="257" spans="1:9" ht="14.45" hidden="1" customHeight="1" x14ac:dyDescent="0.25">
      <c r="B257" s="52" t="s">
        <v>56</v>
      </c>
      <c r="C257" s="47" t="s">
        <v>215</v>
      </c>
      <c r="D257" s="37"/>
      <c r="E257" s="45"/>
      <c r="I257" s="39"/>
    </row>
    <row r="258" spans="1:9" ht="14.45" hidden="1" customHeight="1" x14ac:dyDescent="0.25">
      <c r="B258" s="52" t="s">
        <v>140</v>
      </c>
      <c r="C258" s="47" t="s">
        <v>273</v>
      </c>
      <c r="D258" s="37"/>
      <c r="E258" s="46"/>
      <c r="I258" s="39"/>
    </row>
    <row r="259" spans="1:9" ht="14.45" hidden="1" customHeight="1" x14ac:dyDescent="0.25">
      <c r="B259" s="52" t="s">
        <v>154</v>
      </c>
      <c r="C259" s="47" t="s">
        <v>223</v>
      </c>
      <c r="D259" s="37"/>
      <c r="E259" s="45"/>
      <c r="I259" s="39"/>
    </row>
    <row r="260" spans="1:9" ht="14.45" hidden="1" customHeight="1" x14ac:dyDescent="0.25">
      <c r="B260" s="52" t="s">
        <v>141</v>
      </c>
      <c r="C260" s="47" t="s">
        <v>274</v>
      </c>
      <c r="D260" s="37"/>
      <c r="E260" s="46"/>
      <c r="I260" s="39"/>
    </row>
    <row r="261" spans="1:9" ht="14.45" hidden="1" customHeight="1" x14ac:dyDescent="0.25">
      <c r="B261" s="52" t="s">
        <v>55</v>
      </c>
      <c r="C261" s="47" t="s">
        <v>216</v>
      </c>
      <c r="D261" s="37"/>
      <c r="E261" s="45"/>
      <c r="I261" s="39"/>
    </row>
    <row r="262" spans="1:9" ht="14.45" hidden="1" customHeight="1" x14ac:dyDescent="0.25">
      <c r="B262" s="52" t="s">
        <v>155</v>
      </c>
      <c r="C262" s="47" t="s">
        <v>224</v>
      </c>
      <c r="D262" s="37"/>
      <c r="E262" s="46"/>
      <c r="I262" s="39"/>
    </row>
    <row r="263" spans="1:9" ht="14.45" hidden="1" customHeight="1" x14ac:dyDescent="0.25">
      <c r="B263" s="52" t="s">
        <v>153</v>
      </c>
      <c r="C263" s="47" t="s">
        <v>217</v>
      </c>
      <c r="D263" s="37"/>
      <c r="E263" s="45"/>
      <c r="I263" s="39"/>
    </row>
    <row r="264" spans="1:9" ht="14.45" hidden="1" customHeight="1" x14ac:dyDescent="0.25">
      <c r="B264" s="52" t="s">
        <v>60</v>
      </c>
      <c r="C264" s="47" t="s">
        <v>225</v>
      </c>
      <c r="D264" s="37"/>
      <c r="E264" s="46"/>
      <c r="I264" s="39"/>
    </row>
    <row r="265" spans="1:9" ht="14.45" hidden="1" customHeight="1" x14ac:dyDescent="0.25">
      <c r="B265" s="52" t="s">
        <v>53</v>
      </c>
      <c r="C265" s="47" t="s">
        <v>218</v>
      </c>
      <c r="D265" s="37"/>
      <c r="E265" s="45"/>
      <c r="I265" s="39"/>
    </row>
    <row r="266" spans="1:9" ht="14.45" hidden="1" customHeight="1" x14ac:dyDescent="0.25">
      <c r="B266" s="52" t="s">
        <v>125</v>
      </c>
      <c r="C266" s="47" t="s">
        <v>219</v>
      </c>
      <c r="D266" s="37"/>
      <c r="E266" s="46"/>
      <c r="I266" s="39"/>
    </row>
    <row r="267" spans="1:9" ht="14.45" hidden="1" customHeight="1" x14ac:dyDescent="0.25">
      <c r="B267" s="52" t="s">
        <v>54</v>
      </c>
      <c r="C267" s="47" t="s">
        <v>220</v>
      </c>
      <c r="D267" s="37"/>
      <c r="E267" s="45"/>
      <c r="I267" s="39"/>
    </row>
    <row r="268" spans="1:9" ht="14.45" hidden="1" customHeight="1" x14ac:dyDescent="0.25">
      <c r="B268" s="52"/>
      <c r="C268" s="47"/>
      <c r="D268" s="37"/>
      <c r="E268" s="45"/>
      <c r="I268" s="39"/>
    </row>
    <row r="269" spans="1:9" ht="14.45" hidden="1" customHeight="1" x14ac:dyDescent="0.25">
      <c r="B269" s="48" t="s">
        <v>88</v>
      </c>
      <c r="C269" s="53" t="s">
        <v>294</v>
      </c>
      <c r="D269" s="42"/>
      <c r="E269" s="46"/>
      <c r="I269" s="39"/>
    </row>
    <row r="270" spans="1:9" ht="14.45" hidden="1" customHeight="1" x14ac:dyDescent="0.25">
      <c r="A270" s="38" t="s">
        <v>177</v>
      </c>
      <c r="B270" s="52" t="s">
        <v>51</v>
      </c>
      <c r="C270" s="47" t="s">
        <v>200</v>
      </c>
      <c r="D270" s="37"/>
      <c r="E270" s="45"/>
      <c r="I270" s="37"/>
    </row>
    <row r="271" spans="1:9" ht="14.45" hidden="1" customHeight="1" x14ac:dyDescent="0.25">
      <c r="B271" s="52" t="s">
        <v>46</v>
      </c>
      <c r="C271" s="47" t="s">
        <v>204</v>
      </c>
      <c r="D271" s="37"/>
      <c r="E271" s="46"/>
      <c r="I271" s="39"/>
    </row>
    <row r="272" spans="1:9" ht="14.45" hidden="1" customHeight="1" x14ac:dyDescent="0.25">
      <c r="B272" s="52" t="s">
        <v>118</v>
      </c>
      <c r="C272" s="47" t="s">
        <v>201</v>
      </c>
      <c r="D272" s="37"/>
      <c r="E272" s="45"/>
      <c r="I272" s="39"/>
    </row>
    <row r="273" spans="2:11" ht="14.45" hidden="1" customHeight="1" x14ac:dyDescent="0.25">
      <c r="B273" s="52" t="s">
        <v>47</v>
      </c>
      <c r="C273" s="47" t="s">
        <v>205</v>
      </c>
      <c r="D273" s="37"/>
      <c r="E273" s="43"/>
      <c r="I273" s="39"/>
    </row>
    <row r="274" spans="2:11" ht="14.45" hidden="1" customHeight="1" x14ac:dyDescent="0.25">
      <c r="B274" s="52" t="s">
        <v>150</v>
      </c>
      <c r="C274" s="47" t="s">
        <v>202</v>
      </c>
      <c r="D274" s="37"/>
      <c r="E274" s="43"/>
      <c r="I274" s="39"/>
    </row>
    <row r="275" spans="2:11" ht="14.45" hidden="1" customHeight="1" x14ac:dyDescent="0.25">
      <c r="B275" s="52" t="s">
        <v>49</v>
      </c>
      <c r="C275" s="47" t="s">
        <v>206</v>
      </c>
      <c r="D275" s="37"/>
      <c r="E275" s="45"/>
      <c r="I275" s="37"/>
      <c r="K275" s="37"/>
    </row>
    <row r="276" spans="2:11" ht="14.45" hidden="1" customHeight="1" x14ac:dyDescent="0.25">
      <c r="B276" s="52" t="s">
        <v>50</v>
      </c>
      <c r="C276" s="47" t="s">
        <v>203</v>
      </c>
      <c r="D276" s="37"/>
      <c r="E276" s="45"/>
      <c r="I276" s="39"/>
      <c r="K276" s="37"/>
    </row>
    <row r="277" spans="2:11" ht="14.45" hidden="1" customHeight="1" x14ac:dyDescent="0.25">
      <c r="B277" s="52" t="s">
        <v>48</v>
      </c>
      <c r="C277" s="47" t="s">
        <v>207</v>
      </c>
      <c r="D277" s="37"/>
      <c r="E277" s="45"/>
      <c r="I277" s="39"/>
    </row>
    <row r="278" spans="2:11" ht="14.45" hidden="1" customHeight="1" x14ac:dyDescent="0.25">
      <c r="B278" s="52" t="s">
        <v>119</v>
      </c>
      <c r="C278" s="47" t="s">
        <v>208</v>
      </c>
      <c r="D278" s="37"/>
      <c r="E278" s="45"/>
      <c r="I278" s="39"/>
    </row>
    <row r="279" spans="2:11" ht="14.45" hidden="1" customHeight="1" x14ac:dyDescent="0.25"/>
    <row r="280" spans="2:11" ht="14.45" hidden="1" customHeight="1" x14ac:dyDescent="0.25">
      <c r="B280" t="s">
        <v>295</v>
      </c>
      <c r="C280" t="s">
        <v>296</v>
      </c>
      <c r="D280" t="s">
        <v>333</v>
      </c>
      <c r="E280" t="s">
        <v>335</v>
      </c>
    </row>
    <row r="281" spans="2:11" ht="14.45" hidden="1" customHeight="1" x14ac:dyDescent="0.25">
      <c r="B281" t="s">
        <v>77</v>
      </c>
      <c r="C281" s="37" t="s">
        <v>77</v>
      </c>
      <c r="D281" s="37" t="s">
        <v>312</v>
      </c>
      <c r="E281" s="37" t="str">
        <f>CONCATENATE(Table_Name76[[#This Row],[Table name]],"[Link]")</f>
        <v>Abs[Link]</v>
      </c>
    </row>
    <row r="282" spans="2:11" ht="14.45" hidden="1" customHeight="1" x14ac:dyDescent="0.25">
      <c r="B282" t="s">
        <v>19</v>
      </c>
      <c r="C282" s="37" t="s">
        <v>19</v>
      </c>
      <c r="D282" s="37" t="s">
        <v>313</v>
      </c>
      <c r="E282" s="37" t="str">
        <f>CONCATENATE(Table_Name76[[#This Row],[Table name]],"[Link]")</f>
        <v>Calves[Link]</v>
      </c>
    </row>
    <row r="283" spans="2:11" ht="14.45" hidden="1" customHeight="1" x14ac:dyDescent="0.25">
      <c r="B283" t="s">
        <v>18</v>
      </c>
      <c r="C283" s="37" t="s">
        <v>18</v>
      </c>
      <c r="D283" s="37" t="s">
        <v>314</v>
      </c>
      <c r="E283" s="37" t="str">
        <f>CONCATENATE(Table_Name76[[#This Row],[Table name]],"[Link]")</f>
        <v>Biceps[Link]</v>
      </c>
    </row>
    <row r="284" spans="2:11" ht="14.45" hidden="1" customHeight="1" x14ac:dyDescent="0.25">
      <c r="B284" t="s">
        <v>117</v>
      </c>
      <c r="C284" s="37" t="s">
        <v>297</v>
      </c>
      <c r="D284" s="37" t="s">
        <v>315</v>
      </c>
      <c r="E284" s="37" t="str">
        <f>CONCATENATE(Table_Name76[[#This Row],[Table name]],"[Link]")</f>
        <v>Rear_Delts[Link]</v>
      </c>
    </row>
    <row r="285" spans="2:11" ht="14.45" hidden="1" customHeight="1" x14ac:dyDescent="0.25">
      <c r="B285" t="s">
        <v>105</v>
      </c>
      <c r="C285" s="37" t="s">
        <v>298</v>
      </c>
      <c r="D285" s="37" t="s">
        <v>316</v>
      </c>
      <c r="E285" s="37" t="str">
        <f>CONCATENATE(Table_Name76[[#This Row],[Table name]],"[Link]")</f>
        <v>Side_Delts[Link]</v>
      </c>
    </row>
    <row r="286" spans="2:11" ht="14.45" hidden="1" customHeight="1" x14ac:dyDescent="0.25">
      <c r="B286" t="s">
        <v>120</v>
      </c>
      <c r="C286" s="37" t="s">
        <v>120</v>
      </c>
      <c r="D286" s="37" t="s">
        <v>317</v>
      </c>
      <c r="E286" s="37" t="str">
        <f>CONCATENATE(Table_Name76[[#This Row],[Table name]],"[Link]")</f>
        <v>Traps[Link]</v>
      </c>
    </row>
    <row r="287" spans="2:11" ht="14.45" hidden="1" customHeight="1" x14ac:dyDescent="0.25">
      <c r="B287" t="s">
        <v>52</v>
      </c>
      <c r="C287" s="37" t="s">
        <v>299</v>
      </c>
      <c r="D287" s="37" t="s">
        <v>318</v>
      </c>
      <c r="E287" s="37" t="str">
        <f>CONCATENATE(Table_Name76[[#This Row],[Table name]],"[Link]")</f>
        <v>Horizontal_Triceps[Link]</v>
      </c>
    </row>
    <row r="288" spans="2:11" ht="14.45" hidden="1" customHeight="1" x14ac:dyDescent="0.25">
      <c r="B288" t="s">
        <v>57</v>
      </c>
      <c r="C288" s="37" t="s">
        <v>300</v>
      </c>
      <c r="D288" s="37" t="s">
        <v>319</v>
      </c>
      <c r="E288" s="37" t="str">
        <f>CONCATENATE(Table_Name76[[#This Row],[Table name]],"[Link]")</f>
        <v>Vertical_Triceps[Link]</v>
      </c>
    </row>
    <row r="289" spans="2:5" ht="14.45" hidden="1" customHeight="1" x14ac:dyDescent="0.25">
      <c r="B289" t="s">
        <v>338</v>
      </c>
      <c r="C289" s="37" t="s">
        <v>301</v>
      </c>
      <c r="D289" s="37" t="s">
        <v>334</v>
      </c>
      <c r="E289" s="37" t="str">
        <f>CONCATENATE(Table_Name76[[#This Row],[Table name]],"[Link]")</f>
        <v>Horizonal_Back[Link]</v>
      </c>
    </row>
    <row r="290" spans="2:5" ht="14.45" hidden="1" customHeight="1" x14ac:dyDescent="0.25">
      <c r="B290" t="s">
        <v>339</v>
      </c>
      <c r="C290" s="37" t="s">
        <v>302</v>
      </c>
      <c r="D290" s="37" t="s">
        <v>320</v>
      </c>
      <c r="E290" s="37" t="str">
        <f>CONCATENATE(Table_Name76[[#This Row],[Table name]],"[Link]")</f>
        <v>Vertical_Back[Link]</v>
      </c>
    </row>
    <row r="291" spans="2:5" ht="14.45" hidden="1" customHeight="1" x14ac:dyDescent="0.25">
      <c r="B291" t="s">
        <v>20</v>
      </c>
      <c r="C291" s="37" t="s">
        <v>20</v>
      </c>
      <c r="D291" s="37" t="s">
        <v>321</v>
      </c>
      <c r="E291" s="37" t="str">
        <f>CONCATENATE(Table_Name76[[#This Row],[Table name]],"[Link]")</f>
        <v>Quads[Link]</v>
      </c>
    </row>
    <row r="292" spans="2:5" ht="14.45" hidden="1" customHeight="1" x14ac:dyDescent="0.25">
      <c r="B292" t="s">
        <v>108</v>
      </c>
      <c r="C292" s="37" t="s">
        <v>108</v>
      </c>
      <c r="D292" s="37" t="s">
        <v>322</v>
      </c>
      <c r="E292" s="37" t="str">
        <f>CONCATENATE(Table_Name76[[#This Row],[Table name]],"[Link]")</f>
        <v>Glutes[Link]</v>
      </c>
    </row>
    <row r="293" spans="2:5" ht="14.45" hidden="1" customHeight="1" x14ac:dyDescent="0.25">
      <c r="B293" t="s">
        <v>107</v>
      </c>
      <c r="C293" s="37" t="s">
        <v>303</v>
      </c>
      <c r="D293" s="37" t="s">
        <v>323</v>
      </c>
      <c r="E293" s="37" t="str">
        <f>CONCATENATE(Table_Name76[[#This Row],[Table name]],"[Link]")</f>
        <v>Hamstrings_Hip_Hinge[Link]</v>
      </c>
    </row>
    <row r="294" spans="2:5" ht="14.45" hidden="1" customHeight="1" x14ac:dyDescent="0.25">
      <c r="B294" t="s">
        <v>106</v>
      </c>
      <c r="C294" s="37" t="s">
        <v>304</v>
      </c>
      <c r="D294" s="37" t="s">
        <v>324</v>
      </c>
      <c r="E294" s="37" t="str">
        <f>CONCATENATE(Table_Name76[[#This Row],[Table name]],"[Link]")</f>
        <v>Hamstrings_Isolation[Link]</v>
      </c>
    </row>
    <row r="295" spans="2:5" ht="14.45" hidden="1" customHeight="1" x14ac:dyDescent="0.25">
      <c r="B295" t="s">
        <v>37</v>
      </c>
      <c r="C295" s="37" t="s">
        <v>305</v>
      </c>
      <c r="D295" s="37" t="s">
        <v>325</v>
      </c>
      <c r="E295" s="37" t="str">
        <f>CONCATENATE(Table_Name76[[#This Row],[Table name]],"[Link]")</f>
        <v>Chest_Isolation[Link]</v>
      </c>
    </row>
    <row r="296" spans="2:5" ht="14.45" hidden="1" customHeight="1" x14ac:dyDescent="0.25">
      <c r="B296" t="s">
        <v>344</v>
      </c>
      <c r="C296" s="37" t="s">
        <v>306</v>
      </c>
      <c r="D296" s="37" t="s">
        <v>326</v>
      </c>
      <c r="E296" s="37" t="str">
        <f>CONCATENATE(Table_Name76[[#This Row],[Table name]],"[Link]")</f>
        <v>Horizontal_Push[Link]</v>
      </c>
    </row>
    <row r="297" spans="2:5" ht="14.45" hidden="1" customHeight="1" x14ac:dyDescent="0.25">
      <c r="B297" t="s">
        <v>343</v>
      </c>
      <c r="C297" s="37" t="s">
        <v>307</v>
      </c>
      <c r="D297" s="37" t="s">
        <v>327</v>
      </c>
      <c r="E297" s="37" t="str">
        <f>CONCATENATE(Table_Name76[[#This Row],[Table name]],"[Link]")</f>
        <v>Incline_Push[Link]</v>
      </c>
    </row>
    <row r="298" spans="2:5" ht="14.45" hidden="1" customHeight="1" x14ac:dyDescent="0.25">
      <c r="B298" t="s">
        <v>104</v>
      </c>
      <c r="C298" s="37" t="s">
        <v>308</v>
      </c>
      <c r="D298" s="37" t="s">
        <v>328</v>
      </c>
      <c r="E298" s="37" t="str">
        <f>CONCATENATE(Table_Name76[[#This Row],[Table name]],"[Link]")</f>
        <v>Front_Delts[Link]</v>
      </c>
    </row>
    <row r="299" spans="2:5" ht="14.45" hidden="1" customHeight="1" x14ac:dyDescent="0.25">
      <c r="B299" t="s">
        <v>17</v>
      </c>
      <c r="C299" s="37" t="s">
        <v>17</v>
      </c>
      <c r="D299" s="37" t="s">
        <v>329</v>
      </c>
      <c r="E299" s="37" t="str">
        <f>CONCATENATE(Table_Name76[[#This Row],[Table name]],"[Link]")</f>
        <v>Triceps[Link]</v>
      </c>
    </row>
    <row r="300" spans="2:5" ht="14.45" hidden="1" customHeight="1" x14ac:dyDescent="0.25">
      <c r="B300" t="s">
        <v>176</v>
      </c>
      <c r="C300" s="37" t="s">
        <v>309</v>
      </c>
      <c r="D300" s="37" t="s">
        <v>330</v>
      </c>
      <c r="E300" s="37" t="str">
        <f>CONCATENATE(Table_Name76[[#This Row],[Table name]],"[Link]")</f>
        <v>Incline_Push_or_Front_Delts[Link]</v>
      </c>
    </row>
    <row r="301" spans="2:5" ht="14.45" hidden="1" customHeight="1" x14ac:dyDescent="0.25">
      <c r="B301" t="s">
        <v>175</v>
      </c>
      <c r="C301" s="37" t="s">
        <v>310</v>
      </c>
      <c r="D301" s="37" t="s">
        <v>331</v>
      </c>
      <c r="E301" s="37" t="str">
        <f>CONCATENATE(Table_Name76[[#This Row],[Table name]],"[Link]")</f>
        <v>Chest_Isolation_or_Triceps[Link]</v>
      </c>
    </row>
    <row r="302" spans="2:5" ht="14.45" hidden="1" customHeight="1" x14ac:dyDescent="0.25">
      <c r="B302" t="s">
        <v>340</v>
      </c>
      <c r="C302" s="37" t="s">
        <v>311</v>
      </c>
      <c r="D302" s="37" t="s">
        <v>332</v>
      </c>
      <c r="E302" s="37" t="str">
        <f>CONCATENATE(Table_Name76[[#This Row],[Table name]],"[Link]")</f>
        <v>Rear_or_Side_Delts[Link]</v>
      </c>
    </row>
    <row r="303" spans="2:5" ht="14.45" hidden="1" customHeight="1" x14ac:dyDescent="0.25"/>
    <row r="304" spans="2:5" ht="14.45" hidden="1" customHeight="1" x14ac:dyDescent="0.25">
      <c r="B304" s="9" t="s">
        <v>88</v>
      </c>
      <c r="C304" t="s">
        <v>294</v>
      </c>
      <c r="D304" s="9" t="s">
        <v>295</v>
      </c>
    </row>
    <row r="305" spans="2:4" ht="14.45" hidden="1" customHeight="1" x14ac:dyDescent="0.25">
      <c r="B305" s="37" t="s">
        <v>109</v>
      </c>
      <c r="C305" t="s">
        <v>178</v>
      </c>
      <c r="D305" t="s">
        <v>77</v>
      </c>
    </row>
    <row r="306" spans="2:4" ht="14.45" hidden="1" customHeight="1" x14ac:dyDescent="0.25">
      <c r="B306" s="37" t="s">
        <v>79</v>
      </c>
      <c r="C306" t="s">
        <v>179</v>
      </c>
      <c r="D306" t="s">
        <v>77</v>
      </c>
    </row>
    <row r="307" spans="2:4" ht="14.45" hidden="1" customHeight="1" x14ac:dyDescent="0.25">
      <c r="B307" s="37" t="s">
        <v>80</v>
      </c>
      <c r="C307" t="s">
        <v>180</v>
      </c>
      <c r="D307" t="s">
        <v>77</v>
      </c>
    </row>
    <row r="308" spans="2:4" ht="14.45" hidden="1" customHeight="1" x14ac:dyDescent="0.25">
      <c r="B308" s="37" t="s">
        <v>78</v>
      </c>
      <c r="C308" t="s">
        <v>181</v>
      </c>
      <c r="D308" t="s">
        <v>77</v>
      </c>
    </row>
    <row r="309" spans="2:4" ht="14.45" hidden="1" customHeight="1" x14ac:dyDescent="0.25">
      <c r="B309" s="39" t="s">
        <v>110</v>
      </c>
      <c r="C309" t="s">
        <v>182</v>
      </c>
      <c r="D309" t="s">
        <v>77</v>
      </c>
    </row>
    <row r="310" spans="2:4" ht="14.45" hidden="1" customHeight="1" x14ac:dyDescent="0.25">
      <c r="B310" s="37" t="s">
        <v>81</v>
      </c>
      <c r="C310" t="s">
        <v>183</v>
      </c>
      <c r="D310" t="s">
        <v>77</v>
      </c>
    </row>
    <row r="311" spans="2:4" ht="14.45" hidden="1" customHeight="1" x14ac:dyDescent="0.25">
      <c r="B311" s="37" t="s">
        <v>146</v>
      </c>
      <c r="C311" t="s">
        <v>184</v>
      </c>
      <c r="D311" t="s">
        <v>77</v>
      </c>
    </row>
    <row r="312" spans="2:4" ht="14.45" hidden="1" customHeight="1" x14ac:dyDescent="0.25">
      <c r="B312" s="37" t="s">
        <v>61</v>
      </c>
      <c r="C312" t="s">
        <v>189</v>
      </c>
      <c r="D312" t="s">
        <v>18</v>
      </c>
    </row>
    <row r="313" spans="2:4" ht="14.45" hidden="1" customHeight="1" x14ac:dyDescent="0.25">
      <c r="B313" s="37" t="s">
        <v>62</v>
      </c>
      <c r="C313" t="s">
        <v>190</v>
      </c>
      <c r="D313" t="s">
        <v>18</v>
      </c>
    </row>
    <row r="314" spans="2:4" ht="14.45" hidden="1" customHeight="1" x14ac:dyDescent="0.25">
      <c r="B314" s="37" t="s">
        <v>112</v>
      </c>
      <c r="C314" t="s">
        <v>191</v>
      </c>
      <c r="D314" t="s">
        <v>18</v>
      </c>
    </row>
    <row r="315" spans="2:4" ht="14.45" hidden="1" customHeight="1" x14ac:dyDescent="0.25">
      <c r="B315" s="37" t="s">
        <v>63</v>
      </c>
      <c r="C315" t="s">
        <v>192</v>
      </c>
      <c r="D315" t="s">
        <v>18</v>
      </c>
    </row>
    <row r="316" spans="2:4" ht="14.45" hidden="1" customHeight="1" x14ac:dyDescent="0.25">
      <c r="B316" s="37" t="s">
        <v>113</v>
      </c>
      <c r="C316" t="s">
        <v>193</v>
      </c>
      <c r="D316" t="s">
        <v>18</v>
      </c>
    </row>
    <row r="317" spans="2:4" ht="14.45" hidden="1" customHeight="1" x14ac:dyDescent="0.25">
      <c r="B317" s="37" t="s">
        <v>114</v>
      </c>
      <c r="C317" t="s">
        <v>194</v>
      </c>
      <c r="D317" t="s">
        <v>18</v>
      </c>
    </row>
    <row r="318" spans="2:4" ht="14.45" hidden="1" customHeight="1" x14ac:dyDescent="0.25">
      <c r="B318" s="37" t="s">
        <v>147</v>
      </c>
      <c r="C318" t="s">
        <v>195</v>
      </c>
      <c r="D318" t="s">
        <v>18</v>
      </c>
    </row>
    <row r="319" spans="2:4" ht="14.45" hidden="1" customHeight="1" x14ac:dyDescent="0.25">
      <c r="B319" s="37" t="s">
        <v>148</v>
      </c>
      <c r="C319" t="s">
        <v>196</v>
      </c>
      <c r="D319" t="s">
        <v>18</v>
      </c>
    </row>
    <row r="320" spans="2:4" ht="14.45" hidden="1" customHeight="1" x14ac:dyDescent="0.25">
      <c r="B320" s="39" t="s">
        <v>115</v>
      </c>
      <c r="C320" t="s">
        <v>197</v>
      </c>
      <c r="D320" t="s">
        <v>18</v>
      </c>
    </row>
    <row r="321" spans="2:4" ht="14.45" hidden="1" customHeight="1" x14ac:dyDescent="0.25">
      <c r="B321" s="37" t="s">
        <v>116</v>
      </c>
      <c r="C321" t="s">
        <v>198</v>
      </c>
      <c r="D321" t="s">
        <v>18</v>
      </c>
    </row>
    <row r="322" spans="2:4" ht="14.45" hidden="1" customHeight="1" x14ac:dyDescent="0.25">
      <c r="B322" s="37" t="s">
        <v>149</v>
      </c>
      <c r="C322" t="s">
        <v>199</v>
      </c>
      <c r="D322" t="s">
        <v>18</v>
      </c>
    </row>
    <row r="323" spans="2:4" ht="14.45" hidden="1" customHeight="1" x14ac:dyDescent="0.25">
      <c r="B323" s="37" t="s">
        <v>111</v>
      </c>
      <c r="C323" t="s">
        <v>185</v>
      </c>
      <c r="D323" t="s">
        <v>19</v>
      </c>
    </row>
    <row r="324" spans="2:4" ht="14.45" hidden="1" customHeight="1" x14ac:dyDescent="0.25">
      <c r="B324" s="37" t="s">
        <v>75</v>
      </c>
      <c r="C324" t="s">
        <v>186</v>
      </c>
      <c r="D324" t="s">
        <v>19</v>
      </c>
    </row>
    <row r="325" spans="2:4" ht="14.45" hidden="1" customHeight="1" x14ac:dyDescent="0.25">
      <c r="B325" s="37" t="s">
        <v>74</v>
      </c>
      <c r="C325" t="s">
        <v>187</v>
      </c>
      <c r="D325" t="s">
        <v>19</v>
      </c>
    </row>
    <row r="326" spans="2:4" ht="14.45" hidden="1" customHeight="1" x14ac:dyDescent="0.25">
      <c r="B326" s="37" t="s">
        <v>76</v>
      </c>
      <c r="C326" t="s">
        <v>188</v>
      </c>
      <c r="D326" t="s">
        <v>19</v>
      </c>
    </row>
    <row r="327" spans="2:4" ht="14.45" hidden="1" customHeight="1" x14ac:dyDescent="0.25">
      <c r="B327" s="37" t="s">
        <v>138</v>
      </c>
      <c r="C327" t="s">
        <v>268</v>
      </c>
      <c r="D327" t="s">
        <v>37</v>
      </c>
    </row>
    <row r="328" spans="2:4" ht="14.45" hidden="1" customHeight="1" x14ac:dyDescent="0.25">
      <c r="B328" s="37" t="s">
        <v>38</v>
      </c>
      <c r="C328" t="s">
        <v>269</v>
      </c>
      <c r="D328" t="s">
        <v>37</v>
      </c>
    </row>
    <row r="329" spans="2:4" ht="14.45" hidden="1" customHeight="1" x14ac:dyDescent="0.25">
      <c r="B329" s="37" t="s">
        <v>39</v>
      </c>
      <c r="C329" t="s">
        <v>270</v>
      </c>
      <c r="D329" t="s">
        <v>37</v>
      </c>
    </row>
    <row r="330" spans="2:4" ht="14.45" hidden="1" customHeight="1" x14ac:dyDescent="0.25">
      <c r="B330" s="37" t="s">
        <v>139</v>
      </c>
      <c r="C330" t="s">
        <v>271</v>
      </c>
      <c r="D330" t="s">
        <v>37</v>
      </c>
    </row>
    <row r="331" spans="2:4" ht="14.45" hidden="1" customHeight="1" x14ac:dyDescent="0.25">
      <c r="B331" s="37" t="s">
        <v>40</v>
      </c>
      <c r="C331" t="s">
        <v>272</v>
      </c>
      <c r="D331" t="s">
        <v>37</v>
      </c>
    </row>
    <row r="332" spans="2:4" ht="14.45" hidden="1" customHeight="1" x14ac:dyDescent="0.25">
      <c r="B332" s="37" t="s">
        <v>140</v>
      </c>
      <c r="C332" t="s">
        <v>273</v>
      </c>
      <c r="D332" t="s">
        <v>37</v>
      </c>
    </row>
    <row r="333" spans="2:4" ht="14.45" hidden="1" customHeight="1" x14ac:dyDescent="0.25">
      <c r="B333" s="37" t="s">
        <v>141</v>
      </c>
      <c r="C333" t="s">
        <v>274</v>
      </c>
      <c r="D333" t="s">
        <v>37</v>
      </c>
    </row>
    <row r="334" spans="2:4" ht="14.45" hidden="1" customHeight="1" x14ac:dyDescent="0.25">
      <c r="B334" s="37" t="s">
        <v>138</v>
      </c>
      <c r="C334" t="s">
        <v>268</v>
      </c>
      <c r="D334" t="s">
        <v>175</v>
      </c>
    </row>
    <row r="335" spans="2:4" ht="14.45" hidden="1" customHeight="1" x14ac:dyDescent="0.25">
      <c r="B335" s="37" t="s">
        <v>152</v>
      </c>
      <c r="C335" t="s">
        <v>213</v>
      </c>
      <c r="D335" t="s">
        <v>175</v>
      </c>
    </row>
    <row r="336" spans="2:4" ht="14.45" hidden="1" customHeight="1" x14ac:dyDescent="0.25">
      <c r="B336" s="37" t="s">
        <v>38</v>
      </c>
      <c r="C336" t="s">
        <v>269</v>
      </c>
      <c r="D336" t="s">
        <v>175</v>
      </c>
    </row>
    <row r="337" spans="2:4" ht="14.45" hidden="1" customHeight="1" x14ac:dyDescent="0.25">
      <c r="B337" s="37" t="s">
        <v>59</v>
      </c>
      <c r="C337" t="s">
        <v>221</v>
      </c>
      <c r="D337" t="s">
        <v>175</v>
      </c>
    </row>
    <row r="338" spans="2:4" ht="14.45" hidden="1" customHeight="1" x14ac:dyDescent="0.25">
      <c r="B338" s="37" t="s">
        <v>39</v>
      </c>
      <c r="C338" t="s">
        <v>270</v>
      </c>
      <c r="D338" t="s">
        <v>175</v>
      </c>
    </row>
    <row r="339" spans="2:4" ht="14.45" hidden="1" customHeight="1" x14ac:dyDescent="0.25">
      <c r="B339" s="37" t="s">
        <v>124</v>
      </c>
      <c r="C339" t="s">
        <v>214</v>
      </c>
      <c r="D339" t="s">
        <v>175</v>
      </c>
    </row>
    <row r="340" spans="2:4" ht="14.45" hidden="1" customHeight="1" x14ac:dyDescent="0.25">
      <c r="B340" s="37" t="s">
        <v>139</v>
      </c>
      <c r="C340" t="s">
        <v>271</v>
      </c>
      <c r="D340" t="s">
        <v>175</v>
      </c>
    </row>
    <row r="341" spans="2:4" ht="14.45" hidden="1" customHeight="1" x14ac:dyDescent="0.25">
      <c r="B341" s="37" t="s">
        <v>58</v>
      </c>
      <c r="C341" t="s">
        <v>222</v>
      </c>
      <c r="D341" t="s">
        <v>175</v>
      </c>
    </row>
    <row r="342" spans="2:4" ht="14.45" hidden="1" customHeight="1" x14ac:dyDescent="0.25">
      <c r="B342" s="37" t="s">
        <v>40</v>
      </c>
      <c r="C342" t="s">
        <v>272</v>
      </c>
      <c r="D342" t="s">
        <v>175</v>
      </c>
    </row>
    <row r="343" spans="2:4" ht="14.45" hidden="1" customHeight="1" x14ac:dyDescent="0.25">
      <c r="B343" s="37" t="s">
        <v>56</v>
      </c>
      <c r="C343" t="s">
        <v>215</v>
      </c>
      <c r="D343" t="s">
        <v>175</v>
      </c>
    </row>
    <row r="344" spans="2:4" ht="14.45" hidden="1" customHeight="1" x14ac:dyDescent="0.25">
      <c r="B344" s="37" t="s">
        <v>140</v>
      </c>
      <c r="C344" t="s">
        <v>273</v>
      </c>
      <c r="D344" t="s">
        <v>175</v>
      </c>
    </row>
    <row r="345" spans="2:4" ht="14.45" hidden="1" customHeight="1" x14ac:dyDescent="0.25">
      <c r="B345" s="37" t="s">
        <v>154</v>
      </c>
      <c r="C345" t="s">
        <v>223</v>
      </c>
      <c r="D345" t="s">
        <v>175</v>
      </c>
    </row>
    <row r="346" spans="2:4" ht="14.45" hidden="1" customHeight="1" x14ac:dyDescent="0.25">
      <c r="B346" s="37" t="s">
        <v>141</v>
      </c>
      <c r="C346" t="s">
        <v>274</v>
      </c>
      <c r="D346" t="s">
        <v>175</v>
      </c>
    </row>
    <row r="347" spans="2:4" ht="14.45" hidden="1" customHeight="1" x14ac:dyDescent="0.25">
      <c r="B347" s="37" t="s">
        <v>55</v>
      </c>
      <c r="C347" t="s">
        <v>216</v>
      </c>
      <c r="D347" t="s">
        <v>175</v>
      </c>
    </row>
    <row r="348" spans="2:4" ht="14.45" hidden="1" customHeight="1" x14ac:dyDescent="0.25">
      <c r="B348" s="37" t="s">
        <v>155</v>
      </c>
      <c r="C348" t="s">
        <v>224</v>
      </c>
      <c r="D348" t="s">
        <v>175</v>
      </c>
    </row>
    <row r="349" spans="2:4" ht="14.45" hidden="1" customHeight="1" x14ac:dyDescent="0.25">
      <c r="B349" s="37" t="s">
        <v>153</v>
      </c>
      <c r="C349" t="s">
        <v>217</v>
      </c>
      <c r="D349" t="s">
        <v>175</v>
      </c>
    </row>
    <row r="350" spans="2:4" ht="14.45" hidden="1" customHeight="1" x14ac:dyDescent="0.25">
      <c r="B350" s="37" t="s">
        <v>60</v>
      </c>
      <c r="C350" t="s">
        <v>225</v>
      </c>
      <c r="D350" t="s">
        <v>175</v>
      </c>
    </row>
    <row r="351" spans="2:4" ht="14.45" hidden="1" customHeight="1" x14ac:dyDescent="0.25">
      <c r="B351" s="37" t="s">
        <v>53</v>
      </c>
      <c r="C351" t="s">
        <v>218</v>
      </c>
      <c r="D351" t="s">
        <v>175</v>
      </c>
    </row>
    <row r="352" spans="2:4" ht="14.45" hidden="1" customHeight="1" x14ac:dyDescent="0.25">
      <c r="B352" s="37" t="s">
        <v>125</v>
      </c>
      <c r="C352" t="s">
        <v>219</v>
      </c>
      <c r="D352" t="s">
        <v>175</v>
      </c>
    </row>
    <row r="353" spans="2:4" ht="14.45" hidden="1" customHeight="1" x14ac:dyDescent="0.25">
      <c r="B353" s="37" t="s">
        <v>54</v>
      </c>
      <c r="C353" t="s">
        <v>220</v>
      </c>
      <c r="D353" t="s">
        <v>175</v>
      </c>
    </row>
    <row r="354" spans="2:4" ht="14.45" hidden="1" customHeight="1" x14ac:dyDescent="0.25">
      <c r="B354" s="37" t="s">
        <v>32</v>
      </c>
      <c r="C354" t="s">
        <v>288</v>
      </c>
      <c r="D354" t="s">
        <v>104</v>
      </c>
    </row>
    <row r="355" spans="2:4" ht="14.45" hidden="1" customHeight="1" x14ac:dyDescent="0.25">
      <c r="B355" s="37" t="s">
        <v>34</v>
      </c>
      <c r="C355" t="s">
        <v>289</v>
      </c>
      <c r="D355" t="s">
        <v>104</v>
      </c>
    </row>
    <row r="356" spans="2:4" ht="14.45" hidden="1" customHeight="1" x14ac:dyDescent="0.25">
      <c r="B356" s="37" t="s">
        <v>35</v>
      </c>
      <c r="C356" t="s">
        <v>290</v>
      </c>
      <c r="D356" t="s">
        <v>104</v>
      </c>
    </row>
    <row r="357" spans="2:4" ht="14.45" hidden="1" customHeight="1" x14ac:dyDescent="0.25">
      <c r="B357" s="37" t="s">
        <v>174</v>
      </c>
      <c r="C357" t="s">
        <v>291</v>
      </c>
      <c r="D357" t="s">
        <v>104</v>
      </c>
    </row>
    <row r="358" spans="2:4" ht="14.45" hidden="1" customHeight="1" x14ac:dyDescent="0.25">
      <c r="B358" s="13" t="s">
        <v>145</v>
      </c>
      <c r="C358" t="s">
        <v>292</v>
      </c>
      <c r="D358" t="s">
        <v>104</v>
      </c>
    </row>
    <row r="359" spans="2:4" ht="14.45" hidden="1" customHeight="1" x14ac:dyDescent="0.25">
      <c r="B359" s="37" t="s">
        <v>33</v>
      </c>
      <c r="C359" t="s">
        <v>293</v>
      </c>
      <c r="D359" t="s">
        <v>104</v>
      </c>
    </row>
    <row r="360" spans="2:4" ht="14.45" hidden="1" customHeight="1" x14ac:dyDescent="0.25">
      <c r="B360" s="37" t="s">
        <v>66</v>
      </c>
      <c r="C360" t="s">
        <v>253</v>
      </c>
      <c r="D360" t="s">
        <v>108</v>
      </c>
    </row>
    <row r="361" spans="2:4" ht="14.45" hidden="1" customHeight="1" x14ac:dyDescent="0.25">
      <c r="B361" s="37" t="s">
        <v>67</v>
      </c>
      <c r="C361" t="s">
        <v>254</v>
      </c>
      <c r="D361" t="s">
        <v>108</v>
      </c>
    </row>
    <row r="362" spans="2:4" ht="14.45" hidden="1" customHeight="1" x14ac:dyDescent="0.25">
      <c r="B362" s="37" t="s">
        <v>133</v>
      </c>
      <c r="C362" t="s">
        <v>255</v>
      </c>
      <c r="D362" t="s">
        <v>108</v>
      </c>
    </row>
    <row r="363" spans="2:4" ht="14.45" hidden="1" customHeight="1" x14ac:dyDescent="0.25">
      <c r="B363" s="37" t="s">
        <v>170</v>
      </c>
      <c r="C363" t="s">
        <v>256</v>
      </c>
      <c r="D363" t="s">
        <v>108</v>
      </c>
    </row>
    <row r="364" spans="2:4" ht="14.45" hidden="1" customHeight="1" x14ac:dyDescent="0.25">
      <c r="B364" s="37" t="s">
        <v>70</v>
      </c>
      <c r="C364" t="s">
        <v>257</v>
      </c>
      <c r="D364" t="s">
        <v>108</v>
      </c>
    </row>
    <row r="365" spans="2:4" ht="14.45" hidden="1" customHeight="1" x14ac:dyDescent="0.25">
      <c r="B365" s="37" t="s">
        <v>69</v>
      </c>
      <c r="C365" t="s">
        <v>258</v>
      </c>
      <c r="D365" t="s">
        <v>108</v>
      </c>
    </row>
    <row r="366" spans="2:4" ht="14.45" hidden="1" customHeight="1" x14ac:dyDescent="0.25">
      <c r="B366" s="37" t="s">
        <v>134</v>
      </c>
      <c r="C366" t="s">
        <v>259</v>
      </c>
      <c r="D366" t="s">
        <v>108</v>
      </c>
    </row>
    <row r="367" spans="2:4" ht="14.45" hidden="1" customHeight="1" x14ac:dyDescent="0.25">
      <c r="B367" s="37" t="s">
        <v>171</v>
      </c>
      <c r="C367" t="s">
        <v>260</v>
      </c>
      <c r="D367" t="s">
        <v>108</v>
      </c>
    </row>
    <row r="368" spans="2:4" ht="14.45" hidden="1" customHeight="1" x14ac:dyDescent="0.25">
      <c r="B368" s="37" t="s">
        <v>135</v>
      </c>
      <c r="C368" t="s">
        <v>261</v>
      </c>
      <c r="D368" t="s">
        <v>107</v>
      </c>
    </row>
    <row r="369" spans="2:4" ht="14.45" hidden="1" customHeight="1" x14ac:dyDescent="0.25">
      <c r="B369" s="37" t="s">
        <v>71</v>
      </c>
      <c r="C369" t="s">
        <v>262</v>
      </c>
      <c r="D369" t="s">
        <v>107</v>
      </c>
    </row>
    <row r="370" spans="2:4" ht="14.45" hidden="1" customHeight="1" x14ac:dyDescent="0.25">
      <c r="B370" s="37" t="s">
        <v>72</v>
      </c>
      <c r="C370" t="s">
        <v>263</v>
      </c>
      <c r="D370" t="s">
        <v>107</v>
      </c>
    </row>
    <row r="371" spans="2:4" ht="14.45" hidden="1" customHeight="1" x14ac:dyDescent="0.25">
      <c r="B371" s="37" t="s">
        <v>136</v>
      </c>
      <c r="C371" t="s">
        <v>264</v>
      </c>
      <c r="D371" t="s">
        <v>107</v>
      </c>
    </row>
    <row r="372" spans="2:4" ht="14.45" hidden="1" customHeight="1" x14ac:dyDescent="0.25">
      <c r="B372" s="37" t="s">
        <v>172</v>
      </c>
      <c r="C372" t="s">
        <v>265</v>
      </c>
      <c r="D372" t="s">
        <v>106</v>
      </c>
    </row>
    <row r="373" spans="2:4" ht="14.45" hidden="1" customHeight="1" x14ac:dyDescent="0.25">
      <c r="B373" s="37" t="s">
        <v>73</v>
      </c>
      <c r="C373" t="s">
        <v>266</v>
      </c>
      <c r="D373" t="s">
        <v>106</v>
      </c>
    </row>
    <row r="374" spans="2:4" ht="14.45" hidden="1" customHeight="1" x14ac:dyDescent="0.25">
      <c r="B374" s="37" t="s">
        <v>137</v>
      </c>
      <c r="C374" t="s">
        <v>267</v>
      </c>
      <c r="D374" t="s">
        <v>106</v>
      </c>
    </row>
    <row r="375" spans="2:4" ht="14.45" hidden="1" customHeight="1" x14ac:dyDescent="0.25">
      <c r="B375" s="37" t="s">
        <v>156</v>
      </c>
      <c r="C375" t="s">
        <v>226</v>
      </c>
      <c r="D375" t="s">
        <v>126</v>
      </c>
    </row>
    <row r="376" spans="2:4" ht="14.45" hidden="1" customHeight="1" x14ac:dyDescent="0.25">
      <c r="B376" s="37" t="s">
        <v>157</v>
      </c>
      <c r="C376" t="s">
        <v>227</v>
      </c>
      <c r="D376" t="s">
        <v>126</v>
      </c>
    </row>
    <row r="377" spans="2:4" ht="14.45" hidden="1" customHeight="1" x14ac:dyDescent="0.25">
      <c r="B377" s="37" t="s">
        <v>158</v>
      </c>
      <c r="C377" t="s">
        <v>228</v>
      </c>
      <c r="D377" t="s">
        <v>126</v>
      </c>
    </row>
    <row r="378" spans="2:4" ht="14.45" hidden="1" customHeight="1" x14ac:dyDescent="0.25">
      <c r="B378" s="37" t="s">
        <v>42</v>
      </c>
      <c r="C378" t="s">
        <v>229</v>
      </c>
      <c r="D378" t="s">
        <v>126</v>
      </c>
    </row>
    <row r="379" spans="2:4" ht="14.45" hidden="1" customHeight="1" x14ac:dyDescent="0.25">
      <c r="B379" s="37" t="s">
        <v>127</v>
      </c>
      <c r="C379" t="s">
        <v>230</v>
      </c>
      <c r="D379" t="s">
        <v>126</v>
      </c>
    </row>
    <row r="380" spans="2:4" ht="14.45" hidden="1" customHeight="1" x14ac:dyDescent="0.25">
      <c r="B380" s="37" t="s">
        <v>128</v>
      </c>
      <c r="C380" t="s">
        <v>231</v>
      </c>
      <c r="D380" t="s">
        <v>126</v>
      </c>
    </row>
    <row r="381" spans="2:4" ht="14.45" hidden="1" customHeight="1" x14ac:dyDescent="0.25">
      <c r="B381" s="37" t="s">
        <v>41</v>
      </c>
      <c r="C381" t="s">
        <v>232</v>
      </c>
      <c r="D381" t="s">
        <v>126</v>
      </c>
    </row>
    <row r="382" spans="2:4" ht="14.45" hidden="1" customHeight="1" x14ac:dyDescent="0.25">
      <c r="B382" s="37" t="s">
        <v>129</v>
      </c>
      <c r="C382" t="s">
        <v>233</v>
      </c>
      <c r="D382" t="s">
        <v>126</v>
      </c>
    </row>
    <row r="383" spans="2:4" ht="14.45" hidden="1" customHeight="1" x14ac:dyDescent="0.25">
      <c r="B383" s="37" t="s">
        <v>23</v>
      </c>
      <c r="C383" t="s">
        <v>275</v>
      </c>
      <c r="D383" t="s">
        <v>22</v>
      </c>
    </row>
    <row r="384" spans="2:4" ht="14.45" hidden="1" customHeight="1" x14ac:dyDescent="0.25">
      <c r="B384" s="37" t="s">
        <v>25</v>
      </c>
      <c r="C384" t="s">
        <v>276</v>
      </c>
      <c r="D384" t="s">
        <v>22</v>
      </c>
    </row>
    <row r="385" spans="2:4" ht="14.45" hidden="1" customHeight="1" x14ac:dyDescent="0.25">
      <c r="B385" s="37" t="s">
        <v>142</v>
      </c>
      <c r="C385" t="s">
        <v>277</v>
      </c>
      <c r="D385" t="s">
        <v>22</v>
      </c>
    </row>
    <row r="386" spans="2:4" ht="14.45" hidden="1" customHeight="1" x14ac:dyDescent="0.25">
      <c r="B386" s="37" t="s">
        <v>24</v>
      </c>
      <c r="C386" t="s">
        <v>278</v>
      </c>
      <c r="D386" t="s">
        <v>22</v>
      </c>
    </row>
    <row r="387" spans="2:4" ht="14.45" hidden="1" customHeight="1" x14ac:dyDescent="0.25">
      <c r="B387" s="13" t="s">
        <v>173</v>
      </c>
      <c r="C387" t="s">
        <v>279</v>
      </c>
      <c r="D387" t="s">
        <v>22</v>
      </c>
    </row>
    <row r="388" spans="2:4" ht="14.45" hidden="1" customHeight="1" x14ac:dyDescent="0.25">
      <c r="B388" s="37" t="s">
        <v>26</v>
      </c>
      <c r="C388" t="s">
        <v>280</v>
      </c>
      <c r="D388" t="s">
        <v>22</v>
      </c>
    </row>
    <row r="389" spans="2:4" ht="14.45" hidden="1" customHeight="1" x14ac:dyDescent="0.25">
      <c r="B389" s="37" t="s">
        <v>27</v>
      </c>
      <c r="C389" t="s">
        <v>281</v>
      </c>
      <c r="D389" t="s">
        <v>22</v>
      </c>
    </row>
    <row r="390" spans="2:4" ht="14.45" hidden="1" customHeight="1" x14ac:dyDescent="0.25">
      <c r="B390" s="37" t="s">
        <v>152</v>
      </c>
      <c r="C390" t="s">
        <v>213</v>
      </c>
      <c r="D390" t="s">
        <v>52</v>
      </c>
    </row>
    <row r="391" spans="2:4" ht="14.45" hidden="1" customHeight="1" x14ac:dyDescent="0.25">
      <c r="B391" s="37" t="s">
        <v>124</v>
      </c>
      <c r="C391" t="s">
        <v>214</v>
      </c>
      <c r="D391" t="s">
        <v>52</v>
      </c>
    </row>
    <row r="392" spans="2:4" ht="14.45" hidden="1" customHeight="1" x14ac:dyDescent="0.25">
      <c r="B392" s="37" t="s">
        <v>56</v>
      </c>
      <c r="C392" t="s">
        <v>215</v>
      </c>
      <c r="D392" t="s">
        <v>52</v>
      </c>
    </row>
    <row r="393" spans="2:4" ht="14.45" hidden="1" customHeight="1" x14ac:dyDescent="0.25">
      <c r="B393" s="37" t="s">
        <v>55</v>
      </c>
      <c r="C393" t="s">
        <v>216</v>
      </c>
      <c r="D393" t="s">
        <v>52</v>
      </c>
    </row>
    <row r="394" spans="2:4" ht="14.45" hidden="1" customHeight="1" x14ac:dyDescent="0.25">
      <c r="B394" s="37" t="s">
        <v>153</v>
      </c>
      <c r="C394" t="s">
        <v>217</v>
      </c>
      <c r="D394" t="s">
        <v>52</v>
      </c>
    </row>
    <row r="395" spans="2:4" ht="14.45" hidden="1" customHeight="1" x14ac:dyDescent="0.25">
      <c r="B395" s="37" t="s">
        <v>53</v>
      </c>
      <c r="C395" t="s">
        <v>218</v>
      </c>
      <c r="D395" t="s">
        <v>52</v>
      </c>
    </row>
    <row r="396" spans="2:4" ht="14.45" hidden="1" customHeight="1" x14ac:dyDescent="0.25">
      <c r="B396" s="37" t="s">
        <v>125</v>
      </c>
      <c r="C396" t="s">
        <v>219</v>
      </c>
      <c r="D396" t="s">
        <v>52</v>
      </c>
    </row>
    <row r="397" spans="2:4" ht="14.45" hidden="1" customHeight="1" x14ac:dyDescent="0.25">
      <c r="B397" s="37" t="s">
        <v>54</v>
      </c>
      <c r="C397" t="s">
        <v>220</v>
      </c>
      <c r="D397" t="s">
        <v>52</v>
      </c>
    </row>
    <row r="398" spans="2:4" ht="14.45" hidden="1" customHeight="1" x14ac:dyDescent="0.25">
      <c r="B398" s="39" t="s">
        <v>29</v>
      </c>
      <c r="C398" t="s">
        <v>282</v>
      </c>
      <c r="D398" t="s">
        <v>143</v>
      </c>
    </row>
    <row r="399" spans="2:4" ht="14.45" hidden="1" customHeight="1" x14ac:dyDescent="0.25">
      <c r="B399" s="37" t="s">
        <v>31</v>
      </c>
      <c r="C399" t="s">
        <v>283</v>
      </c>
      <c r="D399" t="s">
        <v>143</v>
      </c>
    </row>
    <row r="400" spans="2:4" ht="14.45" hidden="1" customHeight="1" x14ac:dyDescent="0.25">
      <c r="B400" s="37" t="s">
        <v>28</v>
      </c>
      <c r="C400" t="s">
        <v>284</v>
      </c>
      <c r="D400" t="s">
        <v>143</v>
      </c>
    </row>
    <row r="401" spans="2:4" ht="14.45" hidden="1" customHeight="1" x14ac:dyDescent="0.25">
      <c r="B401" s="37" t="s">
        <v>36</v>
      </c>
      <c r="C401" t="s">
        <v>285</v>
      </c>
      <c r="D401" t="s">
        <v>143</v>
      </c>
    </row>
    <row r="402" spans="2:4" ht="14.45" hidden="1" customHeight="1" x14ac:dyDescent="0.25">
      <c r="B402" s="37" t="s">
        <v>30</v>
      </c>
      <c r="C402" t="s">
        <v>286</v>
      </c>
      <c r="D402" t="s">
        <v>143</v>
      </c>
    </row>
    <row r="403" spans="2:4" ht="14.45" hidden="1" customHeight="1" x14ac:dyDescent="0.25">
      <c r="B403" s="13" t="s">
        <v>144</v>
      </c>
      <c r="C403" t="s">
        <v>287</v>
      </c>
      <c r="D403" t="s">
        <v>143</v>
      </c>
    </row>
    <row r="404" spans="2:4" ht="14.45" hidden="1" customHeight="1" x14ac:dyDescent="0.25">
      <c r="B404" s="39" t="s">
        <v>29</v>
      </c>
      <c r="C404" t="s">
        <v>282</v>
      </c>
      <c r="D404" t="s">
        <v>176</v>
      </c>
    </row>
    <row r="405" spans="2:4" ht="14.45" hidden="1" customHeight="1" x14ac:dyDescent="0.25">
      <c r="B405" s="37" t="s">
        <v>32</v>
      </c>
      <c r="C405" t="s">
        <v>288</v>
      </c>
      <c r="D405" t="s">
        <v>176</v>
      </c>
    </row>
    <row r="406" spans="2:4" ht="14.45" hidden="1" customHeight="1" x14ac:dyDescent="0.25">
      <c r="B406" s="37" t="s">
        <v>31</v>
      </c>
      <c r="C406" t="s">
        <v>283</v>
      </c>
      <c r="D406" t="s">
        <v>176</v>
      </c>
    </row>
    <row r="407" spans="2:4" ht="14.45" hidden="1" customHeight="1" x14ac:dyDescent="0.25">
      <c r="B407" s="37" t="s">
        <v>34</v>
      </c>
      <c r="C407" t="s">
        <v>289</v>
      </c>
      <c r="D407" t="s">
        <v>176</v>
      </c>
    </row>
    <row r="408" spans="2:4" ht="14.45" hidden="1" customHeight="1" x14ac:dyDescent="0.25">
      <c r="B408" s="37" t="s">
        <v>28</v>
      </c>
      <c r="C408" t="s">
        <v>284</v>
      </c>
      <c r="D408" t="s">
        <v>176</v>
      </c>
    </row>
    <row r="409" spans="2:4" ht="14.45" hidden="1" customHeight="1" x14ac:dyDescent="0.25">
      <c r="B409" s="37" t="s">
        <v>35</v>
      </c>
      <c r="C409" t="s">
        <v>290</v>
      </c>
      <c r="D409" t="s">
        <v>176</v>
      </c>
    </row>
    <row r="410" spans="2:4" ht="14.45" hidden="1" customHeight="1" x14ac:dyDescent="0.25">
      <c r="B410" s="37" t="s">
        <v>36</v>
      </c>
      <c r="C410" t="s">
        <v>285</v>
      </c>
      <c r="D410" t="s">
        <v>176</v>
      </c>
    </row>
    <row r="411" spans="2:4" ht="14.45" hidden="1" customHeight="1" x14ac:dyDescent="0.25">
      <c r="B411" s="37" t="s">
        <v>174</v>
      </c>
      <c r="C411" t="s">
        <v>291</v>
      </c>
      <c r="D411" t="s">
        <v>176</v>
      </c>
    </row>
    <row r="412" spans="2:4" ht="14.45" hidden="1" customHeight="1" x14ac:dyDescent="0.25">
      <c r="B412" s="37" t="s">
        <v>30</v>
      </c>
      <c r="C412" t="s">
        <v>286</v>
      </c>
      <c r="D412" t="s">
        <v>176</v>
      </c>
    </row>
    <row r="413" spans="2:4" ht="14.45" hidden="1" customHeight="1" x14ac:dyDescent="0.25">
      <c r="B413" s="13" t="s">
        <v>145</v>
      </c>
      <c r="C413" t="s">
        <v>292</v>
      </c>
      <c r="D413" t="s">
        <v>176</v>
      </c>
    </row>
    <row r="414" spans="2:4" ht="14.45" hidden="1" customHeight="1" x14ac:dyDescent="0.25">
      <c r="B414" s="13" t="s">
        <v>144</v>
      </c>
      <c r="C414" t="s">
        <v>287</v>
      </c>
      <c r="D414" t="s">
        <v>176</v>
      </c>
    </row>
    <row r="415" spans="2:4" ht="14.45" hidden="1" customHeight="1" x14ac:dyDescent="0.25">
      <c r="B415" s="37" t="s">
        <v>33</v>
      </c>
      <c r="C415" t="s">
        <v>293</v>
      </c>
      <c r="D415" t="s">
        <v>176</v>
      </c>
    </row>
    <row r="416" spans="2:4" ht="14.45" hidden="1" customHeight="1" x14ac:dyDescent="0.25">
      <c r="B416" s="37" t="s">
        <v>64</v>
      </c>
      <c r="C416" t="s">
        <v>246</v>
      </c>
      <c r="D416" t="s">
        <v>20</v>
      </c>
    </row>
    <row r="417" spans="2:4" ht="14.45" hidden="1" customHeight="1" x14ac:dyDescent="0.25">
      <c r="B417" s="37" t="s">
        <v>167</v>
      </c>
      <c r="C417" t="s">
        <v>247</v>
      </c>
      <c r="D417" t="s">
        <v>20</v>
      </c>
    </row>
    <row r="418" spans="2:4" ht="14.45" hidden="1" customHeight="1" x14ac:dyDescent="0.25">
      <c r="B418" s="37" t="s">
        <v>168</v>
      </c>
      <c r="C418" t="s">
        <v>248</v>
      </c>
      <c r="D418" t="s">
        <v>20</v>
      </c>
    </row>
    <row r="419" spans="2:4" ht="14.45" hidden="1" customHeight="1" x14ac:dyDescent="0.25">
      <c r="B419" s="37" t="s">
        <v>65</v>
      </c>
      <c r="C419" t="s">
        <v>249</v>
      </c>
      <c r="D419" t="s">
        <v>20</v>
      </c>
    </row>
    <row r="420" spans="2:4" ht="14.45" hidden="1" customHeight="1" x14ac:dyDescent="0.25">
      <c r="B420" s="37" t="s">
        <v>132</v>
      </c>
      <c r="C420" t="s">
        <v>250</v>
      </c>
      <c r="D420" t="s">
        <v>20</v>
      </c>
    </row>
    <row r="421" spans="2:4" ht="14.45" hidden="1" customHeight="1" x14ac:dyDescent="0.25">
      <c r="B421" s="37" t="s">
        <v>68</v>
      </c>
      <c r="C421" t="s">
        <v>251</v>
      </c>
      <c r="D421" t="s">
        <v>20</v>
      </c>
    </row>
    <row r="422" spans="2:4" ht="14.45" hidden="1" customHeight="1" x14ac:dyDescent="0.25">
      <c r="B422" s="37" t="s">
        <v>169</v>
      </c>
      <c r="C422" t="s">
        <v>252</v>
      </c>
      <c r="D422" t="s">
        <v>20</v>
      </c>
    </row>
    <row r="423" spans="2:4" ht="14.45" hidden="1" customHeight="1" x14ac:dyDescent="0.25">
      <c r="B423" s="37" t="s">
        <v>51</v>
      </c>
      <c r="C423" t="s">
        <v>200</v>
      </c>
      <c r="D423" t="s">
        <v>117</v>
      </c>
    </row>
    <row r="424" spans="2:4" ht="14.45" hidden="1" customHeight="1" x14ac:dyDescent="0.25">
      <c r="B424" s="37" t="s">
        <v>118</v>
      </c>
      <c r="C424" t="s">
        <v>201</v>
      </c>
      <c r="D424" t="s">
        <v>117</v>
      </c>
    </row>
    <row r="425" spans="2:4" ht="14.45" hidden="1" customHeight="1" x14ac:dyDescent="0.25">
      <c r="B425" s="37" t="s">
        <v>150</v>
      </c>
      <c r="C425" t="s">
        <v>202</v>
      </c>
      <c r="D425" t="s">
        <v>117</v>
      </c>
    </row>
    <row r="426" spans="2:4" ht="14.45" hidden="1" customHeight="1" x14ac:dyDescent="0.25">
      <c r="B426" s="37" t="s">
        <v>50</v>
      </c>
      <c r="C426" t="s">
        <v>203</v>
      </c>
      <c r="D426" t="s">
        <v>117</v>
      </c>
    </row>
    <row r="427" spans="2:4" ht="14.45" hidden="1" customHeight="1" x14ac:dyDescent="0.25">
      <c r="B427" s="37" t="s">
        <v>51</v>
      </c>
      <c r="C427" t="s">
        <v>200</v>
      </c>
      <c r="D427" t="s">
        <v>177</v>
      </c>
    </row>
    <row r="428" spans="2:4" ht="14.45" hidden="1" customHeight="1" x14ac:dyDescent="0.25">
      <c r="B428" s="37" t="s">
        <v>46</v>
      </c>
      <c r="C428" t="s">
        <v>204</v>
      </c>
      <c r="D428" t="s">
        <v>177</v>
      </c>
    </row>
    <row r="429" spans="2:4" ht="14.45" hidden="1" customHeight="1" x14ac:dyDescent="0.25">
      <c r="B429" s="37" t="s">
        <v>118</v>
      </c>
      <c r="C429" t="s">
        <v>201</v>
      </c>
      <c r="D429" t="s">
        <v>177</v>
      </c>
    </row>
    <row r="430" spans="2:4" ht="14.45" hidden="1" customHeight="1" x14ac:dyDescent="0.25">
      <c r="B430" s="37" t="s">
        <v>47</v>
      </c>
      <c r="C430" t="s">
        <v>205</v>
      </c>
      <c r="D430" t="s">
        <v>177</v>
      </c>
    </row>
    <row r="431" spans="2:4" ht="14.45" hidden="1" customHeight="1" x14ac:dyDescent="0.25">
      <c r="B431" s="37" t="s">
        <v>150</v>
      </c>
      <c r="C431" t="s">
        <v>202</v>
      </c>
      <c r="D431" t="s">
        <v>177</v>
      </c>
    </row>
    <row r="432" spans="2:4" ht="14.45" hidden="1" customHeight="1" x14ac:dyDescent="0.25">
      <c r="B432" s="37" t="s">
        <v>49</v>
      </c>
      <c r="C432" t="s">
        <v>206</v>
      </c>
      <c r="D432" t="s">
        <v>177</v>
      </c>
    </row>
    <row r="433" spans="2:4" ht="14.45" hidden="1" customHeight="1" x14ac:dyDescent="0.25">
      <c r="B433" s="37" t="s">
        <v>50</v>
      </c>
      <c r="C433" t="s">
        <v>203</v>
      </c>
      <c r="D433" t="s">
        <v>177</v>
      </c>
    </row>
    <row r="434" spans="2:4" ht="14.45" hidden="1" customHeight="1" x14ac:dyDescent="0.25">
      <c r="B434" s="37" t="s">
        <v>48</v>
      </c>
      <c r="C434" t="s">
        <v>207</v>
      </c>
      <c r="D434" t="s">
        <v>177</v>
      </c>
    </row>
    <row r="435" spans="2:4" ht="14.45" hidden="1" customHeight="1" x14ac:dyDescent="0.25">
      <c r="B435" s="37" t="s">
        <v>119</v>
      </c>
      <c r="C435" t="s">
        <v>208</v>
      </c>
      <c r="D435" t="s">
        <v>177</v>
      </c>
    </row>
    <row r="436" spans="2:4" ht="14.45" hidden="1" customHeight="1" x14ac:dyDescent="0.25">
      <c r="B436" s="37" t="s">
        <v>46</v>
      </c>
      <c r="C436" t="s">
        <v>204</v>
      </c>
      <c r="D436" s="38" t="s">
        <v>105</v>
      </c>
    </row>
    <row r="437" spans="2:4" ht="14.45" hidden="1" customHeight="1" x14ac:dyDescent="0.25">
      <c r="B437" s="37" t="s">
        <v>47</v>
      </c>
      <c r="C437" t="s">
        <v>205</v>
      </c>
      <c r="D437" s="38" t="s">
        <v>105</v>
      </c>
    </row>
    <row r="438" spans="2:4" ht="14.45" hidden="1" customHeight="1" x14ac:dyDescent="0.25">
      <c r="B438" s="37" t="s">
        <v>49</v>
      </c>
      <c r="C438" t="s">
        <v>206</v>
      </c>
      <c r="D438" s="38" t="s">
        <v>105</v>
      </c>
    </row>
    <row r="439" spans="2:4" ht="14.45" hidden="1" customHeight="1" x14ac:dyDescent="0.25">
      <c r="B439" s="37" t="s">
        <v>48</v>
      </c>
      <c r="C439" t="s">
        <v>207</v>
      </c>
      <c r="D439" s="38" t="s">
        <v>105</v>
      </c>
    </row>
    <row r="440" spans="2:4" ht="14.45" hidden="1" customHeight="1" x14ac:dyDescent="0.25">
      <c r="B440" s="37" t="s">
        <v>119</v>
      </c>
      <c r="C440" t="s">
        <v>208</v>
      </c>
      <c r="D440" s="38" t="s">
        <v>105</v>
      </c>
    </row>
    <row r="441" spans="2:4" ht="14.45" hidden="1" customHeight="1" x14ac:dyDescent="0.25">
      <c r="B441" s="37" t="s">
        <v>151</v>
      </c>
      <c r="C441" t="s">
        <v>209</v>
      </c>
      <c r="D441" t="s">
        <v>120</v>
      </c>
    </row>
    <row r="442" spans="2:4" ht="14.45" hidden="1" customHeight="1" x14ac:dyDescent="0.25">
      <c r="B442" s="37" t="s">
        <v>121</v>
      </c>
      <c r="C442" t="s">
        <v>210</v>
      </c>
      <c r="D442" t="s">
        <v>120</v>
      </c>
    </row>
    <row r="443" spans="2:4" ht="14.45" hidden="1" customHeight="1" x14ac:dyDescent="0.25">
      <c r="B443" s="37" t="s">
        <v>122</v>
      </c>
      <c r="C443" t="s">
        <v>211</v>
      </c>
      <c r="D443" t="s">
        <v>120</v>
      </c>
    </row>
    <row r="444" spans="2:4" ht="14.45" hidden="1" customHeight="1" x14ac:dyDescent="0.25">
      <c r="B444" s="37" t="s">
        <v>123</v>
      </c>
      <c r="C444" t="s">
        <v>212</v>
      </c>
      <c r="D444" t="s">
        <v>120</v>
      </c>
    </row>
    <row r="445" spans="2:4" ht="14.45" hidden="1" customHeight="1" x14ac:dyDescent="0.25">
      <c r="B445" s="37" t="s">
        <v>152</v>
      </c>
      <c r="C445" t="s">
        <v>213</v>
      </c>
      <c r="D445" t="s">
        <v>17</v>
      </c>
    </row>
    <row r="446" spans="2:4" ht="14.45" hidden="1" customHeight="1" x14ac:dyDescent="0.25">
      <c r="B446" s="37" t="s">
        <v>59</v>
      </c>
      <c r="C446" t="s">
        <v>221</v>
      </c>
      <c r="D446" t="s">
        <v>17</v>
      </c>
    </row>
    <row r="447" spans="2:4" ht="14.45" hidden="1" customHeight="1" x14ac:dyDescent="0.25">
      <c r="B447" s="37" t="s">
        <v>124</v>
      </c>
      <c r="C447" t="s">
        <v>214</v>
      </c>
      <c r="D447" t="s">
        <v>17</v>
      </c>
    </row>
    <row r="448" spans="2:4" ht="14.45" hidden="1" customHeight="1" x14ac:dyDescent="0.25">
      <c r="B448" s="37" t="s">
        <v>58</v>
      </c>
      <c r="C448" t="s">
        <v>222</v>
      </c>
      <c r="D448" t="s">
        <v>17</v>
      </c>
    </row>
    <row r="449" spans="2:4" ht="14.45" hidden="1" customHeight="1" x14ac:dyDescent="0.25">
      <c r="B449" s="37" t="s">
        <v>56</v>
      </c>
      <c r="C449" t="s">
        <v>215</v>
      </c>
      <c r="D449" t="s">
        <v>17</v>
      </c>
    </row>
    <row r="450" spans="2:4" ht="14.45" hidden="1" customHeight="1" x14ac:dyDescent="0.25">
      <c r="B450" s="37" t="s">
        <v>154</v>
      </c>
      <c r="C450" t="s">
        <v>223</v>
      </c>
      <c r="D450" t="s">
        <v>17</v>
      </c>
    </row>
    <row r="451" spans="2:4" ht="14.45" hidden="1" customHeight="1" x14ac:dyDescent="0.25">
      <c r="B451" s="37" t="s">
        <v>55</v>
      </c>
      <c r="C451" t="s">
        <v>216</v>
      </c>
      <c r="D451" t="s">
        <v>17</v>
      </c>
    </row>
    <row r="452" spans="2:4" ht="14.45" hidden="1" customHeight="1" x14ac:dyDescent="0.25">
      <c r="B452" s="37" t="s">
        <v>155</v>
      </c>
      <c r="C452" t="s">
        <v>224</v>
      </c>
      <c r="D452" t="s">
        <v>17</v>
      </c>
    </row>
    <row r="453" spans="2:4" ht="14.45" hidden="1" customHeight="1" x14ac:dyDescent="0.25">
      <c r="B453" s="37" t="s">
        <v>153</v>
      </c>
      <c r="C453" t="s">
        <v>217</v>
      </c>
      <c r="D453" t="s">
        <v>17</v>
      </c>
    </row>
    <row r="454" spans="2:4" ht="14.45" hidden="1" customHeight="1" x14ac:dyDescent="0.25">
      <c r="B454" s="37" t="s">
        <v>60</v>
      </c>
      <c r="C454" t="s">
        <v>225</v>
      </c>
      <c r="D454" t="s">
        <v>17</v>
      </c>
    </row>
    <row r="455" spans="2:4" ht="14.45" hidden="1" customHeight="1" x14ac:dyDescent="0.25">
      <c r="B455" s="37" t="s">
        <v>53</v>
      </c>
      <c r="C455" t="s">
        <v>218</v>
      </c>
      <c r="D455" t="s">
        <v>17</v>
      </c>
    </row>
    <row r="456" spans="2:4" ht="14.45" hidden="1" customHeight="1" x14ac:dyDescent="0.25">
      <c r="B456" s="37" t="s">
        <v>125</v>
      </c>
      <c r="C456" t="s">
        <v>219</v>
      </c>
      <c r="D456" t="s">
        <v>17</v>
      </c>
    </row>
    <row r="457" spans="2:4" ht="14.45" hidden="1" customHeight="1" x14ac:dyDescent="0.25">
      <c r="B457" s="37" t="s">
        <v>54</v>
      </c>
      <c r="C457" t="s">
        <v>220</v>
      </c>
      <c r="D457" t="s">
        <v>17</v>
      </c>
    </row>
    <row r="458" spans="2:4" ht="14.45" hidden="1" customHeight="1" x14ac:dyDescent="0.25">
      <c r="B458" s="37" t="s">
        <v>131</v>
      </c>
      <c r="C458" t="s">
        <v>234</v>
      </c>
      <c r="D458" t="s">
        <v>130</v>
      </c>
    </row>
    <row r="459" spans="2:4" ht="14.45" hidden="1" customHeight="1" x14ac:dyDescent="0.25">
      <c r="B459" s="37" t="s">
        <v>159</v>
      </c>
      <c r="C459" t="s">
        <v>235</v>
      </c>
      <c r="D459" t="s">
        <v>130</v>
      </c>
    </row>
    <row r="460" spans="2:4" ht="14.45" hidden="1" customHeight="1" x14ac:dyDescent="0.25">
      <c r="B460" s="37" t="s">
        <v>160</v>
      </c>
      <c r="C460" t="s">
        <v>236</v>
      </c>
      <c r="D460" t="s">
        <v>130</v>
      </c>
    </row>
    <row r="461" spans="2:4" ht="14.45" hidden="1" customHeight="1" x14ac:dyDescent="0.25">
      <c r="B461" s="37" t="s">
        <v>161</v>
      </c>
      <c r="C461" t="s">
        <v>237</v>
      </c>
      <c r="D461" t="s">
        <v>130</v>
      </c>
    </row>
    <row r="462" spans="2:4" ht="14.45" hidden="1" customHeight="1" x14ac:dyDescent="0.25">
      <c r="B462" s="37" t="s">
        <v>162</v>
      </c>
      <c r="C462" t="s">
        <v>238</v>
      </c>
      <c r="D462" t="s">
        <v>130</v>
      </c>
    </row>
    <row r="463" spans="2:4" ht="14.45" hidden="1" customHeight="1" x14ac:dyDescent="0.25">
      <c r="B463" s="39" t="s">
        <v>163</v>
      </c>
      <c r="C463" t="s">
        <v>239</v>
      </c>
      <c r="D463" t="s">
        <v>130</v>
      </c>
    </row>
    <row r="464" spans="2:4" ht="14.45" hidden="1" customHeight="1" x14ac:dyDescent="0.25">
      <c r="B464" s="39" t="s">
        <v>164</v>
      </c>
      <c r="C464" t="s">
        <v>240</v>
      </c>
      <c r="D464" t="s">
        <v>130</v>
      </c>
    </row>
    <row r="465" spans="2:4" ht="14.45" hidden="1" customHeight="1" x14ac:dyDescent="0.25">
      <c r="B465" s="37" t="s">
        <v>43</v>
      </c>
      <c r="C465" t="s">
        <v>241</v>
      </c>
      <c r="D465" t="s">
        <v>130</v>
      </c>
    </row>
    <row r="466" spans="2:4" ht="14.45" hidden="1" customHeight="1" x14ac:dyDescent="0.25">
      <c r="B466" s="39" t="s">
        <v>165</v>
      </c>
      <c r="C466" t="s">
        <v>242</v>
      </c>
      <c r="D466" t="s">
        <v>130</v>
      </c>
    </row>
    <row r="467" spans="2:4" ht="14.45" hidden="1" customHeight="1" x14ac:dyDescent="0.25">
      <c r="B467" s="39" t="s">
        <v>166</v>
      </c>
      <c r="C467" t="s">
        <v>243</v>
      </c>
      <c r="D467" t="s">
        <v>130</v>
      </c>
    </row>
    <row r="468" spans="2:4" ht="14.45" hidden="1" customHeight="1" x14ac:dyDescent="0.25">
      <c r="B468" s="37" t="s">
        <v>44</v>
      </c>
      <c r="C468" t="s">
        <v>244</v>
      </c>
      <c r="D468" t="s">
        <v>130</v>
      </c>
    </row>
    <row r="469" spans="2:4" ht="14.45" hidden="1" customHeight="1" x14ac:dyDescent="0.25">
      <c r="B469" s="39" t="s">
        <v>45</v>
      </c>
      <c r="C469" t="s">
        <v>245</v>
      </c>
      <c r="D469" t="s">
        <v>130</v>
      </c>
    </row>
    <row r="470" spans="2:4" ht="14.45" hidden="1" customHeight="1" x14ac:dyDescent="0.25">
      <c r="B470" s="37" t="s">
        <v>59</v>
      </c>
      <c r="C470" t="s">
        <v>221</v>
      </c>
      <c r="D470" t="s">
        <v>57</v>
      </c>
    </row>
    <row r="471" spans="2:4" ht="14.45" hidden="1" customHeight="1" x14ac:dyDescent="0.25">
      <c r="B471" s="37" t="s">
        <v>58</v>
      </c>
      <c r="C471" t="s">
        <v>222</v>
      </c>
      <c r="D471" t="s">
        <v>57</v>
      </c>
    </row>
    <row r="472" spans="2:4" ht="14.45" hidden="1" customHeight="1" x14ac:dyDescent="0.25">
      <c r="B472" s="37" t="s">
        <v>154</v>
      </c>
      <c r="C472" t="s">
        <v>223</v>
      </c>
      <c r="D472" t="s">
        <v>57</v>
      </c>
    </row>
    <row r="473" spans="2:4" ht="14.45" hidden="1" customHeight="1" x14ac:dyDescent="0.25">
      <c r="B473" s="37" t="s">
        <v>155</v>
      </c>
      <c r="C473" t="s">
        <v>224</v>
      </c>
      <c r="D473" t="s">
        <v>57</v>
      </c>
    </row>
    <row r="474" spans="2:4" ht="14.45" hidden="1" customHeight="1" x14ac:dyDescent="0.25">
      <c r="B474" s="37" t="s">
        <v>60</v>
      </c>
      <c r="C474" t="s">
        <v>225</v>
      </c>
      <c r="D474" t="s">
        <v>57</v>
      </c>
    </row>
  </sheetData>
  <dataConsolidate/>
  <mergeCells count="35">
    <mergeCell ref="AR43:AU43"/>
    <mergeCell ref="H43:M43"/>
    <mergeCell ref="N43:S43"/>
    <mergeCell ref="T43:Y43"/>
    <mergeCell ref="Z43:AE43"/>
    <mergeCell ref="AF43:AK43"/>
    <mergeCell ref="AL43:AQ43"/>
    <mergeCell ref="AR26:AU26"/>
    <mergeCell ref="H35:M35"/>
    <mergeCell ref="N35:S35"/>
    <mergeCell ref="T35:Y35"/>
    <mergeCell ref="Z35:AE35"/>
    <mergeCell ref="AF35:AK35"/>
    <mergeCell ref="AL35:AQ35"/>
    <mergeCell ref="AR35:AU35"/>
    <mergeCell ref="H26:M26"/>
    <mergeCell ref="N26:S26"/>
    <mergeCell ref="T26:Y26"/>
    <mergeCell ref="Z26:AE26"/>
    <mergeCell ref="AF26:AK26"/>
    <mergeCell ref="AL26:AQ26"/>
    <mergeCell ref="AR10:AU10"/>
    <mergeCell ref="H19:M19"/>
    <mergeCell ref="N19:S19"/>
    <mergeCell ref="T19:Y19"/>
    <mergeCell ref="Z19:AE19"/>
    <mergeCell ref="AF19:AK19"/>
    <mergeCell ref="AL19:AQ19"/>
    <mergeCell ref="AR19:AU19"/>
    <mergeCell ref="H10:M10"/>
    <mergeCell ref="N10:S10"/>
    <mergeCell ref="T10:Y10"/>
    <mergeCell ref="Z10:AE10"/>
    <mergeCell ref="AF10:AK10"/>
    <mergeCell ref="AL10:AQ10"/>
  </mergeCells>
  <dataValidations count="3">
    <dataValidation type="list" allowBlank="1" showInputMessage="1" showErrorMessage="1" sqref="S13:S18 S22:S25 M29:M34 M38:M42 M46:M52 Y22:Y25 AQ13:AQ18 Y29:Y34 AQ22:AQ25 S29:S34 Y38:Y42 AQ29:AQ34 S38:S42 Y46:Y52 AQ38:AQ42 S46:S52 Y13:Y18 AE29:AE34 AE38:AE42 AE46:AE52 AE13:AE18 AE22:AE25 AK29:AK34 AK38:AK42 AK46:AK52 AK13:AK18 AK22:AK25" xr:uid="{0060F7B5-0526-4F25-B81F-0A32713635A9}">
      <formula1>$C$60:$C$64</formula1>
    </dataValidation>
    <dataValidation type="list" allowBlank="1" showInputMessage="1" showErrorMessage="1" sqref="T13:T18 T22:T25 T29:T34 T46:T52 T38:T42" xr:uid="{CD7C5404-8C14-4102-B8C7-B33F340A2B8D}">
      <formula1>$C$61:$C$63</formula1>
    </dataValidation>
    <dataValidation type="list" allowBlank="1" showInputMessage="1" showErrorMessage="1" sqref="C46:C52 C13:C20 C22:C27 C29:C36 C38:C44" xr:uid="{6A1C5700-A2F0-4C26-A812-2FA2C0363B4B}">
      <formula1>INDIRECT(D13)</formula1>
    </dataValidation>
  </dataValidations>
  <hyperlinks>
    <hyperlink ref="B204" r:id="rId1" xr:uid="{678CDA03-A17E-42C7-958D-2BF51D81A335}"/>
    <hyperlink ref="B153" r:id="rId2" xr:uid="{CE80EC66-8110-462B-A4BA-7451A0E3A7A3}"/>
    <hyperlink ref="B151" r:id="rId3" xr:uid="{A4F917FB-6A71-459A-931C-269F9CE82606}"/>
    <hyperlink ref="B150" r:id="rId4" xr:uid="{82BD6A0D-51DB-4FCD-93EE-1A369E345B67}"/>
    <hyperlink ref="B147" r:id="rId5" xr:uid="{F0C99F94-590B-4150-AFFA-F3ECF8B1D04E}"/>
    <hyperlink ref="B148" r:id="rId6" xr:uid="{2621FD93-A265-46F9-85C9-C26565AFA536}"/>
    <hyperlink ref="B91" r:id="rId7" xr:uid="{90BCAD88-5575-4BC1-B2A4-A61480BBDE60}"/>
    <hyperlink ref="B72" r:id="rId8" xr:uid="{264C2068-59BE-4229-837D-D1C478E8E6A3}"/>
    <hyperlink ref="B71" r:id="rId9" xr:uid="{B5BC159C-9425-4801-877F-341162F4BF0C}"/>
    <hyperlink ref="B69" r:id="rId10" xr:uid="{8E0A3DC5-C57E-4857-909E-530458A7955E}"/>
    <hyperlink ref="B70" r:id="rId11" xr:uid="{BE897F47-BD70-4833-8E9E-7F2D85345E9F}"/>
    <hyperlink ref="B73" r:id="rId12" xr:uid="{980E4EC5-1D4E-4C25-9539-464981B50CB1}"/>
    <hyperlink ref="B74" r:id="rId13" xr:uid="{22A5BABB-7B41-4A21-9DE9-200B526E0061}"/>
    <hyperlink ref="B68" r:id="rId14" xr:uid="{BF48C77D-B22F-4884-94C8-7819184751BD}"/>
    <hyperlink ref="B79" r:id="rId15" xr:uid="{05C1F32F-8DB0-400D-8E12-B2B7A59AEAE0}"/>
    <hyperlink ref="B77" r:id="rId16" xr:uid="{2B89243A-C740-4FD8-B7ED-0F96FC171226}"/>
    <hyperlink ref="B78" r:id="rId17" xr:uid="{582007AD-DF3E-4FD8-87F7-7E7B3C5E5CE7}"/>
    <hyperlink ref="B80" r:id="rId18" xr:uid="{03E8FA83-C6E4-440F-B3FF-BAB9941BB095}"/>
    <hyperlink ref="B83" r:id="rId19" xr:uid="{D5FC5EAD-8E5B-44CE-AFB5-87F174CBCD4B}"/>
    <hyperlink ref="B84" r:id="rId20" xr:uid="{1B70F971-DCBF-4E9F-B587-B61282A6240F}"/>
    <hyperlink ref="B86" r:id="rId21" xr:uid="{CDB41EBE-C1DA-4ABB-9825-16A3AF8C14E7}"/>
    <hyperlink ref="B85" r:id="rId22" xr:uid="{14FC664B-9E09-44D0-9BF6-44A3A04EBDFA}"/>
    <hyperlink ref="B87" r:id="rId23" xr:uid="{D2EF9393-87AE-4F73-85D0-F853451E821E}"/>
    <hyperlink ref="B88" r:id="rId24" xr:uid="{249BCB1B-CCB1-4136-B291-BAA859172094}"/>
    <hyperlink ref="B89" r:id="rId25" xr:uid="{648D8EA7-0E99-4B19-B688-B73ECF53BA6B}"/>
    <hyperlink ref="B90" r:id="rId26" xr:uid="{441B87D6-1F83-4663-AF38-C09B0823D75C}"/>
    <hyperlink ref="B93" r:id="rId27" xr:uid="{825BBB05-5382-409C-9B28-371958D11166}"/>
    <hyperlink ref="B92" r:id="rId28" xr:uid="{97CD435B-2975-4AE8-B4CB-D7F0E281C493}"/>
    <hyperlink ref="B102" r:id="rId29" xr:uid="{CA696FFC-601E-4FEF-9D33-E048C9F0656F}"/>
    <hyperlink ref="B105" r:id="rId30" xr:uid="{47204356-E5CB-42B7-942E-E478C3D1C917}"/>
    <hyperlink ref="B106" r:id="rId31" xr:uid="{42BBD14B-6817-4602-94F0-73BDC629F909}"/>
    <hyperlink ref="B104" r:id="rId32" xr:uid="{8DEDDD33-5DF9-47FD-A6D0-DFE52136AA6E}"/>
    <hyperlink ref="B103" r:id="rId33" xr:uid="{B7E3EBF8-89E5-4448-B3A0-8DA05A39DE25}"/>
    <hyperlink ref="B98" r:id="rId34" xr:uid="{E5802B29-CF01-4CE5-9AB2-01F79A40A3DF}"/>
    <hyperlink ref="B99" r:id="rId35" xr:uid="{AF669A85-979E-4A7C-946E-9E010320E30B}"/>
    <hyperlink ref="B97" r:id="rId36" xr:uid="{B9D4BAAE-15F8-4918-B4E4-5255B677F994}"/>
    <hyperlink ref="B96" r:id="rId37" xr:uid="{F6C15EB4-C41E-47CD-A685-5BAB6B9E6AAF}"/>
    <hyperlink ref="B133" r:id="rId38" xr:uid="{04DC7A90-53AC-4F0E-991D-5072AA62DB62}"/>
    <hyperlink ref="B132" r:id="rId39" xr:uid="{FC07FCAC-F45A-4F5C-94F8-B27BE8E9CBA2}"/>
    <hyperlink ref="B135" r:id="rId40" xr:uid="{AA62C0D2-E660-4953-85EC-ABED1ECDDD89}"/>
    <hyperlink ref="B138" r:id="rId41" xr:uid="{7671441B-75D4-4DB7-A3B2-A37DD646F5FA}"/>
    <hyperlink ref="B145" r:id="rId42" xr:uid="{6F0C9869-58F6-4CC4-9D47-5AA1DB66EBB6}"/>
    <hyperlink ref="B142" r:id="rId43" xr:uid="{516D2AFC-3632-4668-AD81-9D4EFAFF7B81}"/>
    <hyperlink ref="B143" r:id="rId44" xr:uid="{88FC4DE1-043E-439A-B173-31B94ACD21D9}"/>
    <hyperlink ref="B144" r:id="rId45" xr:uid="{BACE984D-60A7-432C-B109-993F5B2C1923}"/>
    <hyperlink ref="B152" r:id="rId46" xr:uid="{FA001816-5403-4158-8C32-CEF82E79AE49}"/>
    <hyperlink ref="B146" r:id="rId47" xr:uid="{7C7019D5-5620-4565-976D-1A1EBEF88B07}"/>
    <hyperlink ref="B149" r:id="rId48" xr:uid="{EA912D19-A58C-4BE9-888C-55FDB570272F}"/>
    <hyperlink ref="B136" r:id="rId49" xr:uid="{37A46868-C3E0-4F45-BCCE-DFD6639A1E64}"/>
    <hyperlink ref="B134" r:id="rId50" xr:uid="{6E1BB701-A038-4DA9-B514-4D5F85A7F639}"/>
    <hyperlink ref="B110" r:id="rId51" xr:uid="{37DACEED-AC49-484B-B8B6-B14DF165543A}"/>
    <hyperlink ref="B109" r:id="rId52" xr:uid="{9FD03B9C-88F7-4C33-BDAF-F7E4C16807C9}"/>
    <hyperlink ref="B111" r:id="rId53" xr:uid="{AA890DF3-6BC1-4731-A2A8-B4F2C6B60166}"/>
    <hyperlink ref="B137" r:id="rId54" xr:uid="{32394E91-4A85-4CAD-974C-79CC34A4548A}"/>
    <hyperlink ref="B112" r:id="rId55" xr:uid="{7C0C0C1C-9233-401C-9BA4-1C00A6CD22CF}"/>
    <hyperlink ref="B139" r:id="rId56" xr:uid="{3BF2085D-2604-4774-8DCA-4FA80A23134D}"/>
    <hyperlink ref="B156" r:id="rId57" xr:uid="{9B0AEE92-F9CD-45D4-8C59-18BAFF68AEB1}"/>
    <hyperlink ref="B161" r:id="rId58" xr:uid="{C53BD983-D6A1-46DB-BD0E-029845AF1DC8}"/>
    <hyperlink ref="B162" r:id="rId59" xr:uid="{08816542-8B22-4484-ADC8-A407137D4252}"/>
    <hyperlink ref="B158" r:id="rId60" xr:uid="{0D26AFF8-93DA-4398-874A-15EA0C0FAA49}"/>
    <hyperlink ref="B167" r:id="rId61" xr:uid="{385B3D5C-1E9B-492C-8650-F8F122F7C0B9}"/>
    <hyperlink ref="B157" r:id="rId62" xr:uid="{628DD1C8-CAE3-42F6-A4AE-57D1F8C94C61}"/>
    <hyperlink ref="B168" r:id="rId63" xr:uid="{133B6179-C742-432D-9629-3862F22A74D5}"/>
    <hyperlink ref="B175" r:id="rId64" xr:uid="{7819977F-2026-4AD1-BBBF-5CF238ED45DB}"/>
    <hyperlink ref="B171" r:id="rId65" xr:uid="{73619C49-24FC-40F5-B4A5-444623C416DA}"/>
    <hyperlink ref="B169" r:id="rId66" xr:uid="{24E6ADB4-4BB1-4BB6-8723-B91137ABAA10}"/>
    <hyperlink ref="B170" r:id="rId67" xr:uid="{02FF16CC-E5CF-4C7B-BACB-8A289D873110}"/>
    <hyperlink ref="B159" r:id="rId68" xr:uid="{2DB4E9A5-29D9-40AC-8F6E-F8ABBB0831B6}"/>
    <hyperlink ref="B160" r:id="rId69" xr:uid="{B1A1917C-1914-4B09-A8AC-7CCBE0F33F95}"/>
    <hyperlink ref="B165" r:id="rId70" xr:uid="{91F24E3F-3309-4827-BC88-68C27E93468B}"/>
    <hyperlink ref="B166" r:id="rId71" xr:uid="{C926D1F6-D4F6-4715-9825-94B8D4F46362}"/>
    <hyperlink ref="B176" r:id="rId72" xr:uid="{D46666B5-BBC0-468B-9D29-EFEE1646D4CD}"/>
    <hyperlink ref="B177" r:id="rId73" xr:uid="{B156C503-C49B-4E80-9C35-D626D1005474}"/>
    <hyperlink ref="B178" r:id="rId74" xr:uid="{C92F435E-52C6-49FE-A293-6369D292CEC2}"/>
    <hyperlink ref="B172" r:id="rId75" xr:uid="{44F286A0-E05A-46A1-9EB7-CE1FBC58B723}"/>
    <hyperlink ref="B182" r:id="rId76" xr:uid="{32100A4F-3312-45A1-B013-12C21C82E264}"/>
    <hyperlink ref="B181" r:id="rId77" xr:uid="{C981EAE8-281C-4AF2-BC1C-AC32B7127268}"/>
    <hyperlink ref="B183" r:id="rId78" xr:uid="{B31891E0-1C93-4F71-95A0-DD171ECDA43C}"/>
    <hyperlink ref="B195" r:id="rId79" xr:uid="{9292BA81-733D-4802-ACE0-62B014D96E19}"/>
    <hyperlink ref="B198" r:id="rId80" xr:uid="{702FC33E-7C4D-4A64-B922-EADF6B8BD647}"/>
    <hyperlink ref="B196" r:id="rId81" xr:uid="{54F2D29C-2B85-4607-8801-A718B4E1A3E0}"/>
    <hyperlink ref="B208" r:id="rId82" xr:uid="{D2ECA17D-5750-4CA1-829E-70FD01129483}"/>
    <hyperlink ref="B205" r:id="rId83" xr:uid="{F2E65C5B-2A79-4242-80FA-253A2EA887F6}"/>
    <hyperlink ref="B212" r:id="rId84" xr:uid="{449417D0-7346-4C37-A622-9D0796C4C9DC}"/>
    <hyperlink ref="B217" r:id="rId85" xr:uid="{06F769BD-B8D1-44E5-A75D-742D6261F78D}"/>
    <hyperlink ref="B200" r:id="rId86" xr:uid="{5EA413ED-8335-4F12-8163-BC59415F1D63}"/>
    <hyperlink ref="B201" r:id="rId87" xr:uid="{F90FD7D1-EF38-4E8D-9E2A-760B862E8A13}"/>
    <hyperlink ref="B206" r:id="rId88" xr:uid="{ADA596E3-6758-4648-BB02-47D3E1A3B88B}"/>
    <hyperlink ref="B207" r:id="rId89" xr:uid="{E29739B0-0B8A-4B73-A7E3-A95C51FD361F}"/>
    <hyperlink ref="B215" r:id="rId90" xr:uid="{C27D4D08-9B83-4C26-B9FF-A102757B899D}"/>
    <hyperlink ref="B197" r:id="rId91" xr:uid="{CE068788-750E-4008-B5C4-50BCF2D209AA}"/>
    <hyperlink ref="B187" r:id="rId92" xr:uid="{46787429-490B-4AD6-8356-DCAD947A6410}"/>
    <hyperlink ref="B186" r:id="rId93" xr:uid="{C0043D10-98C1-4A06-AEAC-E33673017156}"/>
    <hyperlink ref="B190" r:id="rId94" xr:uid="{5EA26AA9-03D0-44EE-92B5-FE4BAB1B6FEF}"/>
    <hyperlink ref="B188" r:id="rId95" xr:uid="{D386DA94-F176-4ECA-AC99-0BC7350944C1}"/>
    <hyperlink ref="B189" r:id="rId96" xr:uid="{1E19A7A0-41DD-434D-99B8-19D0217B48E0}"/>
    <hyperlink ref="B191" r:id="rId97" xr:uid="{B8140DE0-0E82-4775-85C8-4DF018DE8618}"/>
    <hyperlink ref="B192" r:id="rId98" xr:uid="{827A35D6-FA21-40DB-80A3-0B86C3168EB5}"/>
    <hyperlink ref="B117" r:id="rId99" xr:uid="{7A301150-176F-4F23-B802-D708001E9CE9}"/>
    <hyperlink ref="B118" r:id="rId100" xr:uid="{2254DD84-93CF-4F94-B52C-FC9E36C4DF1E}"/>
    <hyperlink ref="B213" r:id="rId101" xr:uid="{25513816-3156-43AF-8EAF-7C98BAF48C77}"/>
    <hyperlink ref="B214" r:id="rId102" xr:uid="{1A87CA95-EEC2-48A2-9E2E-1E787FBBED10}"/>
    <hyperlink ref="B199" r:id="rId103" xr:uid="{8157456E-0622-452F-B27C-C952489900A3}"/>
    <hyperlink ref="B216" r:id="rId104" xr:uid="{C872F20B-DD3C-45A4-B031-A00BB8940FD6}"/>
    <hyperlink ref="B209" r:id="rId105" xr:uid="{5B1BCB8E-AAAC-4595-BB5B-ABF6C56E13F5}"/>
    <hyperlink ref="B120" r:id="rId106" xr:uid="{B0A1297D-1927-4118-8C4E-47B7962BFD6C}"/>
    <hyperlink ref="B121" r:id="rId107" xr:uid="{5B5E58C4-F3FD-4F8C-A659-B4ED3D3C858B}"/>
    <hyperlink ref="B122" r:id="rId108" xr:uid="{5F237C7C-0EB0-4672-B810-D36C4DF1F013}"/>
    <hyperlink ref="B115" r:id="rId109" xr:uid="{D2E52869-9CB6-42E1-895E-D88600912E00}"/>
    <hyperlink ref="B119" r:id="rId110" xr:uid="{8C4B30D0-1797-4853-A76C-00F216E0F091}"/>
    <hyperlink ref="B129" r:id="rId111" xr:uid="{73351EAF-3DCD-4B76-9B49-9D0C8F604718}"/>
    <hyperlink ref="B125" r:id="rId112" xr:uid="{E2E12C40-1C14-42F0-AF90-E52CEABB4A41}"/>
    <hyperlink ref="B126" r:id="rId113" xr:uid="{E26351F9-E920-404A-ADC3-3F6134B11D8B}"/>
    <hyperlink ref="B127" r:id="rId114" xr:uid="{C43DFBFC-119E-4DA0-8D40-1A77DA48A492}"/>
    <hyperlink ref="B128" r:id="rId115" xr:uid="{974AEAFB-087B-4705-A5A6-3716D05795C0}"/>
    <hyperlink ref="B116" r:id="rId116" xr:uid="{9FEDA4E2-E292-42AD-B181-6C24EEBD011A}"/>
    <hyperlink ref="B225" r:id="rId117" xr:uid="{6791EE06-A670-4E6F-AD1E-E059FCAEC034}"/>
    <hyperlink ref="B227" r:id="rId118" xr:uid="{AE562246-8C6B-4FBC-896F-5AED20798FA1}"/>
    <hyperlink ref="B231" r:id="rId119" xr:uid="{6446D008-777F-4C8B-B950-53926068C161}"/>
    <hyperlink ref="B232" r:id="rId120" xr:uid="{9D24F4AF-431E-4B6D-AD18-057F07AC772A}"/>
    <hyperlink ref="B233" r:id="rId121" xr:uid="{4D612FE8-3FD0-411A-B1DE-252BFF98C81F}"/>
    <hyperlink ref="B221" r:id="rId122" xr:uid="{83759405-13CF-4B9B-8920-5EEBE6D038FB}"/>
    <hyperlink ref="B229" r:id="rId123" xr:uid="{BD31CEA3-412C-467F-98FB-05B5C85B912C}"/>
    <hyperlink ref="B230" r:id="rId124" xr:uid="{8116EA63-1502-4426-939F-26E907A6CC3A}"/>
    <hyperlink ref="B222" r:id="rId125" xr:uid="{AFD789AA-30AB-43D4-9715-C16B4DC1FBF9}"/>
    <hyperlink ref="B224" r:id="rId126" xr:uid="{A0C391C3-3DA9-42B9-862F-6FA45F9FD06C}"/>
    <hyperlink ref="B226" r:id="rId127" xr:uid="{E67A646A-7527-4EFD-934B-1DC0578F604D}"/>
    <hyperlink ref="B228" r:id="rId128" xr:uid="{6492238F-FDCB-485A-9F22-FB07942AAE53}"/>
    <hyperlink ref="B223" r:id="rId129" xr:uid="{B221BA11-63AB-4B84-98BD-BAF3DF5C2663}"/>
    <hyperlink ref="B235" r:id="rId130" xr:uid="{A578AFEC-F98D-4AF5-B7AF-4648C4FFF64A}"/>
    <hyperlink ref="B243" r:id="rId131" xr:uid="{C02A72E8-2CC9-4726-B4C2-D43922D0CCD1}"/>
    <hyperlink ref="B237" r:id="rId132" xr:uid="{2D8BFF58-979E-4007-9983-1D0284652D7D}"/>
    <hyperlink ref="B239" r:id="rId133" xr:uid="{000259AC-F278-440F-823A-B82522211149}"/>
    <hyperlink ref="B241" r:id="rId134" xr:uid="{109615EF-9A82-48B0-899B-CD0F0BA54B88}"/>
    <hyperlink ref="B245" r:id="rId135" xr:uid="{091B210B-0E21-439B-ADC6-29B458F4DB69}"/>
    <hyperlink ref="B236" r:id="rId136" xr:uid="{C70092B3-FF8F-4333-AA7E-C4F69A77CFEE}"/>
    <hyperlink ref="B246" r:id="rId137" xr:uid="{2F91E533-E919-46C9-A807-FC418D7230E9}"/>
    <hyperlink ref="B242" r:id="rId138" xr:uid="{3CB374DD-E08D-4000-981F-A18B3C82B992}"/>
    <hyperlink ref="B238" r:id="rId139" xr:uid="{19475C5E-6714-48E9-8D83-475DE0367C65}"/>
    <hyperlink ref="B240" r:id="rId140" xr:uid="{5D271396-82F5-4665-A541-12928B3E1BE5}"/>
    <hyperlink ref="B244" r:id="rId141" xr:uid="{D0AF191D-C39A-4CEE-8154-36F8127D3F83}"/>
    <hyperlink ref="B257" r:id="rId142" xr:uid="{785D91CE-CED6-4007-AC06-6A45E281B2F3}"/>
    <hyperlink ref="B261" r:id="rId143" xr:uid="{5AC5F7E9-5E6A-4B6C-8CB4-E206CC991A5B}"/>
    <hyperlink ref="B265" r:id="rId144" xr:uid="{2157A3A4-F8B6-4970-9654-0D1DB2F32486}"/>
    <hyperlink ref="B266" r:id="rId145" xr:uid="{044DE135-626D-447D-8880-97A2A83CBD66}"/>
    <hyperlink ref="B267" r:id="rId146" xr:uid="{73DA03C6-FBD0-4501-875D-505B580C5FAE}"/>
    <hyperlink ref="B249" r:id="rId147" xr:uid="{30EAB604-EA27-4DB2-8515-1B0AFE001C7B}"/>
    <hyperlink ref="B263" r:id="rId148" xr:uid="{105D3009-9657-4F50-9A07-315ACC16858E}"/>
    <hyperlink ref="B264" r:id="rId149" xr:uid="{6C695A03-E22B-4CB9-8B80-05A89C65D862}"/>
    <hyperlink ref="B251" r:id="rId150" xr:uid="{5EE3BA9E-D92E-4203-B573-8F7D28706E9A}"/>
    <hyperlink ref="B255" r:id="rId151" xr:uid="{47C17257-B88C-467A-8836-0683A68FB349}"/>
    <hyperlink ref="B259" r:id="rId152" xr:uid="{F80FD080-8D9E-4478-919C-2B96FC4AF649}"/>
    <hyperlink ref="B262" r:id="rId153" xr:uid="{F98008C3-D62C-4133-B707-FE32F380B49F}"/>
    <hyperlink ref="B253" r:id="rId154" xr:uid="{94F988E2-D0F9-4F4C-AC04-A3898F943EDA}"/>
    <hyperlink ref="B250" r:id="rId155" xr:uid="{2B9455BE-260C-4563-958E-78FF38259C71}"/>
    <hyperlink ref="B248" r:id="rId156" xr:uid="{43CF0098-4791-4FF0-868E-C90E0A9D1B3D}"/>
    <hyperlink ref="B256" r:id="rId157" xr:uid="{8E3A69D3-5743-4F65-BA3F-69DB88462871}"/>
    <hyperlink ref="B252" r:id="rId158" xr:uid="{EE2C9363-BDD7-41FC-8C9A-35C9B9817B36}"/>
    <hyperlink ref="B254" r:id="rId159" xr:uid="{D7572B33-ECD4-4023-A216-1EE1A46DFD97}"/>
    <hyperlink ref="B258" r:id="rId160" xr:uid="{7605EB09-F52D-4F93-B2A1-D4953D8F50FE}"/>
    <hyperlink ref="B260" r:id="rId161" xr:uid="{4F654774-4B1A-47EA-A1B4-5303118C32AA}"/>
    <hyperlink ref="B271" r:id="rId162" xr:uid="{88C9FBAA-DB6E-4769-954A-A5F5341D2DFB}"/>
    <hyperlink ref="B277" r:id="rId163" xr:uid="{DCDF4C53-7AA1-4DD6-9D3F-208E4ECBDE3E}"/>
    <hyperlink ref="B278" r:id="rId164" xr:uid="{F8437A02-2FCB-430B-9A5F-8EEFE0D8F0C6}"/>
    <hyperlink ref="B275" r:id="rId165" xr:uid="{6C0EAC21-EB27-44B1-BDB8-F18B0FDF5815}"/>
    <hyperlink ref="B273" r:id="rId166" xr:uid="{B6CF584E-0782-43CB-9D95-B2CEFA596E69}"/>
    <hyperlink ref="B274" r:id="rId167" xr:uid="{D3A1346C-FDC9-47B3-99E2-5C927F0347DB}"/>
    <hyperlink ref="B276" r:id="rId168" xr:uid="{CF7036A2-441E-47FB-B9B7-F25C6D9A2F76}"/>
    <hyperlink ref="B272" r:id="rId169" xr:uid="{E21B71FC-3786-4792-AC73-4E35E6FC72C7}"/>
    <hyperlink ref="B270" r:id="rId170" xr:uid="{A7D5B75D-DD37-473C-A2DB-1ECA76BF9731}"/>
    <hyperlink ref="C204" r:id="rId171" xr:uid="{7C84C9E5-4910-4DE9-B50C-CCF9090AB8F2}"/>
    <hyperlink ref="C153" r:id="rId172" xr:uid="{CEFA988C-499D-4966-8BDC-536AE4605F2C}"/>
    <hyperlink ref="C151" r:id="rId173" xr:uid="{BD5103BC-19E0-4927-93B5-8B7E0B6C1D6E}"/>
    <hyperlink ref="C150" r:id="rId174" xr:uid="{2F244CFE-B9CB-495C-A218-B76DC726E690}"/>
    <hyperlink ref="C147" r:id="rId175" xr:uid="{023E8BBE-D921-487D-9C91-2A4FAD84A3B8}"/>
    <hyperlink ref="C148" r:id="rId176" xr:uid="{8DBBBCF6-C7B7-41D7-B03B-5F68AE287761}"/>
    <hyperlink ref="C91" r:id="rId177" xr:uid="{8A506F08-D676-4962-BCC2-80F95E8FC0A2}"/>
    <hyperlink ref="C72" r:id="rId178" xr:uid="{F82B6C74-32EE-4A7A-9F09-1EFA9E7492D4}"/>
    <hyperlink ref="C235" r:id="rId179" xr:uid="{3CB5DE0B-3A91-4C29-9CF0-3784C3E702FB}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476"/>
  <sheetViews>
    <sheetView showGridLines="0" workbookViewId="0">
      <selection activeCell="C3" sqref="C3"/>
    </sheetView>
  </sheetViews>
  <sheetFormatPr defaultColWidth="8.85546875" defaultRowHeight="15" x14ac:dyDescent="0.25"/>
  <cols>
    <col min="1" max="1" width="24.42578125" bestFit="1" customWidth="1"/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8.28515625" customWidth="1"/>
    <col min="10" max="10" width="7.42578125" bestFit="1" customWidth="1"/>
    <col min="11" max="11" width="9" bestFit="1" customWidth="1"/>
    <col min="12" max="12" width="11.28515625" bestFit="1" customWidth="1"/>
    <col min="13" max="13" width="7.42578125" bestFit="1" customWidth="1"/>
    <col min="14" max="14" width="35.85546875" customWidth="1"/>
    <col min="15" max="15" width="4.7109375" bestFit="1" customWidth="1"/>
    <col min="16" max="16" width="7.42578125" bestFit="1" customWidth="1"/>
    <col min="17" max="17" width="9" bestFit="1" customWidth="1"/>
    <col min="18" max="18" width="11.28515625" bestFit="1" customWidth="1"/>
    <col min="19" max="19" width="7.42578125" bestFit="1" customWidth="1"/>
    <col min="20" max="20" width="35.7109375" customWidth="1"/>
    <col min="21" max="21" width="8.85546875" customWidth="1"/>
    <col min="22" max="22" width="7.42578125" bestFit="1" customWidth="1"/>
    <col min="23" max="23" width="9" bestFit="1" customWidth="1"/>
    <col min="24" max="24" width="11.28515625" bestFit="1" customWidth="1"/>
    <col min="25" max="25" width="7.42578125" bestFit="1" customWidth="1"/>
    <col min="26" max="26" width="37.28515625" customWidth="1"/>
    <col min="27" max="27" width="4.7109375" bestFit="1" customWidth="1"/>
    <col min="28" max="28" width="7.42578125" bestFit="1" customWidth="1"/>
    <col min="29" max="29" width="9" bestFit="1" customWidth="1"/>
    <col min="30" max="30" width="11.28515625" bestFit="1" customWidth="1"/>
    <col min="31" max="31" width="7.42578125" bestFit="1" customWidth="1"/>
    <col min="32" max="32" width="37.28515625" customWidth="1"/>
    <col min="33" max="33" width="4.7109375" bestFit="1" customWidth="1"/>
    <col min="34" max="34" width="7.42578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1:35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1:35" ht="19.5" thickBot="1" x14ac:dyDescent="0.35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1:35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5.75" thickBot="1" x14ac:dyDescent="0.3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1:35" ht="15.75" thickBot="1" x14ac:dyDescent="0.3"/>
    <row r="8" spans="1:35" ht="19.5" thickBot="1" x14ac:dyDescent="0.3">
      <c r="G8" s="5" t="s">
        <v>101</v>
      </c>
      <c r="H8" s="181" t="s">
        <v>1</v>
      </c>
      <c r="I8" s="182"/>
      <c r="J8" s="182"/>
      <c r="K8" s="182"/>
      <c r="L8" s="182"/>
      <c r="M8" s="183"/>
      <c r="N8" s="184" t="s">
        <v>2</v>
      </c>
      <c r="O8" s="185"/>
      <c r="P8" s="185"/>
      <c r="Q8" s="185"/>
      <c r="R8" s="185"/>
      <c r="S8" s="186"/>
      <c r="T8" s="172" t="s">
        <v>3</v>
      </c>
      <c r="U8" s="173"/>
      <c r="V8" s="173"/>
      <c r="W8" s="173"/>
      <c r="X8" s="173"/>
      <c r="Y8" s="174"/>
      <c r="Z8" s="175" t="s">
        <v>4</v>
      </c>
      <c r="AA8" s="176"/>
      <c r="AB8" s="176"/>
      <c r="AC8" s="176"/>
      <c r="AD8" s="176"/>
      <c r="AE8" s="177"/>
      <c r="AF8" s="178" t="s">
        <v>5</v>
      </c>
      <c r="AG8" s="179"/>
      <c r="AH8" s="179"/>
      <c r="AI8" s="180"/>
    </row>
    <row r="9" spans="1:35" ht="15.75" thickBot="1" x14ac:dyDescent="0.3">
      <c r="B9" s="37"/>
      <c r="C9" s="37" t="s">
        <v>16</v>
      </c>
      <c r="D9" s="37"/>
      <c r="E9" s="37"/>
      <c r="F9" s="37"/>
      <c r="G9" s="77" t="s">
        <v>102</v>
      </c>
      <c r="H9" s="65" t="s">
        <v>88</v>
      </c>
      <c r="I9" s="66" t="s">
        <v>6</v>
      </c>
      <c r="J9" s="67" t="s">
        <v>7</v>
      </c>
      <c r="K9" s="68" t="s">
        <v>8</v>
      </c>
      <c r="L9" s="68" t="s">
        <v>9</v>
      </c>
      <c r="M9" s="69" t="s">
        <v>10</v>
      </c>
      <c r="N9" s="70" t="s">
        <v>88</v>
      </c>
      <c r="O9" s="70" t="s">
        <v>6</v>
      </c>
      <c r="P9" s="67" t="s">
        <v>7</v>
      </c>
      <c r="Q9" s="68" t="s">
        <v>8</v>
      </c>
      <c r="R9" s="68" t="s">
        <v>9</v>
      </c>
      <c r="S9" s="69" t="s">
        <v>10</v>
      </c>
      <c r="T9" s="70" t="s">
        <v>88</v>
      </c>
      <c r="U9" s="70" t="s">
        <v>6</v>
      </c>
      <c r="V9" s="67" t="s">
        <v>7</v>
      </c>
      <c r="W9" s="68" t="s">
        <v>8</v>
      </c>
      <c r="X9" s="68" t="s">
        <v>9</v>
      </c>
      <c r="Y9" s="69" t="s">
        <v>10</v>
      </c>
      <c r="Z9" s="70" t="s">
        <v>88</v>
      </c>
      <c r="AA9" s="70" t="s">
        <v>6</v>
      </c>
      <c r="AB9" s="67" t="s">
        <v>7</v>
      </c>
      <c r="AC9" s="68" t="s">
        <v>8</v>
      </c>
      <c r="AD9" s="68" t="s">
        <v>9</v>
      </c>
      <c r="AE9" s="69" t="s">
        <v>10</v>
      </c>
      <c r="AF9" s="70" t="s">
        <v>88</v>
      </c>
      <c r="AG9" s="70" t="s">
        <v>6</v>
      </c>
      <c r="AH9" s="67" t="s">
        <v>7</v>
      </c>
      <c r="AI9" s="71" t="s">
        <v>8</v>
      </c>
    </row>
    <row r="10" spans="1:35" ht="15.75" thickBot="1" x14ac:dyDescent="0.3">
      <c r="B10" s="95" t="s">
        <v>342</v>
      </c>
      <c r="C10" s="99" t="s">
        <v>85</v>
      </c>
      <c r="D10" s="91"/>
      <c r="E10" s="91"/>
      <c r="F10" s="99" t="s">
        <v>356</v>
      </c>
      <c r="G10" s="99" t="s">
        <v>357</v>
      </c>
      <c r="H10" s="68" t="s">
        <v>85</v>
      </c>
      <c r="I10" s="72"/>
      <c r="J10" s="72" t="s">
        <v>0</v>
      </c>
      <c r="K10" s="72"/>
      <c r="L10" s="72"/>
      <c r="M10" s="73"/>
      <c r="N10" s="65" t="s">
        <v>85</v>
      </c>
      <c r="O10" s="72"/>
      <c r="P10" s="72"/>
      <c r="Q10" s="72"/>
      <c r="R10" s="72"/>
      <c r="S10" s="73"/>
      <c r="T10" s="65" t="s">
        <v>85</v>
      </c>
      <c r="U10" s="72"/>
      <c r="V10" s="72"/>
      <c r="W10" s="72"/>
      <c r="X10" s="72"/>
      <c r="Y10" s="73"/>
      <c r="Z10" s="65" t="s">
        <v>85</v>
      </c>
      <c r="AA10" s="72"/>
      <c r="AB10" s="72"/>
      <c r="AC10" s="72"/>
      <c r="AD10" s="72"/>
      <c r="AE10" s="72"/>
      <c r="AF10" s="65" t="s">
        <v>85</v>
      </c>
      <c r="AG10" s="72"/>
      <c r="AH10" s="72"/>
      <c r="AI10" s="73"/>
    </row>
    <row r="11" spans="1:35" ht="15.75" thickBot="1" x14ac:dyDescent="0.3">
      <c r="B11" s="141" t="s">
        <v>343</v>
      </c>
      <c r="C11" s="144"/>
      <c r="D11" s="139" t="str">
        <f t="array" ref="D11">INDEX(Table_Name28[Name List],MATCH(B11,Table_Name28[Category],0))</f>
        <v>Incline_Push[Exercise]</v>
      </c>
      <c r="E11" s="140" t="e">
        <f t="array" ref="E11">INDEX(Links49[Link],MATCH(C11,Links49[Exercise],0))</f>
        <v>#N/A</v>
      </c>
      <c r="F11" s="147" t="e">
        <f t="shared" ref="F11:F17" si="0">HYPERLINK(E11,"Video")</f>
        <v>#N/A</v>
      </c>
      <c r="G11" s="150"/>
      <c r="H11" s="88">
        <f t="shared" ref="H11:H17" si="1">C11</f>
        <v>0</v>
      </c>
      <c r="I11" s="76">
        <v>3</v>
      </c>
      <c r="J11" s="76">
        <f>MROUND(((G11)*0.75),5)</f>
        <v>0</v>
      </c>
      <c r="K11" s="76" t="s">
        <v>11</v>
      </c>
      <c r="L11" s="76"/>
      <c r="M11" s="77"/>
      <c r="N11" s="75">
        <f t="shared" ref="N11:N17" si="2">C11</f>
        <v>0</v>
      </c>
      <c r="O11" s="76">
        <f>I11+(M31)</f>
        <v>3</v>
      </c>
      <c r="P11" s="76">
        <f t="shared" ref="P11:P17" si="3">MROUND((J11*1.05),5)</f>
        <v>0</v>
      </c>
      <c r="Q11" s="76" t="s">
        <v>11</v>
      </c>
      <c r="R11" s="76"/>
      <c r="S11" s="114"/>
      <c r="T11" s="57">
        <f t="shared" ref="T11:T17" si="4">C11</f>
        <v>0</v>
      </c>
      <c r="U11" s="76">
        <f>O11+(S31)</f>
        <v>3</v>
      </c>
      <c r="V11" s="76">
        <f t="shared" ref="V11:V17" si="5">MROUND((J11*1.075),5)</f>
        <v>0</v>
      </c>
      <c r="W11" s="76" t="s">
        <v>12</v>
      </c>
      <c r="X11" s="76"/>
      <c r="Y11" s="114"/>
      <c r="Z11" s="75">
        <f t="shared" ref="Z11:Z17" si="6">C11</f>
        <v>0</v>
      </c>
      <c r="AA11" s="76">
        <f>U11+(Y31)</f>
        <v>3</v>
      </c>
      <c r="AB11" s="76">
        <f t="shared" ref="AB11:AB17" si="7">MROUND((J11*1.1),5)</f>
        <v>0</v>
      </c>
      <c r="AC11" s="76" t="s">
        <v>13</v>
      </c>
      <c r="AD11" s="76"/>
      <c r="AE11" s="114"/>
      <c r="AF11" s="75">
        <f t="shared" ref="AF11:AF17" si="8">C11</f>
        <v>0</v>
      </c>
      <c r="AG11" s="76">
        <v>2</v>
      </c>
      <c r="AH11" s="79">
        <f>J11</f>
        <v>0</v>
      </c>
      <c r="AI11" s="77" t="s">
        <v>14</v>
      </c>
    </row>
    <row r="12" spans="1:35" ht="15.75" thickBot="1" x14ac:dyDescent="0.3">
      <c r="A12" s="63" t="s">
        <v>353</v>
      </c>
      <c r="B12" s="142" t="s">
        <v>37</v>
      </c>
      <c r="C12" s="145"/>
      <c r="D12" s="136" t="str">
        <f t="array" ref="D12">INDEX(Table_Name28[Name List],MATCH(B12,Table_Name28[Category],0))</f>
        <v>Chest_Isolation[Exercise]</v>
      </c>
      <c r="E12" s="115" t="e">
        <f t="array" ref="E12">INDEX(Links49[Link],MATCH(C12,Links49[Exercise],0))</f>
        <v>#N/A</v>
      </c>
      <c r="F12" s="148" t="e">
        <f t="shared" si="0"/>
        <v>#N/A</v>
      </c>
      <c r="G12" s="151"/>
      <c r="H12" s="130">
        <f t="shared" si="1"/>
        <v>0</v>
      </c>
      <c r="I12" s="117">
        <v>2</v>
      </c>
      <c r="J12" s="117">
        <f>MROUND(((G12)*0.75),5)</f>
        <v>0</v>
      </c>
      <c r="K12" s="117" t="s">
        <v>11</v>
      </c>
      <c r="L12" s="117"/>
      <c r="M12" s="118"/>
      <c r="N12" s="116">
        <f t="shared" si="2"/>
        <v>0</v>
      </c>
      <c r="O12" s="117">
        <f>I12+(M31)</f>
        <v>2</v>
      </c>
      <c r="P12" s="117">
        <f t="shared" si="3"/>
        <v>0</v>
      </c>
      <c r="Q12" s="117" t="s">
        <v>11</v>
      </c>
      <c r="R12" s="117"/>
      <c r="S12" s="119"/>
      <c r="T12" s="120">
        <f t="shared" si="4"/>
        <v>0</v>
      </c>
      <c r="U12" s="117">
        <f>O12+(S31)</f>
        <v>2</v>
      </c>
      <c r="V12" s="117">
        <f t="shared" si="5"/>
        <v>0</v>
      </c>
      <c r="W12" s="117" t="s">
        <v>12</v>
      </c>
      <c r="X12" s="117"/>
      <c r="Y12" s="119"/>
      <c r="Z12" s="116">
        <f t="shared" si="6"/>
        <v>0</v>
      </c>
      <c r="AA12" s="117">
        <f>U12+(Y31)</f>
        <v>2</v>
      </c>
      <c r="AB12" s="117">
        <f t="shared" si="7"/>
        <v>0</v>
      </c>
      <c r="AC12" s="117" t="s">
        <v>13</v>
      </c>
      <c r="AD12" s="117"/>
      <c r="AE12" s="121"/>
      <c r="AF12" s="88">
        <f t="shared" si="8"/>
        <v>0</v>
      </c>
      <c r="AG12" s="76">
        <v>2</v>
      </c>
      <c r="AH12" s="79">
        <f t="shared" ref="AH12:AH17" si="9">J12</f>
        <v>0</v>
      </c>
      <c r="AI12" s="77" t="s">
        <v>14</v>
      </c>
    </row>
    <row r="13" spans="1:35" ht="15.75" thickBot="1" x14ac:dyDescent="0.3">
      <c r="A13" s="63" t="s">
        <v>354</v>
      </c>
      <c r="B13" s="143" t="s">
        <v>344</v>
      </c>
      <c r="C13" s="146"/>
      <c r="D13" s="137" t="str">
        <f t="array" ref="D13">INDEX(Table_Name28[Name List],MATCH(B13,Table_Name28[Category],0))</f>
        <v>Horizontal_Push[Exercise]</v>
      </c>
      <c r="E13" s="122" t="e">
        <f t="array" ref="E13">INDEX(Links49[Link],MATCH(C13,Links49[Exercise],0))</f>
        <v>#N/A</v>
      </c>
      <c r="F13" s="149" t="e">
        <f t="shared" si="0"/>
        <v>#N/A</v>
      </c>
      <c r="G13" s="152"/>
      <c r="H13" s="131">
        <f t="shared" si="1"/>
        <v>0</v>
      </c>
      <c r="I13" s="124">
        <v>2</v>
      </c>
      <c r="J13" s="124">
        <f>MROUND(((G13)*0.6),5)</f>
        <v>0</v>
      </c>
      <c r="K13" s="124" t="s">
        <v>11</v>
      </c>
      <c r="L13" s="124"/>
      <c r="M13" s="125"/>
      <c r="N13" s="123">
        <f t="shared" si="2"/>
        <v>0</v>
      </c>
      <c r="O13" s="124">
        <f>I12+(M31)</f>
        <v>2</v>
      </c>
      <c r="P13" s="124">
        <f t="shared" si="3"/>
        <v>0</v>
      </c>
      <c r="Q13" s="124" t="s">
        <v>11</v>
      </c>
      <c r="R13" s="124"/>
      <c r="S13" s="126"/>
      <c r="T13" s="127">
        <f t="shared" si="4"/>
        <v>0</v>
      </c>
      <c r="U13" s="124">
        <f>O12+(S31)</f>
        <v>2</v>
      </c>
      <c r="V13" s="124">
        <f t="shared" si="5"/>
        <v>0</v>
      </c>
      <c r="W13" s="124" t="s">
        <v>12</v>
      </c>
      <c r="X13" s="124"/>
      <c r="Y13" s="126"/>
      <c r="Z13" s="123">
        <f t="shared" si="6"/>
        <v>0</v>
      </c>
      <c r="AA13" s="124">
        <f>U12+(Y31)</f>
        <v>2</v>
      </c>
      <c r="AB13" s="124">
        <f t="shared" si="7"/>
        <v>0</v>
      </c>
      <c r="AC13" s="124" t="s">
        <v>13</v>
      </c>
      <c r="AD13" s="124"/>
      <c r="AE13" s="128"/>
      <c r="AF13" s="88"/>
      <c r="AG13" s="76"/>
      <c r="AH13" s="79"/>
      <c r="AI13" s="77"/>
    </row>
    <row r="14" spans="1:35" ht="15.75" thickBot="1" x14ac:dyDescent="0.3">
      <c r="B14" s="96" t="s">
        <v>344</v>
      </c>
      <c r="C14" s="100"/>
      <c r="D14" s="92" t="str">
        <f t="array" ref="D14">INDEX(Table_Name28[Name List],MATCH(B14,Table_Name28[Category],0))</f>
        <v>Horizontal_Push[Exercise]</v>
      </c>
      <c r="E14" s="90" t="e">
        <f t="array" ref="E14">INDEX(Links49[Link],MATCH(C14,Links49[Exercise],0))</f>
        <v>#N/A</v>
      </c>
      <c r="F14" s="106" t="e">
        <f>HYPERLINK(E14,"Video")</f>
        <v>#N/A</v>
      </c>
      <c r="G14" s="109"/>
      <c r="H14" s="88">
        <f>C14</f>
        <v>0</v>
      </c>
      <c r="I14" s="76">
        <v>2</v>
      </c>
      <c r="J14" s="76">
        <f>MROUND(((G14)*0.75),5)</f>
        <v>0</v>
      </c>
      <c r="K14" s="76" t="s">
        <v>11</v>
      </c>
      <c r="L14" s="76"/>
      <c r="M14" s="77"/>
      <c r="N14" s="75">
        <f>C14</f>
        <v>0</v>
      </c>
      <c r="O14" s="76">
        <f>I14+(M32)</f>
        <v>2</v>
      </c>
      <c r="P14" s="76">
        <f>MROUND((J14*1.05),5)</f>
        <v>0</v>
      </c>
      <c r="Q14" s="76" t="s">
        <v>11</v>
      </c>
      <c r="R14" s="76"/>
      <c r="S14" s="129"/>
      <c r="T14" s="57">
        <f>C14</f>
        <v>0</v>
      </c>
      <c r="U14" s="76">
        <f>O14+(S32)</f>
        <v>2</v>
      </c>
      <c r="V14" s="76">
        <f>MROUND((J14*1.075),5)</f>
        <v>0</v>
      </c>
      <c r="W14" s="76" t="s">
        <v>12</v>
      </c>
      <c r="X14" s="76"/>
      <c r="Y14" s="129"/>
      <c r="Z14" s="75">
        <f>C14</f>
        <v>0</v>
      </c>
      <c r="AA14" s="76">
        <f>U14+(Y32)</f>
        <v>2</v>
      </c>
      <c r="AB14" s="76">
        <f>MROUND((J14*1.1),5)</f>
        <v>0</v>
      </c>
      <c r="AC14" s="76" t="s">
        <v>13</v>
      </c>
      <c r="AD14" s="76"/>
      <c r="AE14" s="129"/>
      <c r="AF14" s="75">
        <f>C14</f>
        <v>0</v>
      </c>
      <c r="AG14" s="76">
        <v>2</v>
      </c>
      <c r="AH14" s="79">
        <f>J14</f>
        <v>0</v>
      </c>
      <c r="AI14" s="77" t="s">
        <v>14</v>
      </c>
    </row>
    <row r="15" spans="1:35" ht="15.75" thickBot="1" x14ac:dyDescent="0.3">
      <c r="B15" s="97" t="s">
        <v>338</v>
      </c>
      <c r="C15" s="101"/>
      <c r="D15" s="93" t="str">
        <f t="array" ref="D15">INDEX(Table_Name28[Name List],MATCH(B15,Table_Name28[Category],0))</f>
        <v>Horizontal_Back[Exercise]</v>
      </c>
      <c r="E15" s="74" t="e">
        <f t="array" ref="E15">INDEX(Links49[Link],MATCH(C15,Links49[Exercise],0))</f>
        <v>#N/A</v>
      </c>
      <c r="F15" s="107" t="e">
        <f t="shared" si="0"/>
        <v>#N/A</v>
      </c>
      <c r="G15" s="110"/>
      <c r="H15" s="88">
        <f t="shared" si="1"/>
        <v>0</v>
      </c>
      <c r="I15" s="76">
        <v>3</v>
      </c>
      <c r="J15" s="76">
        <f>MROUND(((G15)*0.75),5)</f>
        <v>0</v>
      </c>
      <c r="K15" s="76" t="s">
        <v>11</v>
      </c>
      <c r="L15" s="76" t="s">
        <v>0</v>
      </c>
      <c r="M15" s="77"/>
      <c r="N15" s="75">
        <f t="shared" si="2"/>
        <v>0</v>
      </c>
      <c r="O15" s="76">
        <f>I15+(M30)</f>
        <v>3</v>
      </c>
      <c r="P15" s="76">
        <f t="shared" si="3"/>
        <v>0</v>
      </c>
      <c r="Q15" s="76" t="s">
        <v>11</v>
      </c>
      <c r="R15" s="76"/>
      <c r="S15" s="78"/>
      <c r="T15" s="57">
        <f t="shared" si="4"/>
        <v>0</v>
      </c>
      <c r="U15" s="76">
        <f>O15+(S30)</f>
        <v>3</v>
      </c>
      <c r="V15" s="76">
        <f t="shared" si="5"/>
        <v>0</v>
      </c>
      <c r="W15" s="76" t="s">
        <v>12</v>
      </c>
      <c r="X15" s="76"/>
      <c r="Y15" s="78"/>
      <c r="Z15" s="75">
        <f t="shared" si="6"/>
        <v>0</v>
      </c>
      <c r="AA15" s="76">
        <f>U15+(Y30)</f>
        <v>3</v>
      </c>
      <c r="AB15" s="76">
        <f t="shared" si="7"/>
        <v>0</v>
      </c>
      <c r="AC15" s="76" t="s">
        <v>13</v>
      </c>
      <c r="AD15" s="76"/>
      <c r="AE15" s="78"/>
      <c r="AF15" s="75">
        <f t="shared" si="8"/>
        <v>0</v>
      </c>
      <c r="AG15" s="76">
        <v>2</v>
      </c>
      <c r="AH15" s="79">
        <f t="shared" si="9"/>
        <v>0</v>
      </c>
      <c r="AI15" s="77" t="s">
        <v>14</v>
      </c>
    </row>
    <row r="16" spans="1:35" ht="15.75" thickBot="1" x14ac:dyDescent="0.3">
      <c r="B16" s="97" t="s">
        <v>340</v>
      </c>
      <c r="C16" s="101"/>
      <c r="D16" s="93" t="str">
        <f t="array" ref="D16">INDEX(Table_Name28[Name List],MATCH(B16,Table_Name28[Category],0))</f>
        <v>Rear_or_Side_Delts[Exercise]</v>
      </c>
      <c r="E16" s="74" t="e">
        <f t="array" ref="E16">INDEX(Links49[Link],MATCH(C16,Links49[Exercise],0))</f>
        <v>#N/A</v>
      </c>
      <c r="F16" s="107" t="e">
        <f t="shared" si="0"/>
        <v>#N/A</v>
      </c>
      <c r="G16" s="110"/>
      <c r="H16" s="88">
        <f>C16</f>
        <v>0</v>
      </c>
      <c r="I16" s="76">
        <v>3</v>
      </c>
      <c r="J16" s="76">
        <f>MROUND(((G16)*0.75),5)</f>
        <v>0</v>
      </c>
      <c r="K16" s="76" t="s">
        <v>11</v>
      </c>
      <c r="L16" s="76" t="s">
        <v>0</v>
      </c>
      <c r="M16" s="77"/>
      <c r="N16" s="75">
        <f t="shared" si="2"/>
        <v>0</v>
      </c>
      <c r="O16" s="76">
        <f>I16+(M32)</f>
        <v>3</v>
      </c>
      <c r="P16" s="76">
        <f t="shared" si="3"/>
        <v>0</v>
      </c>
      <c r="Q16" s="76" t="s">
        <v>11</v>
      </c>
      <c r="R16" s="76"/>
      <c r="S16" s="78"/>
      <c r="T16" s="57">
        <f t="shared" si="4"/>
        <v>0</v>
      </c>
      <c r="U16" s="76">
        <f>O16+(S32)</f>
        <v>3</v>
      </c>
      <c r="V16" s="76">
        <f t="shared" si="5"/>
        <v>0</v>
      </c>
      <c r="W16" s="76" t="s">
        <v>12</v>
      </c>
      <c r="X16" s="76"/>
      <c r="Y16" s="78"/>
      <c r="Z16" s="75">
        <f t="shared" si="6"/>
        <v>0</v>
      </c>
      <c r="AA16" s="76">
        <f>U16+(Y32)</f>
        <v>3</v>
      </c>
      <c r="AB16" s="76">
        <f t="shared" si="7"/>
        <v>0</v>
      </c>
      <c r="AC16" s="76" t="s">
        <v>13</v>
      </c>
      <c r="AD16" s="76"/>
      <c r="AE16" s="78"/>
      <c r="AF16" s="75">
        <f t="shared" si="8"/>
        <v>0</v>
      </c>
      <c r="AG16" s="76">
        <v>2</v>
      </c>
      <c r="AH16" s="79">
        <f t="shared" si="9"/>
        <v>0</v>
      </c>
      <c r="AI16" s="77" t="s">
        <v>14</v>
      </c>
    </row>
    <row r="17" spans="1:35" ht="15.75" thickBot="1" x14ac:dyDescent="0.3">
      <c r="B17" s="98" t="s">
        <v>77</v>
      </c>
      <c r="C17" s="102"/>
      <c r="D17" s="94" t="str">
        <f t="array" ref="D17">INDEX(Table_Name28[Name List],MATCH(B17,Table_Name28[Category],0))</f>
        <v>Abs[Exercise]</v>
      </c>
      <c r="E17" s="80" t="e">
        <f t="array" ref="E17">INDEX(Links49[Link],MATCH(C17,Links49[Exercise],0))</f>
        <v>#N/A</v>
      </c>
      <c r="F17" s="108" t="e">
        <f t="shared" si="0"/>
        <v>#N/A</v>
      </c>
      <c r="G17" s="111"/>
      <c r="H17" s="138">
        <f t="shared" si="1"/>
        <v>0</v>
      </c>
      <c r="I17" s="82">
        <v>3</v>
      </c>
      <c r="J17" s="82">
        <f>MROUND(((G17)*0.75),5)</f>
        <v>0</v>
      </c>
      <c r="K17" s="82" t="s">
        <v>11</v>
      </c>
      <c r="L17" s="82"/>
      <c r="M17" s="64"/>
      <c r="N17" s="81">
        <f t="shared" si="2"/>
        <v>0</v>
      </c>
      <c r="O17" s="82">
        <f>I17+(M34)</f>
        <v>3</v>
      </c>
      <c r="P17" s="82">
        <f t="shared" si="3"/>
        <v>0</v>
      </c>
      <c r="Q17" s="82" t="s">
        <v>11</v>
      </c>
      <c r="R17" s="82"/>
      <c r="S17" s="78"/>
      <c r="T17" s="83">
        <f t="shared" si="4"/>
        <v>0</v>
      </c>
      <c r="U17" s="82">
        <f>O17+(S34)</f>
        <v>3</v>
      </c>
      <c r="V17" s="82">
        <f t="shared" si="5"/>
        <v>0</v>
      </c>
      <c r="W17" s="82" t="s">
        <v>12</v>
      </c>
      <c r="X17" s="82"/>
      <c r="Y17" s="78"/>
      <c r="Z17" s="81">
        <f t="shared" si="6"/>
        <v>0</v>
      </c>
      <c r="AA17" s="82">
        <f>U17+(Y34)</f>
        <v>3</v>
      </c>
      <c r="AB17" s="82">
        <f t="shared" si="7"/>
        <v>0</v>
      </c>
      <c r="AC17" s="82" t="s">
        <v>13</v>
      </c>
      <c r="AD17" s="82"/>
      <c r="AE17" s="78"/>
      <c r="AF17" s="81">
        <f t="shared" si="8"/>
        <v>0</v>
      </c>
      <c r="AG17" s="82">
        <v>2</v>
      </c>
      <c r="AH17" s="84">
        <f t="shared" si="9"/>
        <v>0</v>
      </c>
      <c r="AI17" s="64" t="s">
        <v>14</v>
      </c>
    </row>
    <row r="18" spans="1:35" s="43" customFormat="1" ht="19.5" thickBot="1" x14ac:dyDescent="0.3">
      <c r="B18" s="86" t="s">
        <v>337</v>
      </c>
      <c r="C18" s="57"/>
      <c r="D18" s="57"/>
      <c r="E18" s="85"/>
      <c r="F18" s="56"/>
      <c r="G18" s="62"/>
      <c r="H18" s="181" t="s">
        <v>1</v>
      </c>
      <c r="I18" s="182"/>
      <c r="J18" s="182"/>
      <c r="K18" s="182"/>
      <c r="L18" s="182"/>
      <c r="M18" s="183"/>
      <c r="N18" s="184" t="s">
        <v>2</v>
      </c>
      <c r="O18" s="185"/>
      <c r="P18" s="185"/>
      <c r="Q18" s="185"/>
      <c r="R18" s="185"/>
      <c r="S18" s="186"/>
      <c r="T18" s="172" t="s">
        <v>3</v>
      </c>
      <c r="U18" s="173"/>
      <c r="V18" s="173"/>
      <c r="W18" s="173"/>
      <c r="X18" s="173"/>
      <c r="Y18" s="174"/>
      <c r="Z18" s="175" t="s">
        <v>4</v>
      </c>
      <c r="AA18" s="176"/>
      <c r="AB18" s="176"/>
      <c r="AC18" s="176"/>
      <c r="AD18" s="176"/>
      <c r="AE18" s="177"/>
      <c r="AF18" s="178" t="s">
        <v>5</v>
      </c>
      <c r="AG18" s="179"/>
      <c r="AH18" s="179"/>
      <c r="AI18" s="180"/>
    </row>
    <row r="19" spans="1:35" s="43" customFormat="1" ht="15.75" thickBot="1" x14ac:dyDescent="0.3">
      <c r="B19" s="37"/>
      <c r="C19" s="57"/>
      <c r="D19" s="57"/>
      <c r="E19" s="85"/>
      <c r="F19" s="56"/>
      <c r="G19" s="57"/>
      <c r="H19" s="65" t="s">
        <v>88</v>
      </c>
      <c r="I19" s="66" t="s">
        <v>6</v>
      </c>
      <c r="J19" s="67" t="s">
        <v>7</v>
      </c>
      <c r="K19" s="68" t="s">
        <v>8</v>
      </c>
      <c r="L19" s="68" t="s">
        <v>9</v>
      </c>
      <c r="M19" s="69" t="s">
        <v>10</v>
      </c>
      <c r="N19" s="70" t="s">
        <v>88</v>
      </c>
      <c r="O19" s="70" t="s">
        <v>6</v>
      </c>
      <c r="P19" s="67" t="s">
        <v>7</v>
      </c>
      <c r="Q19" s="68" t="s">
        <v>8</v>
      </c>
      <c r="R19" s="68" t="s">
        <v>9</v>
      </c>
      <c r="S19" s="69" t="s">
        <v>10</v>
      </c>
      <c r="T19" s="70" t="s">
        <v>88</v>
      </c>
      <c r="U19" s="70" t="s">
        <v>6</v>
      </c>
      <c r="V19" s="67" t="s">
        <v>7</v>
      </c>
      <c r="W19" s="68" t="s">
        <v>8</v>
      </c>
      <c r="X19" s="68" t="s">
        <v>9</v>
      </c>
      <c r="Y19" s="69" t="s">
        <v>10</v>
      </c>
      <c r="Z19" s="70" t="s">
        <v>88</v>
      </c>
      <c r="AA19" s="70" t="s">
        <v>6</v>
      </c>
      <c r="AB19" s="67" t="s">
        <v>7</v>
      </c>
      <c r="AC19" s="87" t="s">
        <v>15</v>
      </c>
      <c r="AD19" s="68" t="s">
        <v>9</v>
      </c>
      <c r="AE19" s="69" t="s">
        <v>10</v>
      </c>
      <c r="AF19" s="70" t="s">
        <v>88</v>
      </c>
      <c r="AG19" s="70" t="s">
        <v>6</v>
      </c>
      <c r="AH19" s="67" t="s">
        <v>7</v>
      </c>
      <c r="AI19" s="71" t="s">
        <v>8</v>
      </c>
    </row>
    <row r="20" spans="1:35" s="43" customFormat="1" ht="15.75" thickBot="1" x14ac:dyDescent="0.3">
      <c r="B20" s="95" t="s">
        <v>345</v>
      </c>
      <c r="C20" s="99" t="s">
        <v>86</v>
      </c>
      <c r="D20" s="91"/>
      <c r="E20" s="91"/>
      <c r="F20" s="99" t="s">
        <v>356</v>
      </c>
      <c r="G20" s="99" t="s">
        <v>357</v>
      </c>
      <c r="H20" s="68" t="s">
        <v>86</v>
      </c>
      <c r="I20" s="72"/>
      <c r="J20" s="72"/>
      <c r="K20" s="72"/>
      <c r="L20" s="72"/>
      <c r="M20" s="73"/>
      <c r="N20" s="65" t="s">
        <v>86</v>
      </c>
      <c r="O20" s="72"/>
      <c r="P20" s="72"/>
      <c r="Q20" s="72"/>
      <c r="R20" s="72"/>
      <c r="S20" s="73"/>
      <c r="T20" s="65" t="s">
        <v>86</v>
      </c>
      <c r="U20" s="72"/>
      <c r="V20" s="72"/>
      <c r="W20" s="72"/>
      <c r="X20" s="72"/>
      <c r="Y20" s="72"/>
      <c r="Z20" s="65" t="s">
        <v>86</v>
      </c>
      <c r="AA20" s="72"/>
      <c r="AB20" s="72"/>
      <c r="AC20" s="72"/>
      <c r="AD20" s="72"/>
      <c r="AE20" s="72"/>
      <c r="AF20" s="65" t="s">
        <v>86</v>
      </c>
      <c r="AG20" s="72"/>
      <c r="AH20" s="72"/>
      <c r="AI20" s="73"/>
    </row>
    <row r="21" spans="1:35" s="43" customFormat="1" ht="15.75" thickBot="1" x14ac:dyDescent="0.3">
      <c r="B21" s="96" t="s">
        <v>20</v>
      </c>
      <c r="C21" s="100"/>
      <c r="D21" s="92" t="str">
        <f t="array" ref="D21">INDEX(Table_Name28[Name List],MATCH(B21,Table_Name28[Category],0))</f>
        <v>Quads[Exercise]</v>
      </c>
      <c r="E21" s="90" t="e">
        <f t="array" ref="E21">INDEX(Links49[Link],MATCH(C21,Links49[Exercise],0))</f>
        <v>#N/A</v>
      </c>
      <c r="F21" s="106" t="e">
        <f>HYPERLINK(E21,"Video")</f>
        <v>#N/A</v>
      </c>
      <c r="G21" s="109"/>
      <c r="H21" s="88">
        <f>C21</f>
        <v>0</v>
      </c>
      <c r="I21" s="76">
        <v>3</v>
      </c>
      <c r="J21" s="76">
        <f>MROUND(((G21)*0.75),5)</f>
        <v>0</v>
      </c>
      <c r="K21" s="76" t="s">
        <v>11</v>
      </c>
      <c r="L21" s="76"/>
      <c r="M21" s="77"/>
      <c r="N21" s="88">
        <f>C21</f>
        <v>0</v>
      </c>
      <c r="O21" s="76">
        <f>I21+(M41)</f>
        <v>3</v>
      </c>
      <c r="P21" s="76">
        <f>MROUND((J21*1.05),5)</f>
        <v>0</v>
      </c>
      <c r="Q21" s="76" t="s">
        <v>11</v>
      </c>
      <c r="R21" s="76"/>
      <c r="S21" s="78"/>
      <c r="T21" s="57">
        <f>C21</f>
        <v>0</v>
      </c>
      <c r="U21" s="76">
        <f>O21+(S41)</f>
        <v>3</v>
      </c>
      <c r="V21" s="76">
        <f>MROUND((J21*1.075),5)</f>
        <v>0</v>
      </c>
      <c r="W21" s="76" t="s">
        <v>12</v>
      </c>
      <c r="X21" s="76"/>
      <c r="Y21" s="78"/>
      <c r="Z21" s="75">
        <f>C21</f>
        <v>0</v>
      </c>
      <c r="AA21" s="76">
        <f>U21+(Y41)</f>
        <v>3</v>
      </c>
      <c r="AB21" s="76">
        <f>MROUND((J21*1.1),5)</f>
        <v>0</v>
      </c>
      <c r="AC21" s="76" t="s">
        <v>13</v>
      </c>
      <c r="AD21" s="76"/>
      <c r="AE21" s="78"/>
      <c r="AF21" s="75">
        <f>C21</f>
        <v>0</v>
      </c>
      <c r="AG21" s="76">
        <v>2</v>
      </c>
      <c r="AH21" s="79">
        <f>J21</f>
        <v>0</v>
      </c>
      <c r="AI21" s="77" t="s">
        <v>14</v>
      </c>
    </row>
    <row r="22" spans="1:35" s="43" customFormat="1" ht="15.75" thickBot="1" x14ac:dyDescent="0.3">
      <c r="B22" s="97" t="s">
        <v>20</v>
      </c>
      <c r="C22" s="101"/>
      <c r="D22" s="93" t="str">
        <f t="array" ref="D22">INDEX(Table_Name28[Name List],MATCH(B22,Table_Name28[Category],0))</f>
        <v>Quads[Exercise]</v>
      </c>
      <c r="E22" s="74" t="e">
        <f t="array" ref="E22">INDEX(Links49[Link],MATCH(C22,Links49[Exercise],0))</f>
        <v>#N/A</v>
      </c>
      <c r="F22" s="107" t="e">
        <f>HYPERLINK(E22,"Video")</f>
        <v>#N/A</v>
      </c>
      <c r="G22" s="110"/>
      <c r="H22" s="88">
        <f>C22</f>
        <v>0</v>
      </c>
      <c r="I22" s="76">
        <v>3</v>
      </c>
      <c r="J22" s="76">
        <f>MROUND(((G22)*0.75),5)</f>
        <v>0</v>
      </c>
      <c r="K22" s="76" t="s">
        <v>11</v>
      </c>
      <c r="L22" s="76"/>
      <c r="M22" s="77"/>
      <c r="N22" s="88">
        <f>C22</f>
        <v>0</v>
      </c>
      <c r="O22" s="76">
        <f>I22+(M41)</f>
        <v>3</v>
      </c>
      <c r="P22" s="76">
        <f>MROUND((J22*1.05),5)</f>
        <v>0</v>
      </c>
      <c r="Q22" s="76" t="s">
        <v>11</v>
      </c>
      <c r="R22" s="76"/>
      <c r="S22" s="78"/>
      <c r="T22" s="57">
        <f>C22</f>
        <v>0</v>
      </c>
      <c r="U22" s="76">
        <f>O22+(S41)</f>
        <v>3</v>
      </c>
      <c r="V22" s="76">
        <f>MROUND((J22*1.075),5)</f>
        <v>0</v>
      </c>
      <c r="W22" s="76" t="s">
        <v>12</v>
      </c>
      <c r="X22" s="76"/>
      <c r="Y22" s="78"/>
      <c r="Z22" s="75">
        <f>C22</f>
        <v>0</v>
      </c>
      <c r="AA22" s="76">
        <f>U22+(Y41)</f>
        <v>3</v>
      </c>
      <c r="AB22" s="76">
        <f>MROUND((J22*1.1),5)</f>
        <v>0</v>
      </c>
      <c r="AC22" s="76" t="s">
        <v>13</v>
      </c>
      <c r="AD22" s="76"/>
      <c r="AE22" s="78"/>
      <c r="AF22" s="75">
        <f>C22</f>
        <v>0</v>
      </c>
      <c r="AG22" s="76">
        <v>2</v>
      </c>
      <c r="AH22" s="79">
        <f>J22</f>
        <v>0</v>
      </c>
      <c r="AI22" s="77" t="s">
        <v>14</v>
      </c>
    </row>
    <row r="23" spans="1:35" s="43" customFormat="1" ht="15.75" thickBot="1" x14ac:dyDescent="0.3">
      <c r="B23" s="97" t="s">
        <v>106</v>
      </c>
      <c r="C23" s="101"/>
      <c r="D23" s="93" t="str">
        <f t="array" ref="D23">INDEX(Table_Name28[Name List],MATCH(B23,Table_Name28[Category],0))</f>
        <v>Hamstrings_Isolation[Exercise]</v>
      </c>
      <c r="E23" s="74" t="e">
        <f t="array" ref="E23">INDEX(Links49[Link],MATCH(C23,Links49[Exercise],0))</f>
        <v>#N/A</v>
      </c>
      <c r="F23" s="107" t="e">
        <f>HYPERLINK(E23,"Video")</f>
        <v>#N/A</v>
      </c>
      <c r="G23" s="110"/>
      <c r="H23" s="88">
        <f>C23</f>
        <v>0</v>
      </c>
      <c r="I23" s="76">
        <v>4</v>
      </c>
      <c r="J23" s="76">
        <f>MROUND(((G23)*0.75),5)</f>
        <v>0</v>
      </c>
      <c r="K23" s="76" t="s">
        <v>11</v>
      </c>
      <c r="L23" s="76"/>
      <c r="M23" s="77"/>
      <c r="N23" s="88">
        <f>C23</f>
        <v>0</v>
      </c>
      <c r="O23" s="76">
        <f>I23+(M40)</f>
        <v>4</v>
      </c>
      <c r="P23" s="76">
        <f>MROUND((J23*1.05),5)</f>
        <v>0</v>
      </c>
      <c r="Q23" s="76" t="s">
        <v>11</v>
      </c>
      <c r="R23" s="76"/>
      <c r="S23" s="78"/>
      <c r="T23" s="57">
        <f>C23</f>
        <v>0</v>
      </c>
      <c r="U23" s="76">
        <f>O23+(S40)</f>
        <v>4</v>
      </c>
      <c r="V23" s="76">
        <f>MROUND((J23*1.075),5)</f>
        <v>0</v>
      </c>
      <c r="W23" s="76" t="s">
        <v>12</v>
      </c>
      <c r="X23" s="76"/>
      <c r="Y23" s="78"/>
      <c r="Z23" s="75">
        <f>C23</f>
        <v>0</v>
      </c>
      <c r="AA23" s="76">
        <f>U23+(Y40)</f>
        <v>4</v>
      </c>
      <c r="AB23" s="76">
        <f>MROUND((J23*1.1),5)</f>
        <v>0</v>
      </c>
      <c r="AC23" s="76" t="s">
        <v>13</v>
      </c>
      <c r="AD23" s="76"/>
      <c r="AE23" s="78"/>
      <c r="AF23" s="75">
        <f>C23</f>
        <v>0</v>
      </c>
      <c r="AG23" s="76">
        <v>2</v>
      </c>
      <c r="AH23" s="79">
        <f>J23</f>
        <v>0</v>
      </c>
      <c r="AI23" s="77" t="s">
        <v>14</v>
      </c>
    </row>
    <row r="24" spans="1:35" s="43" customFormat="1" ht="15.75" thickBot="1" x14ac:dyDescent="0.3">
      <c r="B24" s="98" t="s">
        <v>19</v>
      </c>
      <c r="C24" s="102"/>
      <c r="D24" s="94" t="str">
        <f t="array" ref="D24">INDEX(Table_Name28[Name List],MATCH(B24,Table_Name28[Category],0))</f>
        <v>Calves[Exercise]</v>
      </c>
      <c r="E24" s="80" t="e">
        <f t="array" ref="E24">INDEX(Links49[Link],MATCH(C24,Links49[Exercise],0))</f>
        <v>#N/A</v>
      </c>
      <c r="F24" s="108" t="e">
        <f>HYPERLINK(E24,"Video")</f>
        <v>#N/A</v>
      </c>
      <c r="G24" s="111"/>
      <c r="H24" s="138">
        <f>C24</f>
        <v>0</v>
      </c>
      <c r="I24" s="82">
        <v>4</v>
      </c>
      <c r="J24" s="82">
        <f>MROUND(((G24)*0.75),5)</f>
        <v>0</v>
      </c>
      <c r="K24" s="82" t="s">
        <v>11</v>
      </c>
      <c r="L24" s="82"/>
      <c r="M24" s="64"/>
      <c r="N24" s="81">
        <f>C24</f>
        <v>0</v>
      </c>
      <c r="O24" s="82">
        <f>I24+(M42)</f>
        <v>4</v>
      </c>
      <c r="P24" s="82">
        <f>MROUND((J24*1.05),5)</f>
        <v>0</v>
      </c>
      <c r="Q24" s="82" t="s">
        <v>11</v>
      </c>
      <c r="R24" s="82"/>
      <c r="S24" s="78"/>
      <c r="T24" s="83">
        <f>C24</f>
        <v>0</v>
      </c>
      <c r="U24" s="82">
        <f>O24+(S42)</f>
        <v>4</v>
      </c>
      <c r="V24" s="82">
        <f>MROUND((J24*1.075),5)</f>
        <v>0</v>
      </c>
      <c r="W24" s="82" t="s">
        <v>12</v>
      </c>
      <c r="X24" s="82"/>
      <c r="Y24" s="78"/>
      <c r="Z24" s="81">
        <f>C24</f>
        <v>0</v>
      </c>
      <c r="AA24" s="82">
        <f>U24+(Y42)</f>
        <v>4</v>
      </c>
      <c r="AB24" s="82">
        <f>MROUND((J24*1.1),5)</f>
        <v>0</v>
      </c>
      <c r="AC24" s="82" t="s">
        <v>13</v>
      </c>
      <c r="AD24" s="82"/>
      <c r="AE24" s="78"/>
      <c r="AF24" s="81">
        <f>C24</f>
        <v>0</v>
      </c>
      <c r="AG24" s="82">
        <v>2</v>
      </c>
      <c r="AH24" s="84">
        <f>J24</f>
        <v>0</v>
      </c>
      <c r="AI24" s="64" t="s">
        <v>14</v>
      </c>
    </row>
    <row r="25" spans="1:35" s="43" customFormat="1" ht="19.5" thickBot="1" x14ac:dyDescent="0.3">
      <c r="B25" s="86" t="s">
        <v>346</v>
      </c>
      <c r="C25" s="57"/>
      <c r="D25" s="57"/>
      <c r="E25" s="85"/>
      <c r="F25" s="56"/>
      <c r="G25" s="62"/>
      <c r="H25" s="181" t="s">
        <v>1</v>
      </c>
      <c r="I25" s="182"/>
      <c r="J25" s="182"/>
      <c r="K25" s="182"/>
      <c r="L25" s="182"/>
      <c r="M25" s="183"/>
      <c r="N25" s="184" t="s">
        <v>2</v>
      </c>
      <c r="O25" s="185"/>
      <c r="P25" s="185"/>
      <c r="Q25" s="185"/>
      <c r="R25" s="185"/>
      <c r="S25" s="186"/>
      <c r="T25" s="172" t="s">
        <v>3</v>
      </c>
      <c r="U25" s="173"/>
      <c r="V25" s="173"/>
      <c r="W25" s="173"/>
      <c r="X25" s="173"/>
      <c r="Y25" s="174"/>
      <c r="Z25" s="175" t="s">
        <v>4</v>
      </c>
      <c r="AA25" s="176"/>
      <c r="AB25" s="176"/>
      <c r="AC25" s="176"/>
      <c r="AD25" s="176"/>
      <c r="AE25" s="177"/>
      <c r="AF25" s="178" t="s">
        <v>5</v>
      </c>
      <c r="AG25" s="179"/>
      <c r="AH25" s="179"/>
      <c r="AI25" s="180"/>
    </row>
    <row r="26" spans="1:35" s="43" customFormat="1" ht="15.75" thickBot="1" x14ac:dyDescent="0.3">
      <c r="B26" s="37"/>
      <c r="C26" s="57"/>
      <c r="D26" s="57"/>
      <c r="E26" s="85"/>
      <c r="F26" s="56"/>
      <c r="G26" s="57"/>
      <c r="H26" s="89" t="s">
        <v>88</v>
      </c>
      <c r="I26" s="70" t="s">
        <v>6</v>
      </c>
      <c r="J26" s="67" t="s">
        <v>7</v>
      </c>
      <c r="K26" s="68" t="s">
        <v>8</v>
      </c>
      <c r="L26" s="68" t="s">
        <v>9</v>
      </c>
      <c r="M26" s="69" t="s">
        <v>10</v>
      </c>
      <c r="N26" s="70" t="s">
        <v>88</v>
      </c>
      <c r="O26" s="70" t="s">
        <v>6</v>
      </c>
      <c r="P26" s="67" t="s">
        <v>7</v>
      </c>
      <c r="Q26" s="68" t="s">
        <v>8</v>
      </c>
      <c r="R26" s="68" t="s">
        <v>9</v>
      </c>
      <c r="S26" s="69" t="s">
        <v>10</v>
      </c>
      <c r="T26" s="70" t="s">
        <v>88</v>
      </c>
      <c r="U26" s="70" t="s">
        <v>6</v>
      </c>
      <c r="V26" s="67" t="s">
        <v>7</v>
      </c>
      <c r="W26" s="68" t="s">
        <v>8</v>
      </c>
      <c r="X26" s="68" t="s">
        <v>9</v>
      </c>
      <c r="Y26" s="69" t="s">
        <v>10</v>
      </c>
      <c r="Z26" s="70" t="s">
        <v>88</v>
      </c>
      <c r="AA26" s="70" t="s">
        <v>6</v>
      </c>
      <c r="AB26" s="67" t="s">
        <v>7</v>
      </c>
      <c r="AC26" s="87" t="s">
        <v>15</v>
      </c>
      <c r="AD26" s="68" t="s">
        <v>9</v>
      </c>
      <c r="AE26" s="69" t="s">
        <v>10</v>
      </c>
      <c r="AF26" s="70" t="s">
        <v>88</v>
      </c>
      <c r="AG26" s="70" t="s">
        <v>6</v>
      </c>
      <c r="AH26" s="67" t="s">
        <v>7</v>
      </c>
      <c r="AI26" s="71" t="s">
        <v>8</v>
      </c>
    </row>
    <row r="27" spans="1:35" s="43" customFormat="1" ht="15.75" thickBot="1" x14ac:dyDescent="0.3">
      <c r="B27" s="95" t="s">
        <v>347</v>
      </c>
      <c r="C27" s="99" t="s">
        <v>103</v>
      </c>
      <c r="D27" s="91"/>
      <c r="E27" s="91"/>
      <c r="F27" s="99" t="s">
        <v>356</v>
      </c>
      <c r="G27" s="99" t="s">
        <v>357</v>
      </c>
      <c r="H27" s="68" t="s">
        <v>103</v>
      </c>
      <c r="I27" s="72"/>
      <c r="J27" s="72"/>
      <c r="K27" s="72"/>
      <c r="L27" s="72"/>
      <c r="M27" s="73"/>
      <c r="N27" s="65" t="s">
        <v>103</v>
      </c>
      <c r="O27" s="72"/>
      <c r="P27" s="72"/>
      <c r="Q27" s="72"/>
      <c r="R27" s="72"/>
      <c r="S27" s="73"/>
      <c r="T27" s="65" t="s">
        <v>103</v>
      </c>
      <c r="U27" s="72"/>
      <c r="V27" s="72"/>
      <c r="W27" s="72"/>
      <c r="X27" s="72"/>
      <c r="Y27" s="72"/>
      <c r="Z27" s="65" t="s">
        <v>103</v>
      </c>
      <c r="AA27" s="72"/>
      <c r="AB27" s="72"/>
      <c r="AC27" s="72"/>
      <c r="AD27" s="72"/>
      <c r="AE27" s="72"/>
      <c r="AF27" s="65" t="s">
        <v>103</v>
      </c>
      <c r="AG27" s="72"/>
      <c r="AH27" s="72"/>
      <c r="AI27" s="73"/>
    </row>
    <row r="28" spans="1:35" s="43" customFormat="1" ht="15.75" thickBot="1" x14ac:dyDescent="0.3">
      <c r="B28" s="96" t="s">
        <v>339</v>
      </c>
      <c r="C28" s="100"/>
      <c r="D28" s="92" t="str">
        <f t="array" ref="D28">INDEX(Table_Name28[Name List],MATCH(B28,Table_Name28[Category],0))</f>
        <v>Vertical_Back[Exercise]</v>
      </c>
      <c r="E28" s="90" t="e">
        <f t="array" ref="E28">INDEX(Links49[Link],MATCH(C28,Links49[Exercise],0))</f>
        <v>#N/A</v>
      </c>
      <c r="F28" s="106" t="e">
        <f t="shared" ref="F28:F34" si="10">HYPERLINK(E28,"Video")</f>
        <v>#N/A</v>
      </c>
      <c r="G28" s="109"/>
      <c r="H28" s="88">
        <f t="shared" ref="H28:H34" si="11">C28</f>
        <v>0</v>
      </c>
      <c r="I28" s="76">
        <v>2</v>
      </c>
      <c r="J28" s="76">
        <f>MROUND(((G28)*0.75),5)</f>
        <v>0</v>
      </c>
      <c r="K28" s="76" t="s">
        <v>11</v>
      </c>
      <c r="L28" s="76"/>
      <c r="M28" s="78"/>
      <c r="N28" s="88">
        <f t="shared" ref="N28:N34" si="12">C28</f>
        <v>0</v>
      </c>
      <c r="O28" s="76">
        <f>I28+(M52)</f>
        <v>2</v>
      </c>
      <c r="P28" s="76">
        <f t="shared" ref="P28:P34" si="13">MROUND((J28*1.05),5)</f>
        <v>0</v>
      </c>
      <c r="Q28" s="76" t="s">
        <v>11</v>
      </c>
      <c r="R28" s="76"/>
      <c r="S28" s="78"/>
      <c r="T28" s="57">
        <f t="shared" ref="T28:T34" si="14">C28</f>
        <v>0</v>
      </c>
      <c r="U28" s="76">
        <f>O28+(S52)</f>
        <v>2</v>
      </c>
      <c r="V28" s="76">
        <f t="shared" ref="V28:V34" si="15">MROUND((J28*1.075),5)</f>
        <v>0</v>
      </c>
      <c r="W28" s="76" t="s">
        <v>12</v>
      </c>
      <c r="X28" s="76"/>
      <c r="Y28" s="78"/>
      <c r="Z28" s="75">
        <f t="shared" ref="Z28:Z34" si="16">C28</f>
        <v>0</v>
      </c>
      <c r="AA28" s="76">
        <f>U28+(Y52)</f>
        <v>2</v>
      </c>
      <c r="AB28" s="76">
        <f t="shared" ref="AB28:AB34" si="17">MROUND((J28*1.1),5)</f>
        <v>0</v>
      </c>
      <c r="AC28" s="76" t="s">
        <v>13</v>
      </c>
      <c r="AD28" s="76"/>
      <c r="AE28" s="78"/>
      <c r="AF28" s="75">
        <f t="shared" ref="AF28:AF34" si="18">C28</f>
        <v>0</v>
      </c>
      <c r="AG28" s="76">
        <v>2</v>
      </c>
      <c r="AH28" s="79">
        <f t="shared" ref="AH28:AH34" si="19">J28</f>
        <v>0</v>
      </c>
      <c r="AI28" s="77" t="s">
        <v>14</v>
      </c>
    </row>
    <row r="29" spans="1:35" s="43" customFormat="1" ht="15.75" thickBot="1" x14ac:dyDescent="0.3">
      <c r="B29" s="97" t="s">
        <v>339</v>
      </c>
      <c r="C29" s="101"/>
      <c r="D29" s="93" t="str">
        <f t="array" ref="D29">INDEX(Table_Name28[Name List],MATCH(B29,Table_Name28[Category],0))</f>
        <v>Vertical_Back[Exercise]</v>
      </c>
      <c r="E29" s="74" t="e">
        <f t="array" ref="E29">INDEX(Links49[Link],MATCH(C29,Links49[Exercise],0))</f>
        <v>#N/A</v>
      </c>
      <c r="F29" s="107" t="e">
        <f t="shared" si="10"/>
        <v>#N/A</v>
      </c>
      <c r="G29" s="110"/>
      <c r="H29" s="88">
        <f t="shared" si="11"/>
        <v>0</v>
      </c>
      <c r="I29" s="76">
        <v>2</v>
      </c>
      <c r="J29" s="76">
        <f>MROUND(((G29)*0.75),5)</f>
        <v>0</v>
      </c>
      <c r="K29" s="76" t="s">
        <v>11</v>
      </c>
      <c r="L29" s="76"/>
      <c r="M29" s="78"/>
      <c r="N29" s="88">
        <f t="shared" si="12"/>
        <v>0</v>
      </c>
      <c r="O29" s="76">
        <f>I29+(M52)</f>
        <v>2</v>
      </c>
      <c r="P29" s="76">
        <f t="shared" si="13"/>
        <v>0</v>
      </c>
      <c r="Q29" s="76" t="s">
        <v>11</v>
      </c>
      <c r="R29" s="76"/>
      <c r="S29" s="78"/>
      <c r="T29" s="57">
        <f t="shared" si="14"/>
        <v>0</v>
      </c>
      <c r="U29" s="76">
        <f>O29+(S52)</f>
        <v>2</v>
      </c>
      <c r="V29" s="76">
        <f t="shared" si="15"/>
        <v>0</v>
      </c>
      <c r="W29" s="76" t="s">
        <v>12</v>
      </c>
      <c r="X29" s="76"/>
      <c r="Y29" s="78"/>
      <c r="Z29" s="75">
        <f t="shared" si="16"/>
        <v>0</v>
      </c>
      <c r="AA29" s="76">
        <f>U29+(Y52)</f>
        <v>2</v>
      </c>
      <c r="AB29" s="76">
        <f t="shared" si="17"/>
        <v>0</v>
      </c>
      <c r="AC29" s="76" t="s">
        <v>13</v>
      </c>
      <c r="AD29" s="76"/>
      <c r="AE29" s="78"/>
      <c r="AF29" s="75">
        <f t="shared" si="18"/>
        <v>0</v>
      </c>
      <c r="AG29" s="76">
        <v>2</v>
      </c>
      <c r="AH29" s="79">
        <f t="shared" si="19"/>
        <v>0</v>
      </c>
      <c r="AI29" s="77" t="s">
        <v>14</v>
      </c>
    </row>
    <row r="30" spans="1:35" s="43" customFormat="1" ht="15.75" thickBot="1" x14ac:dyDescent="0.3">
      <c r="B30" s="97" t="s">
        <v>338</v>
      </c>
      <c r="C30" s="101"/>
      <c r="D30" s="93" t="str">
        <f t="array" ref="D30">INDEX(Table_Name28[Name List],MATCH(B30,Table_Name28[Category],0))</f>
        <v>Horizontal_Back[Exercise]</v>
      </c>
      <c r="E30" s="74" t="e">
        <f t="array" ref="E30">INDEX(Links49[Link],MATCH(C30,Links49[Exercise],0))</f>
        <v>#N/A</v>
      </c>
      <c r="F30" s="107" t="e">
        <f t="shared" si="10"/>
        <v>#N/A</v>
      </c>
      <c r="G30" s="110"/>
      <c r="H30" s="88">
        <f t="shared" si="11"/>
        <v>0</v>
      </c>
      <c r="I30" s="76">
        <v>2</v>
      </c>
      <c r="J30" s="76">
        <f>MROUND(((G30)*0.75),5)</f>
        <v>0</v>
      </c>
      <c r="K30" s="76" t="s">
        <v>11</v>
      </c>
      <c r="L30" s="76"/>
      <c r="M30" s="78"/>
      <c r="N30" s="88">
        <f t="shared" si="12"/>
        <v>0</v>
      </c>
      <c r="O30" s="76">
        <f>I30+(M52)</f>
        <v>2</v>
      </c>
      <c r="P30" s="76">
        <f t="shared" si="13"/>
        <v>0</v>
      </c>
      <c r="Q30" s="76" t="s">
        <v>11</v>
      </c>
      <c r="R30" s="76"/>
      <c r="S30" s="78"/>
      <c r="T30" s="57">
        <f t="shared" si="14"/>
        <v>0</v>
      </c>
      <c r="U30" s="76">
        <f>O30+(S52)</f>
        <v>2</v>
      </c>
      <c r="V30" s="76">
        <f t="shared" si="15"/>
        <v>0</v>
      </c>
      <c r="W30" s="76" t="s">
        <v>12</v>
      </c>
      <c r="X30" s="76"/>
      <c r="Y30" s="78"/>
      <c r="Z30" s="75">
        <f t="shared" si="16"/>
        <v>0</v>
      </c>
      <c r="AA30" s="76">
        <f>U30+(Y52)</f>
        <v>2</v>
      </c>
      <c r="AB30" s="76">
        <f t="shared" si="17"/>
        <v>0</v>
      </c>
      <c r="AC30" s="76" t="s">
        <v>13</v>
      </c>
      <c r="AD30" s="76"/>
      <c r="AE30" s="78"/>
      <c r="AF30" s="75">
        <f t="shared" si="18"/>
        <v>0</v>
      </c>
      <c r="AG30" s="76">
        <v>2</v>
      </c>
      <c r="AH30" s="79">
        <f t="shared" si="19"/>
        <v>0</v>
      </c>
      <c r="AI30" s="77" t="s">
        <v>14</v>
      </c>
    </row>
    <row r="31" spans="1:35" s="43" customFormat="1" ht="15.75" thickBot="1" x14ac:dyDescent="0.3">
      <c r="B31" s="154" t="s">
        <v>344</v>
      </c>
      <c r="C31" s="156"/>
      <c r="D31" s="112" t="str">
        <f t="array" ref="D31">INDEX(Table_Name28[Name List],MATCH(B31,Table_Name28[Category],0))</f>
        <v>Horizontal_Push[Exercise]</v>
      </c>
      <c r="E31" s="113" t="e">
        <f t="array" ref="E31">INDEX(Links49[Link],MATCH(C31,Links49[Exercise],0))</f>
        <v>#N/A</v>
      </c>
      <c r="F31" s="158" t="e">
        <f t="shared" si="10"/>
        <v>#N/A</v>
      </c>
      <c r="G31" s="160"/>
      <c r="H31" s="88">
        <f t="shared" si="11"/>
        <v>0</v>
      </c>
      <c r="I31" s="76">
        <v>2</v>
      </c>
      <c r="J31" s="76">
        <f>MROUND(((G31)*0.75),5)</f>
        <v>0</v>
      </c>
      <c r="K31" s="76" t="s">
        <v>11</v>
      </c>
      <c r="L31" s="76"/>
      <c r="M31" s="114"/>
      <c r="N31" s="88">
        <f t="shared" si="12"/>
        <v>0</v>
      </c>
      <c r="O31" s="76">
        <f>I31+(M53)</f>
        <v>2</v>
      </c>
      <c r="P31" s="76">
        <f t="shared" si="13"/>
        <v>0</v>
      </c>
      <c r="Q31" s="76" t="s">
        <v>11</v>
      </c>
      <c r="R31" s="76"/>
      <c r="S31" s="114"/>
      <c r="T31" s="57">
        <f t="shared" si="14"/>
        <v>0</v>
      </c>
      <c r="U31" s="76">
        <f>O31+(S53)</f>
        <v>2</v>
      </c>
      <c r="V31" s="76">
        <f t="shared" si="15"/>
        <v>0</v>
      </c>
      <c r="W31" s="76" t="s">
        <v>12</v>
      </c>
      <c r="X31" s="76"/>
      <c r="Y31" s="114"/>
      <c r="Z31" s="75">
        <f t="shared" si="16"/>
        <v>0</v>
      </c>
      <c r="AA31" s="76">
        <f>U31+(Y53)</f>
        <v>2</v>
      </c>
      <c r="AB31" s="76">
        <f t="shared" si="17"/>
        <v>0</v>
      </c>
      <c r="AC31" s="76" t="s">
        <v>13</v>
      </c>
      <c r="AD31" s="76"/>
      <c r="AE31" s="114"/>
      <c r="AF31" s="75">
        <f t="shared" si="18"/>
        <v>0</v>
      </c>
      <c r="AG31" s="76">
        <v>2</v>
      </c>
      <c r="AH31" s="79">
        <f t="shared" si="19"/>
        <v>0</v>
      </c>
      <c r="AI31" s="77" t="s">
        <v>14</v>
      </c>
    </row>
    <row r="32" spans="1:35" s="43" customFormat="1" ht="15.75" thickBot="1" x14ac:dyDescent="0.3">
      <c r="A32" s="63" t="s">
        <v>353</v>
      </c>
      <c r="B32" s="142" t="s">
        <v>340</v>
      </c>
      <c r="C32" s="145"/>
      <c r="D32" s="136" t="str">
        <f t="array" ref="D32">INDEX(Table_Name28[Name List],MATCH(B32,Table_Name28[Category],0))</f>
        <v>Rear_or_Side_Delts[Exercise]</v>
      </c>
      <c r="E32" s="115" t="e">
        <f t="array" ref="E32">INDEX(Links49[Link],MATCH(C32,Links49[Exercise],0))</f>
        <v>#N/A</v>
      </c>
      <c r="F32" s="148" t="e">
        <f t="shared" si="10"/>
        <v>#N/A</v>
      </c>
      <c r="G32" s="151"/>
      <c r="H32" s="130">
        <f t="shared" si="11"/>
        <v>0</v>
      </c>
      <c r="I32" s="117">
        <v>3</v>
      </c>
      <c r="J32" s="117">
        <f>MROUND(((G32)*0.75),5)</f>
        <v>0</v>
      </c>
      <c r="K32" s="117" t="s">
        <v>11</v>
      </c>
      <c r="L32" s="117"/>
      <c r="M32" s="119"/>
      <c r="N32" s="130">
        <f t="shared" si="12"/>
        <v>0</v>
      </c>
      <c r="O32" s="117">
        <f>I32+(S16)</f>
        <v>3</v>
      </c>
      <c r="P32" s="117">
        <f t="shared" si="13"/>
        <v>0</v>
      </c>
      <c r="Q32" s="117" t="s">
        <v>11</v>
      </c>
      <c r="R32" s="117"/>
      <c r="S32" s="119"/>
      <c r="T32" s="120">
        <f t="shared" si="14"/>
        <v>0</v>
      </c>
      <c r="U32" s="117">
        <f>O32+(Y16)</f>
        <v>3</v>
      </c>
      <c r="V32" s="117">
        <f t="shared" si="15"/>
        <v>0</v>
      </c>
      <c r="W32" s="117" t="s">
        <v>12</v>
      </c>
      <c r="X32" s="117"/>
      <c r="Y32" s="119"/>
      <c r="Z32" s="116">
        <f t="shared" si="16"/>
        <v>0</v>
      </c>
      <c r="AA32" s="117">
        <f>U32+(AE16)</f>
        <v>3</v>
      </c>
      <c r="AB32" s="117">
        <f t="shared" si="17"/>
        <v>0</v>
      </c>
      <c r="AC32" s="117" t="s">
        <v>13</v>
      </c>
      <c r="AD32" s="117"/>
      <c r="AE32" s="121"/>
      <c r="AF32" s="88">
        <f t="shared" si="18"/>
        <v>0</v>
      </c>
      <c r="AG32" s="76">
        <v>2</v>
      </c>
      <c r="AH32" s="79">
        <f t="shared" si="19"/>
        <v>0</v>
      </c>
      <c r="AI32" s="77" t="s">
        <v>14</v>
      </c>
    </row>
    <row r="33" spans="1:35" s="43" customFormat="1" ht="15.75" thickBot="1" x14ac:dyDescent="0.3">
      <c r="A33" s="63" t="s">
        <v>354</v>
      </c>
      <c r="B33" s="143" t="s">
        <v>340</v>
      </c>
      <c r="C33" s="146"/>
      <c r="D33" s="137" t="str">
        <f t="array" ref="D33">INDEX(Table_Name28[Name List],MATCH(B33,Table_Name28[Category],0))</f>
        <v>Rear_or_Side_Delts[Exercise]</v>
      </c>
      <c r="E33" s="122" t="e">
        <f t="array" ref="E33">INDEX(Links49[Link],MATCH(C33,Links49[Exercise],0))</f>
        <v>#N/A</v>
      </c>
      <c r="F33" s="149" t="e">
        <f>HYPERLINK(E33,"Video")</f>
        <v>#N/A</v>
      </c>
      <c r="G33" s="152"/>
      <c r="H33" s="131">
        <f>C33</f>
        <v>0</v>
      </c>
      <c r="I33" s="124">
        <v>3</v>
      </c>
      <c r="J33" s="124">
        <f>MROUND(((G33)*0.6),5)</f>
        <v>0</v>
      </c>
      <c r="K33" s="124" t="s">
        <v>11</v>
      </c>
      <c r="L33" s="124"/>
      <c r="M33" s="126"/>
      <c r="N33" s="131">
        <f>C33</f>
        <v>0</v>
      </c>
      <c r="O33" s="124">
        <f>I32+(S16)</f>
        <v>3</v>
      </c>
      <c r="P33" s="124">
        <f>MROUND((J33*1.05),5)</f>
        <v>0</v>
      </c>
      <c r="Q33" s="124" t="s">
        <v>11</v>
      </c>
      <c r="R33" s="124"/>
      <c r="S33" s="126"/>
      <c r="T33" s="127">
        <f>C33</f>
        <v>0</v>
      </c>
      <c r="U33" s="124">
        <f>O32+(Y16)</f>
        <v>3</v>
      </c>
      <c r="V33" s="124">
        <f>MROUND((J33*1.075),5)</f>
        <v>0</v>
      </c>
      <c r="W33" s="124" t="s">
        <v>12</v>
      </c>
      <c r="X33" s="124"/>
      <c r="Y33" s="126"/>
      <c r="Z33" s="123">
        <f>C33</f>
        <v>0</v>
      </c>
      <c r="AA33" s="124">
        <f>U32+(AE16)</f>
        <v>3</v>
      </c>
      <c r="AB33" s="124">
        <f>MROUND((J33*1.1),5)</f>
        <v>0</v>
      </c>
      <c r="AC33" s="124" t="s">
        <v>13</v>
      </c>
      <c r="AD33" s="124"/>
      <c r="AE33" s="128"/>
      <c r="AF33" s="88"/>
      <c r="AG33" s="76"/>
      <c r="AH33" s="79"/>
      <c r="AI33" s="77"/>
    </row>
    <row r="34" spans="1:35" s="43" customFormat="1" ht="15.75" thickBot="1" x14ac:dyDescent="0.3">
      <c r="B34" s="155" t="s">
        <v>77</v>
      </c>
      <c r="C34" s="157"/>
      <c r="D34" s="153" t="str">
        <f t="array" ref="D34">INDEX(Table_Name28[Name List],MATCH(B34,Table_Name28[Category],0))</f>
        <v>Abs[Exercise]</v>
      </c>
      <c r="E34" s="132" t="e">
        <f t="array" ref="E34">INDEX(Links49[Link],MATCH(C34,Links49[Exercise],0))</f>
        <v>#N/A</v>
      </c>
      <c r="F34" s="159" t="e">
        <f t="shared" si="10"/>
        <v>#N/A</v>
      </c>
      <c r="G34" s="161"/>
      <c r="H34" s="138">
        <f t="shared" si="11"/>
        <v>0</v>
      </c>
      <c r="I34" s="82">
        <v>3</v>
      </c>
      <c r="J34" s="82">
        <f>MROUND(((G34)*0.75),5)</f>
        <v>0</v>
      </c>
      <c r="K34" s="82" t="s">
        <v>11</v>
      </c>
      <c r="L34" s="82"/>
      <c r="M34" s="129"/>
      <c r="N34" s="81">
        <f t="shared" si="12"/>
        <v>0</v>
      </c>
      <c r="O34" s="82">
        <f>I34+(M54)</f>
        <v>3</v>
      </c>
      <c r="P34" s="82">
        <f t="shared" si="13"/>
        <v>0</v>
      </c>
      <c r="Q34" s="82" t="s">
        <v>11</v>
      </c>
      <c r="R34" s="82"/>
      <c r="S34" s="129"/>
      <c r="T34" s="83">
        <f t="shared" si="14"/>
        <v>0</v>
      </c>
      <c r="U34" s="82">
        <f>O34+(S54)</f>
        <v>3</v>
      </c>
      <c r="V34" s="82">
        <f t="shared" si="15"/>
        <v>0</v>
      </c>
      <c r="W34" s="82" t="s">
        <v>12</v>
      </c>
      <c r="X34" s="82"/>
      <c r="Y34" s="129"/>
      <c r="Z34" s="81">
        <f t="shared" si="16"/>
        <v>0</v>
      </c>
      <c r="AA34" s="82">
        <f>U34+(Y54)</f>
        <v>3</v>
      </c>
      <c r="AB34" s="82">
        <f t="shared" si="17"/>
        <v>0</v>
      </c>
      <c r="AC34" s="82" t="s">
        <v>13</v>
      </c>
      <c r="AD34" s="82"/>
      <c r="AE34" s="129"/>
      <c r="AF34" s="81">
        <f t="shared" si="18"/>
        <v>0</v>
      </c>
      <c r="AG34" s="82">
        <v>2</v>
      </c>
      <c r="AH34" s="84">
        <f t="shared" si="19"/>
        <v>0</v>
      </c>
      <c r="AI34" s="64" t="s">
        <v>14</v>
      </c>
    </row>
    <row r="35" spans="1:35" s="43" customFormat="1" ht="19.5" thickBot="1" x14ac:dyDescent="0.3">
      <c r="B35" s="86" t="s">
        <v>348</v>
      </c>
      <c r="C35" s="57"/>
      <c r="D35" s="57"/>
      <c r="E35" s="85"/>
      <c r="F35" s="56"/>
      <c r="G35" s="62"/>
      <c r="H35" s="181" t="s">
        <v>1</v>
      </c>
      <c r="I35" s="182"/>
      <c r="J35" s="182"/>
      <c r="K35" s="182"/>
      <c r="L35" s="182"/>
      <c r="M35" s="183"/>
      <c r="N35" s="184" t="s">
        <v>2</v>
      </c>
      <c r="O35" s="185"/>
      <c r="P35" s="185"/>
      <c r="Q35" s="185"/>
      <c r="R35" s="185"/>
      <c r="S35" s="186"/>
      <c r="T35" s="172" t="s">
        <v>3</v>
      </c>
      <c r="U35" s="173"/>
      <c r="V35" s="173"/>
      <c r="W35" s="173"/>
      <c r="X35" s="173"/>
      <c r="Y35" s="174"/>
      <c r="Z35" s="175" t="s">
        <v>4</v>
      </c>
      <c r="AA35" s="176"/>
      <c r="AB35" s="176"/>
      <c r="AC35" s="176"/>
      <c r="AD35" s="176"/>
      <c r="AE35" s="177"/>
      <c r="AF35" s="178" t="s">
        <v>5</v>
      </c>
      <c r="AG35" s="179"/>
      <c r="AH35" s="179"/>
      <c r="AI35" s="180"/>
    </row>
    <row r="36" spans="1:35" s="43" customFormat="1" ht="15.75" thickBot="1" x14ac:dyDescent="0.3">
      <c r="B36" s="37"/>
      <c r="C36" s="57"/>
      <c r="D36" s="57"/>
      <c r="E36" s="85"/>
      <c r="F36" s="56"/>
      <c r="G36" s="57"/>
      <c r="H36" s="65" t="s">
        <v>88</v>
      </c>
      <c r="I36" s="66" t="s">
        <v>6</v>
      </c>
      <c r="J36" s="67" t="s">
        <v>7</v>
      </c>
      <c r="K36" s="68" t="s">
        <v>8</v>
      </c>
      <c r="L36" s="68" t="s">
        <v>9</v>
      </c>
      <c r="M36" s="69" t="s">
        <v>10</v>
      </c>
      <c r="N36" s="70" t="s">
        <v>88</v>
      </c>
      <c r="O36" s="70" t="s">
        <v>6</v>
      </c>
      <c r="P36" s="67" t="s">
        <v>7</v>
      </c>
      <c r="Q36" s="68" t="s">
        <v>8</v>
      </c>
      <c r="R36" s="68" t="s">
        <v>9</v>
      </c>
      <c r="S36" s="69" t="s">
        <v>10</v>
      </c>
      <c r="T36" s="70" t="s">
        <v>88</v>
      </c>
      <c r="U36" s="70" t="s">
        <v>6</v>
      </c>
      <c r="V36" s="67" t="s">
        <v>7</v>
      </c>
      <c r="W36" s="68" t="s">
        <v>8</v>
      </c>
      <c r="X36" s="68" t="s">
        <v>9</v>
      </c>
      <c r="Y36" s="69" t="s">
        <v>10</v>
      </c>
      <c r="Z36" s="70" t="s">
        <v>88</v>
      </c>
      <c r="AA36" s="70" t="s">
        <v>6</v>
      </c>
      <c r="AB36" s="67" t="s">
        <v>7</v>
      </c>
      <c r="AC36" s="87" t="s">
        <v>15</v>
      </c>
      <c r="AD36" s="68" t="s">
        <v>9</v>
      </c>
      <c r="AE36" s="69" t="s">
        <v>10</v>
      </c>
      <c r="AF36" s="70" t="s">
        <v>88</v>
      </c>
      <c r="AG36" s="70" t="s">
        <v>6</v>
      </c>
      <c r="AH36" s="67" t="s">
        <v>7</v>
      </c>
      <c r="AI36" s="71" t="s">
        <v>8</v>
      </c>
    </row>
    <row r="37" spans="1:35" s="43" customFormat="1" ht="15.75" thickBot="1" x14ac:dyDescent="0.3">
      <c r="B37" s="95" t="s">
        <v>349</v>
      </c>
      <c r="C37" s="99" t="s">
        <v>336</v>
      </c>
      <c r="D37" s="91"/>
      <c r="E37" s="91"/>
      <c r="F37" s="99" t="s">
        <v>356</v>
      </c>
      <c r="G37" s="99" t="s">
        <v>357</v>
      </c>
      <c r="H37" s="68" t="s">
        <v>336</v>
      </c>
      <c r="I37" s="72"/>
      <c r="J37" s="72"/>
      <c r="K37" s="72"/>
      <c r="L37" s="72"/>
      <c r="M37" s="73"/>
      <c r="N37" s="65" t="s">
        <v>336</v>
      </c>
      <c r="O37" s="72"/>
      <c r="P37" s="72"/>
      <c r="Q37" s="72"/>
      <c r="R37" s="72"/>
      <c r="S37" s="73"/>
      <c r="T37" s="65" t="s">
        <v>336</v>
      </c>
      <c r="U37" s="72"/>
      <c r="V37" s="72"/>
      <c r="W37" s="72"/>
      <c r="X37" s="72"/>
      <c r="Y37" s="72"/>
      <c r="Z37" s="65" t="s">
        <v>336</v>
      </c>
      <c r="AA37" s="72"/>
      <c r="AB37" s="72"/>
      <c r="AC37" s="72"/>
      <c r="AD37" s="72"/>
      <c r="AE37" s="72"/>
      <c r="AF37" s="65" t="s">
        <v>336</v>
      </c>
      <c r="AG37" s="72"/>
      <c r="AH37" s="72"/>
      <c r="AI37" s="73"/>
    </row>
    <row r="38" spans="1:35" s="43" customFormat="1" ht="15.75" thickBot="1" x14ac:dyDescent="0.3">
      <c r="B38" s="96" t="s">
        <v>108</v>
      </c>
      <c r="C38" s="100"/>
      <c r="D38" s="92" t="str">
        <f t="array" ref="D38">INDEX(Table_Name28[Name List],MATCH(B38,Table_Name28[Category],0))</f>
        <v>Glutes[Exercise]</v>
      </c>
      <c r="E38" s="90" t="e">
        <f t="array" ref="E38">INDEX(Links49[Link],MATCH(C38,Links49[Exercise],0))</f>
        <v>#N/A</v>
      </c>
      <c r="F38" s="106" t="e">
        <f>HYPERLINK(E38,"Video")</f>
        <v>#N/A</v>
      </c>
      <c r="G38" s="109"/>
      <c r="H38" s="88">
        <f>C38</f>
        <v>0</v>
      </c>
      <c r="I38" s="76">
        <v>3</v>
      </c>
      <c r="J38" s="76">
        <f>MROUND(((G38)*0.75),5)</f>
        <v>0</v>
      </c>
      <c r="K38" s="76" t="s">
        <v>11</v>
      </c>
      <c r="L38" s="76"/>
      <c r="M38" s="78"/>
      <c r="N38" s="88">
        <f>C38</f>
        <v>0</v>
      </c>
      <c r="O38" s="76">
        <f>I38+(S21)</f>
        <v>3</v>
      </c>
      <c r="P38" s="76">
        <f>MROUND((J38*1.05),5)</f>
        <v>0</v>
      </c>
      <c r="Q38" s="76" t="s">
        <v>11</v>
      </c>
      <c r="R38" s="76"/>
      <c r="S38" s="78"/>
      <c r="T38" s="57">
        <f>C38</f>
        <v>0</v>
      </c>
      <c r="U38" s="76">
        <f>O38+(Y21)</f>
        <v>3</v>
      </c>
      <c r="V38" s="76">
        <f>MROUND((J38*1.075),5)</f>
        <v>0</v>
      </c>
      <c r="W38" s="76" t="s">
        <v>12</v>
      </c>
      <c r="X38" s="76"/>
      <c r="Y38" s="78"/>
      <c r="Z38" s="75">
        <f>C38</f>
        <v>0</v>
      </c>
      <c r="AA38" s="76">
        <f>U38+(AE21)</f>
        <v>3</v>
      </c>
      <c r="AB38" s="76">
        <f>MROUND((J38*1.1),5)</f>
        <v>0</v>
      </c>
      <c r="AC38" s="76" t="s">
        <v>13</v>
      </c>
      <c r="AD38" s="76"/>
      <c r="AE38" s="78"/>
      <c r="AF38" s="75">
        <f>C38</f>
        <v>0</v>
      </c>
      <c r="AG38" s="76">
        <v>2</v>
      </c>
      <c r="AH38" s="79">
        <f>MROUND((J38*0.5),5)</f>
        <v>0</v>
      </c>
      <c r="AI38" s="77" t="s">
        <v>14</v>
      </c>
    </row>
    <row r="39" spans="1:35" s="43" customFormat="1" ht="15.75" thickBot="1" x14ac:dyDescent="0.3">
      <c r="B39" s="97" t="s">
        <v>108</v>
      </c>
      <c r="C39" s="101"/>
      <c r="D39" s="93" t="str">
        <f t="array" ref="D39">INDEX(Table_Name28[Name List],MATCH(B39,Table_Name28[Category],0))</f>
        <v>Glutes[Exercise]</v>
      </c>
      <c r="E39" s="74" t="e">
        <f t="array" ref="E39">INDEX(Links49[Link],MATCH(C39,Links49[Exercise],0))</f>
        <v>#N/A</v>
      </c>
      <c r="F39" s="107" t="e">
        <f>HYPERLINK(E39,"Video")</f>
        <v>#N/A</v>
      </c>
      <c r="G39" s="110"/>
      <c r="H39" s="88">
        <f>C39</f>
        <v>0</v>
      </c>
      <c r="I39" s="76">
        <v>3</v>
      </c>
      <c r="J39" s="76">
        <f>MROUND(((G39)*0.75),5)</f>
        <v>0</v>
      </c>
      <c r="K39" s="76" t="s">
        <v>11</v>
      </c>
      <c r="L39" s="76"/>
      <c r="M39" s="78"/>
      <c r="N39" s="88">
        <f>C39</f>
        <v>0</v>
      </c>
      <c r="O39" s="76">
        <f>I39+(S21)</f>
        <v>3</v>
      </c>
      <c r="P39" s="76">
        <f>MROUND((J39*1.05),5)</f>
        <v>0</v>
      </c>
      <c r="Q39" s="76" t="s">
        <v>11</v>
      </c>
      <c r="R39" s="76"/>
      <c r="S39" s="78"/>
      <c r="T39" s="57">
        <f>C39</f>
        <v>0</v>
      </c>
      <c r="U39" s="76">
        <f>O39+(Y21)</f>
        <v>3</v>
      </c>
      <c r="V39" s="76">
        <f>MROUND((J39*1.075),5)</f>
        <v>0</v>
      </c>
      <c r="W39" s="76" t="s">
        <v>12</v>
      </c>
      <c r="X39" s="76"/>
      <c r="Y39" s="78"/>
      <c r="Z39" s="75">
        <f>C39</f>
        <v>0</v>
      </c>
      <c r="AA39" s="76">
        <f>U39+(AE21)</f>
        <v>3</v>
      </c>
      <c r="AB39" s="76">
        <f>MROUND((J39*1.1),5)</f>
        <v>0</v>
      </c>
      <c r="AC39" s="76" t="s">
        <v>13</v>
      </c>
      <c r="AD39" s="76"/>
      <c r="AE39" s="78"/>
      <c r="AF39" s="75">
        <f>C39</f>
        <v>0</v>
      </c>
      <c r="AG39" s="76">
        <v>2</v>
      </c>
      <c r="AH39" s="79">
        <f>MROUND((J39*0.5),5)</f>
        <v>0</v>
      </c>
      <c r="AI39" s="77" t="s">
        <v>14</v>
      </c>
    </row>
    <row r="40" spans="1:35" s="43" customFormat="1" ht="15.75" thickBot="1" x14ac:dyDescent="0.3">
      <c r="B40" s="97" t="s">
        <v>107</v>
      </c>
      <c r="C40" s="101"/>
      <c r="D40" s="93" t="str">
        <f t="array" ref="D40">INDEX(Table_Name28[Name List],MATCH(B40,Table_Name28[Category],0))</f>
        <v>Hamstrings_Hip_Hinge[Exercise]</v>
      </c>
      <c r="E40" s="74" t="e">
        <f t="array" ref="E40">INDEX(Links49[Link],MATCH(C40,Links49[Exercise],0))</f>
        <v>#N/A</v>
      </c>
      <c r="F40" s="107" t="e">
        <f>HYPERLINK(E40,"Video")</f>
        <v>#N/A</v>
      </c>
      <c r="G40" s="110"/>
      <c r="H40" s="88">
        <f>C40</f>
        <v>0</v>
      </c>
      <c r="I40" s="76">
        <v>3</v>
      </c>
      <c r="J40" s="76">
        <f>MROUND(((G40)*0.75),5)</f>
        <v>0</v>
      </c>
      <c r="K40" s="76" t="s">
        <v>11</v>
      </c>
      <c r="L40" s="76"/>
      <c r="M40" s="78"/>
      <c r="N40" s="88">
        <f>C40</f>
        <v>0</v>
      </c>
      <c r="O40" s="76">
        <f>I40+(S23)</f>
        <v>3</v>
      </c>
      <c r="P40" s="76">
        <f>MROUND((J40*1.05),5)</f>
        <v>0</v>
      </c>
      <c r="Q40" s="76" t="s">
        <v>11</v>
      </c>
      <c r="R40" s="76"/>
      <c r="S40" s="78"/>
      <c r="T40" s="57">
        <f>C40</f>
        <v>0</v>
      </c>
      <c r="U40" s="76">
        <f>O40+(Y23)</f>
        <v>3</v>
      </c>
      <c r="V40" s="76">
        <f>MROUND((J40*1.075),5)</f>
        <v>0</v>
      </c>
      <c r="W40" s="76" t="s">
        <v>12</v>
      </c>
      <c r="X40" s="76"/>
      <c r="Y40" s="78"/>
      <c r="Z40" s="75">
        <f>C40</f>
        <v>0</v>
      </c>
      <c r="AA40" s="76">
        <f>U40+(AE23)</f>
        <v>3</v>
      </c>
      <c r="AB40" s="76">
        <f>MROUND((J40*1.1),5)</f>
        <v>0</v>
      </c>
      <c r="AC40" s="76" t="s">
        <v>13</v>
      </c>
      <c r="AD40" s="76"/>
      <c r="AE40" s="78"/>
      <c r="AF40" s="75">
        <f>C40</f>
        <v>0</v>
      </c>
      <c r="AG40" s="76">
        <v>2</v>
      </c>
      <c r="AH40" s="79">
        <f>MROUND((J40*0.5),5)</f>
        <v>0</v>
      </c>
      <c r="AI40" s="77" t="s">
        <v>14</v>
      </c>
    </row>
    <row r="41" spans="1:35" s="43" customFormat="1" ht="15.75" thickBot="1" x14ac:dyDescent="0.3">
      <c r="B41" s="97" t="s">
        <v>20</v>
      </c>
      <c r="C41" s="101"/>
      <c r="D41" s="93" t="str">
        <f t="array" ref="D41">INDEX(Table_Name28[Name List],MATCH(B41,Table_Name28[Category],0))</f>
        <v>Quads[Exercise]</v>
      </c>
      <c r="E41" s="74" t="e">
        <f t="array" ref="E41">INDEX(Links49[Link],MATCH(C41,Links49[Exercise],0))</f>
        <v>#N/A</v>
      </c>
      <c r="F41" s="107" t="e">
        <f>HYPERLINK(E41,"Video")</f>
        <v>#N/A</v>
      </c>
      <c r="G41" s="110"/>
      <c r="H41" s="88">
        <f>C41</f>
        <v>0</v>
      </c>
      <c r="I41" s="76">
        <v>3</v>
      </c>
      <c r="J41" s="76">
        <f>MROUND(((G41)*0.75),5)</f>
        <v>0</v>
      </c>
      <c r="K41" s="76" t="s">
        <v>11</v>
      </c>
      <c r="L41" s="76"/>
      <c r="M41" s="78"/>
      <c r="N41" s="88">
        <f>C41</f>
        <v>0</v>
      </c>
      <c r="O41" s="76">
        <f>I41+(S21)</f>
        <v>3</v>
      </c>
      <c r="P41" s="76">
        <f>MROUND((J41*1.05),5)</f>
        <v>0</v>
      </c>
      <c r="Q41" s="76" t="s">
        <v>11</v>
      </c>
      <c r="R41" s="76"/>
      <c r="S41" s="78"/>
      <c r="T41" s="57">
        <f>C41</f>
        <v>0</v>
      </c>
      <c r="U41" s="76">
        <f>O41+(Y21)</f>
        <v>3</v>
      </c>
      <c r="V41" s="76">
        <f>MROUND((J41*1.075),5)</f>
        <v>0</v>
      </c>
      <c r="W41" s="76" t="s">
        <v>12</v>
      </c>
      <c r="X41" s="76"/>
      <c r="Y41" s="78"/>
      <c r="Z41" s="75">
        <f>C41</f>
        <v>0</v>
      </c>
      <c r="AA41" s="76">
        <f>U41+(AE21)</f>
        <v>3</v>
      </c>
      <c r="AB41" s="76">
        <f>MROUND((J41*1.1),5)</f>
        <v>0</v>
      </c>
      <c r="AC41" s="76" t="s">
        <v>13</v>
      </c>
      <c r="AD41" s="76"/>
      <c r="AE41" s="78"/>
      <c r="AF41" s="75">
        <f>C41</f>
        <v>0</v>
      </c>
      <c r="AG41" s="76">
        <v>2</v>
      </c>
      <c r="AH41" s="79">
        <f>MROUND((J41*0.5),5)</f>
        <v>0</v>
      </c>
      <c r="AI41" s="77" t="s">
        <v>14</v>
      </c>
    </row>
    <row r="42" spans="1:35" s="43" customFormat="1" ht="15.75" thickBot="1" x14ac:dyDescent="0.3">
      <c r="B42" s="98" t="s">
        <v>19</v>
      </c>
      <c r="C42" s="102"/>
      <c r="D42" s="94" t="str">
        <f t="array" ref="D42">INDEX(Table_Name28[Name List],MATCH(B42,Table_Name28[Category],0))</f>
        <v>Calves[Exercise]</v>
      </c>
      <c r="E42" s="80" t="e">
        <f t="array" ref="E42">INDEX(Links49[Link],MATCH(C42,Links49[Exercise],0))</f>
        <v>#N/A</v>
      </c>
      <c r="F42" s="108" t="e">
        <f>HYPERLINK(E42,"Video")</f>
        <v>#N/A</v>
      </c>
      <c r="G42" s="111"/>
      <c r="H42" s="138">
        <f>C42</f>
        <v>0</v>
      </c>
      <c r="I42" s="82">
        <v>4</v>
      </c>
      <c r="J42" s="82">
        <f>MROUND(((G42)*0.75),5)</f>
        <v>0</v>
      </c>
      <c r="K42" s="82" t="s">
        <v>11</v>
      </c>
      <c r="L42" s="82"/>
      <c r="M42" s="78"/>
      <c r="N42" s="81">
        <f>C42</f>
        <v>0</v>
      </c>
      <c r="O42" s="82">
        <f>I42+(S24)</f>
        <v>4</v>
      </c>
      <c r="P42" s="82">
        <f>MROUND((J42*1.05),5)</f>
        <v>0</v>
      </c>
      <c r="Q42" s="82" t="s">
        <v>11</v>
      </c>
      <c r="R42" s="82"/>
      <c r="S42" s="78"/>
      <c r="T42" s="83">
        <f>C42</f>
        <v>0</v>
      </c>
      <c r="U42" s="82">
        <f>O42+(Y24)</f>
        <v>4</v>
      </c>
      <c r="V42" s="82">
        <f>MROUND((J42*1.075),5)</f>
        <v>0</v>
      </c>
      <c r="W42" s="82" t="s">
        <v>12</v>
      </c>
      <c r="X42" s="82"/>
      <c r="Y42" s="78"/>
      <c r="Z42" s="81">
        <f>C42</f>
        <v>0</v>
      </c>
      <c r="AA42" s="82">
        <f>U42+(AE24)</f>
        <v>4</v>
      </c>
      <c r="AB42" s="82">
        <f>MROUND((J42*1.1),5)</f>
        <v>0</v>
      </c>
      <c r="AC42" s="82" t="s">
        <v>13</v>
      </c>
      <c r="AD42" s="82"/>
      <c r="AE42" s="78"/>
      <c r="AF42" s="81">
        <f>C42</f>
        <v>0</v>
      </c>
      <c r="AG42" s="82">
        <v>2</v>
      </c>
      <c r="AH42" s="84">
        <f>MROUND((J42*0.5),5)</f>
        <v>0</v>
      </c>
      <c r="AI42" s="64" t="s">
        <v>14</v>
      </c>
    </row>
    <row r="43" spans="1:35" s="43" customFormat="1" ht="19.5" thickBot="1" x14ac:dyDescent="0.3">
      <c r="B43" s="86" t="s">
        <v>350</v>
      </c>
      <c r="C43" s="57"/>
      <c r="D43" s="57"/>
      <c r="E43" s="85"/>
      <c r="F43" s="56"/>
      <c r="G43" s="62"/>
      <c r="H43" s="181" t="s">
        <v>1</v>
      </c>
      <c r="I43" s="182"/>
      <c r="J43" s="182"/>
      <c r="K43" s="182"/>
      <c r="L43" s="182"/>
      <c r="M43" s="183"/>
      <c r="N43" s="184" t="s">
        <v>2</v>
      </c>
      <c r="O43" s="185"/>
      <c r="P43" s="185"/>
      <c r="Q43" s="185"/>
      <c r="R43" s="185"/>
      <c r="S43" s="186"/>
      <c r="T43" s="172" t="s">
        <v>3</v>
      </c>
      <c r="U43" s="173"/>
      <c r="V43" s="173"/>
      <c r="W43" s="173"/>
      <c r="X43" s="173"/>
      <c r="Y43" s="174"/>
      <c r="Z43" s="175" t="s">
        <v>4</v>
      </c>
      <c r="AA43" s="176"/>
      <c r="AB43" s="176"/>
      <c r="AC43" s="176"/>
      <c r="AD43" s="176"/>
      <c r="AE43" s="177"/>
      <c r="AF43" s="178" t="s">
        <v>5</v>
      </c>
      <c r="AG43" s="179"/>
      <c r="AH43" s="179"/>
      <c r="AI43" s="180"/>
    </row>
    <row r="44" spans="1:35" s="43" customFormat="1" ht="15.75" thickBot="1" x14ac:dyDescent="0.3">
      <c r="B44" s="37"/>
      <c r="C44" s="57"/>
      <c r="D44" s="57"/>
      <c r="E44" s="85"/>
      <c r="F44" s="56"/>
      <c r="G44" s="57"/>
      <c r="H44" s="65" t="s">
        <v>88</v>
      </c>
      <c r="I44" s="66" t="s">
        <v>6</v>
      </c>
      <c r="J44" s="67" t="s">
        <v>7</v>
      </c>
      <c r="K44" s="68" t="s">
        <v>8</v>
      </c>
      <c r="L44" s="68" t="s">
        <v>9</v>
      </c>
      <c r="M44" s="69" t="s">
        <v>10</v>
      </c>
      <c r="N44" s="70" t="s">
        <v>88</v>
      </c>
      <c r="O44" s="70" t="s">
        <v>6</v>
      </c>
      <c r="P44" s="67" t="s">
        <v>7</v>
      </c>
      <c r="Q44" s="68" t="s">
        <v>8</v>
      </c>
      <c r="R44" s="68" t="s">
        <v>9</v>
      </c>
      <c r="S44" s="69" t="s">
        <v>10</v>
      </c>
      <c r="T44" s="70" t="s">
        <v>88</v>
      </c>
      <c r="U44" s="70" t="s">
        <v>6</v>
      </c>
      <c r="V44" s="67" t="s">
        <v>7</v>
      </c>
      <c r="W44" s="68" t="s">
        <v>8</v>
      </c>
      <c r="X44" s="68" t="s">
        <v>9</v>
      </c>
      <c r="Y44" s="69" t="s">
        <v>10</v>
      </c>
      <c r="Z44" s="70" t="s">
        <v>88</v>
      </c>
      <c r="AA44" s="70" t="s">
        <v>6</v>
      </c>
      <c r="AB44" s="67" t="s">
        <v>7</v>
      </c>
      <c r="AC44" s="87" t="s">
        <v>15</v>
      </c>
      <c r="AD44" s="68" t="s">
        <v>9</v>
      </c>
      <c r="AE44" s="69" t="s">
        <v>10</v>
      </c>
      <c r="AF44" s="70" t="s">
        <v>88</v>
      </c>
      <c r="AG44" s="70" t="s">
        <v>6</v>
      </c>
      <c r="AH44" s="67" t="s">
        <v>7</v>
      </c>
      <c r="AI44" s="71" t="s">
        <v>8</v>
      </c>
    </row>
    <row r="45" spans="1:35" s="43" customFormat="1" ht="15.75" thickBot="1" x14ac:dyDescent="0.3">
      <c r="B45" s="166" t="s">
        <v>351</v>
      </c>
      <c r="C45" s="167" t="s">
        <v>341</v>
      </c>
      <c r="D45" s="68"/>
      <c r="E45" s="68"/>
      <c r="F45" s="167" t="s">
        <v>356</v>
      </c>
      <c r="G45" s="167" t="s">
        <v>357</v>
      </c>
      <c r="H45" s="68" t="s">
        <v>341</v>
      </c>
      <c r="I45" s="72"/>
      <c r="J45" s="72"/>
      <c r="K45" s="72"/>
      <c r="L45" s="72"/>
      <c r="M45" s="73"/>
      <c r="N45" s="65" t="s">
        <v>341</v>
      </c>
      <c r="O45" s="72"/>
      <c r="P45" s="72"/>
      <c r="Q45" s="72"/>
      <c r="R45" s="72"/>
      <c r="S45" s="73"/>
      <c r="T45" s="65" t="s">
        <v>341</v>
      </c>
      <c r="U45" s="72"/>
      <c r="V45" s="72"/>
      <c r="W45" s="72"/>
      <c r="X45" s="72"/>
      <c r="Y45" s="72"/>
      <c r="Z45" s="65" t="s">
        <v>341</v>
      </c>
      <c r="AA45" s="72"/>
      <c r="AB45" s="72"/>
      <c r="AC45" s="72"/>
      <c r="AD45" s="72"/>
      <c r="AE45" s="72"/>
      <c r="AF45" s="65" t="s">
        <v>341</v>
      </c>
      <c r="AG45" s="72"/>
      <c r="AH45" s="72"/>
      <c r="AI45" s="73"/>
    </row>
    <row r="46" spans="1:35" s="43" customFormat="1" ht="15.75" thickBot="1" x14ac:dyDescent="0.3">
      <c r="A46" s="63" t="s">
        <v>353</v>
      </c>
      <c r="B46" s="142" t="s">
        <v>18</v>
      </c>
      <c r="C46" s="145"/>
      <c r="D46" s="136" t="str">
        <f t="array" ref="D46">INDEX(Table_Name28[Name List],MATCH(B46,Table_Name28[Category],0))</f>
        <v>Biceps[Exercise]</v>
      </c>
      <c r="E46" s="115" t="e">
        <f t="array" ref="E46">INDEX(Links49[Link],MATCH(C46,Links49[Exercise],0))</f>
        <v>#N/A</v>
      </c>
      <c r="F46" s="148" t="e">
        <f t="shared" ref="F46:F54" si="20">HYPERLINK(E46,"Video")</f>
        <v>#N/A</v>
      </c>
      <c r="G46" s="151"/>
      <c r="H46" s="130">
        <f t="shared" ref="H46:H54" si="21">C46</f>
        <v>0</v>
      </c>
      <c r="I46" s="117">
        <v>4</v>
      </c>
      <c r="J46" s="117">
        <f>MROUND(((G46)*0.75),5)</f>
        <v>0</v>
      </c>
      <c r="K46" s="117" t="s">
        <v>11</v>
      </c>
      <c r="L46" s="117"/>
      <c r="M46" s="119"/>
      <c r="N46" s="130">
        <f t="shared" ref="N46:N54" si="22">C46</f>
        <v>0</v>
      </c>
      <c r="O46" s="117">
        <f>I46+(S15)</f>
        <v>4</v>
      </c>
      <c r="P46" s="117">
        <f t="shared" ref="P46:P54" si="23">MROUND((J46*1.05),5)</f>
        <v>0</v>
      </c>
      <c r="Q46" s="117" t="s">
        <v>11</v>
      </c>
      <c r="R46" s="117"/>
      <c r="S46" s="119"/>
      <c r="T46" s="120">
        <f t="shared" ref="T46:T54" si="24">C46</f>
        <v>0</v>
      </c>
      <c r="U46" s="117">
        <f>O46+(Y15)</f>
        <v>4</v>
      </c>
      <c r="V46" s="117">
        <f t="shared" ref="V46:V54" si="25">MROUND((J46*1.075),5)</f>
        <v>0</v>
      </c>
      <c r="W46" s="117" t="s">
        <v>12</v>
      </c>
      <c r="X46" s="117"/>
      <c r="Y46" s="119"/>
      <c r="Z46" s="116">
        <f t="shared" ref="Z46:Z54" si="26">C46</f>
        <v>0</v>
      </c>
      <c r="AA46" s="117">
        <f>U46+(AE15)</f>
        <v>4</v>
      </c>
      <c r="AB46" s="117">
        <f t="shared" ref="AB46:AB54" si="27">MROUND((J46*1.1),5)</f>
        <v>0</v>
      </c>
      <c r="AC46" s="117" t="s">
        <v>13</v>
      </c>
      <c r="AD46" s="117"/>
      <c r="AE46" s="133"/>
      <c r="AF46" s="88">
        <f t="shared" ref="AF46:AF54" si="28">C46</f>
        <v>0</v>
      </c>
      <c r="AG46" s="76">
        <v>2</v>
      </c>
      <c r="AH46" s="79">
        <f t="shared" ref="AH46:AH54" si="29">MROUND((J46*0.5),5)</f>
        <v>0</v>
      </c>
      <c r="AI46" s="77" t="s">
        <v>14</v>
      </c>
    </row>
    <row r="47" spans="1:35" s="43" customFormat="1" ht="15.75" thickBot="1" x14ac:dyDescent="0.3">
      <c r="A47" s="63" t="s">
        <v>354</v>
      </c>
      <c r="B47" s="143" t="s">
        <v>18</v>
      </c>
      <c r="C47" s="146"/>
      <c r="D47" s="137" t="str">
        <f t="array" ref="D47">INDEX(Table_Name28[Name List],MATCH(B47,Table_Name28[Category],0))</f>
        <v>Biceps[Exercise]</v>
      </c>
      <c r="E47" s="122" t="e">
        <f t="array" ref="E47">INDEX(Links49[Link],MATCH(C47,Links49[Exercise],0))</f>
        <v>#N/A</v>
      </c>
      <c r="F47" s="149" t="e">
        <f>HYPERLINK(E47,"Video")</f>
        <v>#N/A</v>
      </c>
      <c r="G47" s="152"/>
      <c r="H47" s="131">
        <f t="shared" si="21"/>
        <v>0</v>
      </c>
      <c r="I47" s="124">
        <v>4</v>
      </c>
      <c r="J47" s="124">
        <f>MROUND(((G47)*0.6),5)</f>
        <v>0</v>
      </c>
      <c r="K47" s="124" t="s">
        <v>11</v>
      </c>
      <c r="L47" s="124"/>
      <c r="M47" s="126"/>
      <c r="N47" s="131">
        <f t="shared" si="22"/>
        <v>0</v>
      </c>
      <c r="O47" s="124">
        <f>I46+(S15)</f>
        <v>4</v>
      </c>
      <c r="P47" s="124">
        <f t="shared" si="23"/>
        <v>0</v>
      </c>
      <c r="Q47" s="124" t="s">
        <v>11</v>
      </c>
      <c r="R47" s="124"/>
      <c r="S47" s="126"/>
      <c r="T47" s="127">
        <f t="shared" si="24"/>
        <v>0</v>
      </c>
      <c r="U47" s="124">
        <f>O46+(Y15)</f>
        <v>4</v>
      </c>
      <c r="V47" s="124">
        <f t="shared" si="25"/>
        <v>0</v>
      </c>
      <c r="W47" s="124" t="s">
        <v>12</v>
      </c>
      <c r="X47" s="124"/>
      <c r="Y47" s="126"/>
      <c r="Z47" s="123">
        <f t="shared" si="26"/>
        <v>0</v>
      </c>
      <c r="AA47" s="124">
        <f>U46+(AE15)</f>
        <v>4</v>
      </c>
      <c r="AB47" s="124">
        <f t="shared" si="27"/>
        <v>0</v>
      </c>
      <c r="AC47" s="124" t="s">
        <v>13</v>
      </c>
      <c r="AD47" s="124"/>
      <c r="AE47" s="134"/>
      <c r="AF47" s="88"/>
      <c r="AG47" s="76"/>
      <c r="AH47" s="79"/>
      <c r="AI47" s="77"/>
    </row>
    <row r="48" spans="1:35" s="43" customFormat="1" ht="15.75" thickBot="1" x14ac:dyDescent="0.3">
      <c r="A48" s="63" t="s">
        <v>353</v>
      </c>
      <c r="B48" s="142" t="s">
        <v>17</v>
      </c>
      <c r="C48" s="145"/>
      <c r="D48" s="136" t="str">
        <f t="array" ref="D48">INDEX(Table_Name28[Name List],MATCH(B48,Table_Name28[Category],0))</f>
        <v>Triceps[Exercise]</v>
      </c>
      <c r="E48" s="115" t="e">
        <f t="array" ref="E48">INDEX(Links49[Link],MATCH(C48,Links49[Exercise],0))</f>
        <v>#N/A</v>
      </c>
      <c r="F48" s="148" t="e">
        <f>HYPERLINK(E48,"Video")</f>
        <v>#N/A</v>
      </c>
      <c r="G48" s="151"/>
      <c r="H48" s="130">
        <f>C48</f>
        <v>0</v>
      </c>
      <c r="I48" s="117">
        <v>4</v>
      </c>
      <c r="J48" s="76">
        <f>MROUND(((G48)*0.75),5)</f>
        <v>0</v>
      </c>
      <c r="K48" s="117" t="s">
        <v>11</v>
      </c>
      <c r="L48" s="117"/>
      <c r="M48" s="119"/>
      <c r="N48" s="130">
        <f>C48</f>
        <v>0</v>
      </c>
      <c r="O48" s="117">
        <f>I48+(S12)</f>
        <v>4</v>
      </c>
      <c r="P48" s="117">
        <f>MROUND((J48*1.05),5)</f>
        <v>0</v>
      </c>
      <c r="Q48" s="117" t="s">
        <v>11</v>
      </c>
      <c r="R48" s="117"/>
      <c r="S48" s="119"/>
      <c r="T48" s="120">
        <f>C48</f>
        <v>0</v>
      </c>
      <c r="U48" s="117">
        <f>O48+(Y12)</f>
        <v>4</v>
      </c>
      <c r="V48" s="117">
        <f>MROUND((J48*1.075),5)</f>
        <v>0</v>
      </c>
      <c r="W48" s="117" t="s">
        <v>12</v>
      </c>
      <c r="X48" s="117"/>
      <c r="Y48" s="119"/>
      <c r="Z48" s="116">
        <f>C48</f>
        <v>0</v>
      </c>
      <c r="AA48" s="117">
        <f>U48+(AE12)</f>
        <v>4</v>
      </c>
      <c r="AB48" s="117">
        <f>MROUND((J48*1.1),5)</f>
        <v>0</v>
      </c>
      <c r="AC48" s="117" t="s">
        <v>13</v>
      </c>
      <c r="AD48" s="117"/>
      <c r="AE48" s="133"/>
      <c r="AF48" s="88">
        <f>C48</f>
        <v>0</v>
      </c>
      <c r="AG48" s="76">
        <v>2</v>
      </c>
      <c r="AH48" s="79">
        <f>MROUND((J48*0.5),5)</f>
        <v>0</v>
      </c>
      <c r="AI48" s="77" t="s">
        <v>14</v>
      </c>
    </row>
    <row r="49" spans="1:35" s="43" customFormat="1" ht="15.75" thickBot="1" x14ac:dyDescent="0.3">
      <c r="A49" s="63" t="s">
        <v>354</v>
      </c>
      <c r="B49" s="143" t="s">
        <v>104</v>
      </c>
      <c r="C49" s="163"/>
      <c r="D49" s="162" t="str">
        <f t="array" ref="D49">INDEX(Table_Name28[Name List],MATCH(B49,Table_Name28[Category],0))</f>
        <v>Front_Delts[Exercise]</v>
      </c>
      <c r="E49" s="135" t="e">
        <f t="array" ref="E49">INDEX(Links49[Link],MATCH(C49,Links49[Exercise],0))</f>
        <v>#N/A</v>
      </c>
      <c r="F49" s="164" t="e">
        <f>HYPERLINK(E49,"Video")</f>
        <v>#N/A</v>
      </c>
      <c r="G49" s="165"/>
      <c r="H49" s="131">
        <f>C49</f>
        <v>0</v>
      </c>
      <c r="I49" s="124">
        <v>4</v>
      </c>
      <c r="J49" s="124">
        <f>MROUND(((G49)*0.6),5)</f>
        <v>0</v>
      </c>
      <c r="K49" s="124" t="s">
        <v>11</v>
      </c>
      <c r="L49" s="124"/>
      <c r="M49" s="126"/>
      <c r="N49" s="131">
        <f>C49</f>
        <v>0</v>
      </c>
      <c r="O49" s="124">
        <f>I48+(S12)</f>
        <v>4</v>
      </c>
      <c r="P49" s="124">
        <f>MROUND((J49*1.05),5)</f>
        <v>0</v>
      </c>
      <c r="Q49" s="124" t="s">
        <v>11</v>
      </c>
      <c r="R49" s="124"/>
      <c r="S49" s="126"/>
      <c r="T49" s="127">
        <f>C49</f>
        <v>0</v>
      </c>
      <c r="U49" s="124">
        <f>O48+(Y12)</f>
        <v>4</v>
      </c>
      <c r="V49" s="124">
        <f>MROUND((J49*1.075),5)</f>
        <v>0</v>
      </c>
      <c r="W49" s="124" t="s">
        <v>12</v>
      </c>
      <c r="X49" s="124"/>
      <c r="Y49" s="126"/>
      <c r="Z49" s="123">
        <f>C49</f>
        <v>0</v>
      </c>
      <c r="AA49" s="124">
        <f>U48+(AE12)</f>
        <v>4</v>
      </c>
      <c r="AB49" s="124">
        <f>MROUND((J49*1.1),5)</f>
        <v>0</v>
      </c>
      <c r="AC49" s="124" t="s">
        <v>13</v>
      </c>
      <c r="AD49" s="124"/>
      <c r="AE49" s="134"/>
      <c r="AF49" s="88"/>
      <c r="AG49" s="76"/>
      <c r="AH49" s="79"/>
      <c r="AI49" s="77"/>
    </row>
    <row r="50" spans="1:35" s="43" customFormat="1" ht="15.75" thickBot="1" x14ac:dyDescent="0.3">
      <c r="B50" s="96" t="s">
        <v>104</v>
      </c>
      <c r="C50" s="100"/>
      <c r="D50" s="92" t="str">
        <f t="array" ref="D50">INDEX(Table_Name28[Name List],MATCH(B50,Table_Name28[Category],0))</f>
        <v>Front_Delts[Exercise]</v>
      </c>
      <c r="E50" s="90" t="e">
        <f t="array" ref="E50">INDEX(Links49[Link],MATCH(C50,Links49[Exercise],0))</f>
        <v>#N/A</v>
      </c>
      <c r="F50" s="106" t="e">
        <f t="shared" si="20"/>
        <v>#N/A</v>
      </c>
      <c r="G50" s="109"/>
      <c r="H50" s="88">
        <f t="shared" si="21"/>
        <v>0</v>
      </c>
      <c r="I50" s="76">
        <v>3</v>
      </c>
      <c r="J50" s="76">
        <f>MROUND(((G50)*0.75),5)</f>
        <v>0</v>
      </c>
      <c r="K50" s="76" t="s">
        <v>11</v>
      </c>
      <c r="L50" s="76"/>
      <c r="M50" s="129"/>
      <c r="N50" s="88">
        <f t="shared" si="22"/>
        <v>0</v>
      </c>
      <c r="O50" s="76">
        <f>I50+(S11)</f>
        <v>3</v>
      </c>
      <c r="P50" s="76">
        <f t="shared" si="23"/>
        <v>0</v>
      </c>
      <c r="Q50" s="76" t="s">
        <v>11</v>
      </c>
      <c r="R50" s="76"/>
      <c r="S50" s="129"/>
      <c r="T50" s="57">
        <f t="shared" si="24"/>
        <v>0</v>
      </c>
      <c r="U50" s="76">
        <f>O50+(Y11)</f>
        <v>3</v>
      </c>
      <c r="V50" s="76">
        <f t="shared" si="25"/>
        <v>0</v>
      </c>
      <c r="W50" s="76" t="s">
        <v>12</v>
      </c>
      <c r="X50" s="76"/>
      <c r="Y50" s="129"/>
      <c r="Z50" s="75">
        <f t="shared" si="26"/>
        <v>0</v>
      </c>
      <c r="AA50" s="76">
        <f>U50+(AE11)</f>
        <v>3</v>
      </c>
      <c r="AB50" s="76">
        <f t="shared" si="27"/>
        <v>0</v>
      </c>
      <c r="AC50" s="76" t="s">
        <v>13</v>
      </c>
      <c r="AD50" s="76"/>
      <c r="AE50" s="77"/>
      <c r="AF50" s="75">
        <f t="shared" si="28"/>
        <v>0</v>
      </c>
      <c r="AG50" s="76">
        <v>2</v>
      </c>
      <c r="AH50" s="79">
        <f t="shared" si="29"/>
        <v>0</v>
      </c>
      <c r="AI50" s="77" t="s">
        <v>14</v>
      </c>
    </row>
    <row r="51" spans="1:35" s="43" customFormat="1" ht="15.75" thickBot="1" x14ac:dyDescent="0.3">
      <c r="B51" s="97" t="s">
        <v>120</v>
      </c>
      <c r="C51" s="101"/>
      <c r="D51" s="93" t="str">
        <f t="array" ref="D51">INDEX(Table_Name28[Name List],MATCH(B51,Table_Name28[Category],0))</f>
        <v>Traps[Exercise]</v>
      </c>
      <c r="E51" s="74" t="e">
        <f t="array" ref="E51">INDEX(Links49[Link],MATCH(C51,Links49[Exercise],0))</f>
        <v>#N/A</v>
      </c>
      <c r="F51" s="107" t="e">
        <f t="shared" si="20"/>
        <v>#N/A</v>
      </c>
      <c r="G51" s="110"/>
      <c r="H51" s="88">
        <f t="shared" si="21"/>
        <v>0</v>
      </c>
      <c r="I51" s="76">
        <v>3</v>
      </c>
      <c r="J51" s="76">
        <f>MROUND(((G51)*0.75),5)</f>
        <v>0</v>
      </c>
      <c r="K51" s="76" t="s">
        <v>11</v>
      </c>
      <c r="L51" s="76"/>
      <c r="M51" s="78"/>
      <c r="N51" s="88">
        <f t="shared" si="22"/>
        <v>0</v>
      </c>
      <c r="O51" s="76">
        <f>I51+(S16)</f>
        <v>3</v>
      </c>
      <c r="P51" s="76">
        <f t="shared" si="23"/>
        <v>0</v>
      </c>
      <c r="Q51" s="76" t="s">
        <v>11</v>
      </c>
      <c r="R51" s="76"/>
      <c r="S51" s="78"/>
      <c r="T51" s="57">
        <f t="shared" si="24"/>
        <v>0</v>
      </c>
      <c r="U51" s="76">
        <f>O51+(Y16)</f>
        <v>3</v>
      </c>
      <c r="V51" s="76">
        <f t="shared" si="25"/>
        <v>0</v>
      </c>
      <c r="W51" s="76" t="s">
        <v>12</v>
      </c>
      <c r="X51" s="76"/>
      <c r="Y51" s="78"/>
      <c r="Z51" s="75">
        <f t="shared" si="26"/>
        <v>0</v>
      </c>
      <c r="AA51" s="76">
        <f>U51+(AE16)</f>
        <v>3</v>
      </c>
      <c r="AB51" s="76">
        <f t="shared" si="27"/>
        <v>0</v>
      </c>
      <c r="AC51" s="76" t="s">
        <v>13</v>
      </c>
      <c r="AD51" s="76"/>
      <c r="AE51" s="77"/>
      <c r="AF51" s="75">
        <f t="shared" si="28"/>
        <v>0</v>
      </c>
      <c r="AG51" s="76">
        <v>2</v>
      </c>
      <c r="AH51" s="79">
        <f t="shared" si="29"/>
        <v>0</v>
      </c>
      <c r="AI51" s="77" t="s">
        <v>14</v>
      </c>
    </row>
    <row r="52" spans="1:35" s="43" customFormat="1" ht="15.75" thickBot="1" x14ac:dyDescent="0.3">
      <c r="B52" s="97" t="s">
        <v>339</v>
      </c>
      <c r="C52" s="101"/>
      <c r="D52" s="93" t="str">
        <f t="array" ref="D52">INDEX(Table_Name28[Name List],MATCH(B52,Table_Name28[Category],0))</f>
        <v>Vertical_Back[Exercise]</v>
      </c>
      <c r="E52" s="74" t="e">
        <f t="array" ref="E52">INDEX(Links49[Link],MATCH(C52,Links49[Exercise],0))</f>
        <v>#N/A</v>
      </c>
      <c r="F52" s="107" t="e">
        <f t="shared" si="20"/>
        <v>#N/A</v>
      </c>
      <c r="G52" s="110"/>
      <c r="H52" s="88">
        <f t="shared" si="21"/>
        <v>0</v>
      </c>
      <c r="I52" s="76">
        <v>2</v>
      </c>
      <c r="J52" s="76">
        <f>MROUND(((G52)*0.75),5)</f>
        <v>0</v>
      </c>
      <c r="K52" s="76" t="s">
        <v>11</v>
      </c>
      <c r="L52" s="76"/>
      <c r="M52" s="78"/>
      <c r="N52" s="88">
        <f t="shared" si="22"/>
        <v>0</v>
      </c>
      <c r="O52" s="76">
        <f>I52+(S15)</f>
        <v>2</v>
      </c>
      <c r="P52" s="76">
        <f t="shared" si="23"/>
        <v>0</v>
      </c>
      <c r="Q52" s="76" t="s">
        <v>11</v>
      </c>
      <c r="R52" s="76"/>
      <c r="S52" s="78"/>
      <c r="T52" s="57">
        <f t="shared" si="24"/>
        <v>0</v>
      </c>
      <c r="U52" s="76">
        <f>O52+(Y15)</f>
        <v>2</v>
      </c>
      <c r="V52" s="76">
        <f t="shared" si="25"/>
        <v>0</v>
      </c>
      <c r="W52" s="76" t="s">
        <v>12</v>
      </c>
      <c r="X52" s="76"/>
      <c r="Y52" s="78"/>
      <c r="Z52" s="75">
        <f t="shared" si="26"/>
        <v>0</v>
      </c>
      <c r="AA52" s="76">
        <f>U52+(AE15)</f>
        <v>2</v>
      </c>
      <c r="AB52" s="76">
        <f t="shared" si="27"/>
        <v>0</v>
      </c>
      <c r="AC52" s="76" t="s">
        <v>13</v>
      </c>
      <c r="AD52" s="76"/>
      <c r="AE52" s="77"/>
      <c r="AF52" s="75">
        <f t="shared" si="28"/>
        <v>0</v>
      </c>
      <c r="AG52" s="76">
        <v>2</v>
      </c>
      <c r="AH52" s="79">
        <f t="shared" si="29"/>
        <v>0</v>
      </c>
      <c r="AI52" s="77" t="s">
        <v>14</v>
      </c>
    </row>
    <row r="53" spans="1:35" s="43" customFormat="1" ht="15.75" thickBot="1" x14ac:dyDescent="0.3">
      <c r="B53" s="97" t="s">
        <v>343</v>
      </c>
      <c r="C53" s="101"/>
      <c r="D53" s="93" t="str">
        <f t="array" ref="D53">INDEX(Table_Name28[Name List],MATCH(B53,Table_Name28[Category],0))</f>
        <v>Incline_Push[Exercise]</v>
      </c>
      <c r="E53" s="74" t="e">
        <f t="array" ref="E53">INDEX(Links49[Link],MATCH(C53,Links49[Exercise],0))</f>
        <v>#N/A</v>
      </c>
      <c r="F53" s="107" t="e">
        <f t="shared" si="20"/>
        <v>#N/A</v>
      </c>
      <c r="G53" s="110"/>
      <c r="H53" s="88">
        <f t="shared" si="21"/>
        <v>0</v>
      </c>
      <c r="I53" s="76">
        <v>2</v>
      </c>
      <c r="J53" s="76">
        <f>MROUND(((G53)*0.75),5)</f>
        <v>0</v>
      </c>
      <c r="K53" s="76" t="s">
        <v>11</v>
      </c>
      <c r="L53" s="76"/>
      <c r="M53" s="78"/>
      <c r="N53" s="88">
        <f t="shared" si="22"/>
        <v>0</v>
      </c>
      <c r="O53" s="76">
        <f>I53+(S11)</f>
        <v>2</v>
      </c>
      <c r="P53" s="76">
        <f t="shared" si="23"/>
        <v>0</v>
      </c>
      <c r="Q53" s="76" t="s">
        <v>11</v>
      </c>
      <c r="R53" s="76"/>
      <c r="S53" s="78"/>
      <c r="T53" s="57">
        <f t="shared" si="24"/>
        <v>0</v>
      </c>
      <c r="U53" s="76">
        <f>O53+(Y11)</f>
        <v>2</v>
      </c>
      <c r="V53" s="76">
        <f t="shared" si="25"/>
        <v>0</v>
      </c>
      <c r="W53" s="76" t="s">
        <v>12</v>
      </c>
      <c r="X53" s="76"/>
      <c r="Y53" s="78"/>
      <c r="Z53" s="75">
        <f t="shared" si="26"/>
        <v>0</v>
      </c>
      <c r="AA53" s="76">
        <f>U53+(AE11)</f>
        <v>2</v>
      </c>
      <c r="AB53" s="76">
        <f t="shared" si="27"/>
        <v>0</v>
      </c>
      <c r="AC53" s="76" t="s">
        <v>13</v>
      </c>
      <c r="AD53" s="76"/>
      <c r="AE53" s="77"/>
      <c r="AF53" s="75">
        <f t="shared" si="28"/>
        <v>0</v>
      </c>
      <c r="AG53" s="76">
        <v>2</v>
      </c>
      <c r="AH53" s="79">
        <f t="shared" si="29"/>
        <v>0</v>
      </c>
      <c r="AI53" s="77" t="s">
        <v>14</v>
      </c>
    </row>
    <row r="54" spans="1:35" s="43" customFormat="1" ht="15.75" thickBot="1" x14ac:dyDescent="0.3">
      <c r="B54" s="98" t="s">
        <v>77</v>
      </c>
      <c r="C54" s="102"/>
      <c r="D54" s="93" t="str">
        <f t="array" ref="D54">INDEX(Table_Name28[Name List],MATCH(B54,Table_Name28[Category],0))</f>
        <v>Abs[Exercise]</v>
      </c>
      <c r="E54" s="74" t="e">
        <f t="array" ref="E54">INDEX(Links49[Link],MATCH(C54,Links49[Exercise],0))</f>
        <v>#N/A</v>
      </c>
      <c r="F54" s="108" t="e">
        <f t="shared" si="20"/>
        <v>#N/A</v>
      </c>
      <c r="G54" s="111"/>
      <c r="H54" s="138">
        <f t="shared" si="21"/>
        <v>0</v>
      </c>
      <c r="I54" s="82">
        <v>3</v>
      </c>
      <c r="J54" s="82">
        <f>MROUND(((G54)*0.75),5)</f>
        <v>0</v>
      </c>
      <c r="K54" s="82" t="s">
        <v>11</v>
      </c>
      <c r="L54" s="82"/>
      <c r="M54" s="78"/>
      <c r="N54" s="81">
        <f t="shared" si="22"/>
        <v>0</v>
      </c>
      <c r="O54" s="82">
        <f>I54+(S17)</f>
        <v>3</v>
      </c>
      <c r="P54" s="82">
        <f t="shared" si="23"/>
        <v>0</v>
      </c>
      <c r="Q54" s="82" t="s">
        <v>11</v>
      </c>
      <c r="R54" s="82"/>
      <c r="S54" s="78"/>
      <c r="T54" s="83">
        <f t="shared" si="24"/>
        <v>0</v>
      </c>
      <c r="U54" s="82">
        <f>O54+(Y17)</f>
        <v>3</v>
      </c>
      <c r="V54" s="82">
        <f t="shared" si="25"/>
        <v>0</v>
      </c>
      <c r="W54" s="82" t="s">
        <v>12</v>
      </c>
      <c r="X54" s="82"/>
      <c r="Y54" s="78"/>
      <c r="Z54" s="81">
        <f t="shared" si="26"/>
        <v>0</v>
      </c>
      <c r="AA54" s="82">
        <f>U54+(AE17)</f>
        <v>3</v>
      </c>
      <c r="AB54" s="82">
        <f t="shared" si="27"/>
        <v>0</v>
      </c>
      <c r="AC54" s="82" t="s">
        <v>13</v>
      </c>
      <c r="AD54" s="82"/>
      <c r="AE54" s="64"/>
      <c r="AF54" s="81">
        <f t="shared" si="28"/>
        <v>0</v>
      </c>
      <c r="AG54" s="82">
        <v>2</v>
      </c>
      <c r="AH54" s="84">
        <f t="shared" si="29"/>
        <v>0</v>
      </c>
      <c r="AI54" s="64" t="s">
        <v>14</v>
      </c>
    </row>
    <row r="55" spans="1:35" s="43" customFormat="1" x14ac:dyDescent="0.25">
      <c r="B55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</row>
    <row r="56" spans="1:35" s="43" customFormat="1" x14ac:dyDescent="0.25">
      <c r="B56" s="17" t="s">
        <v>352</v>
      </c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</row>
    <row r="57" spans="1:35" s="43" customFormat="1" x14ac:dyDescent="0.25">
      <c r="B57" s="17"/>
      <c r="C57" s="35" t="s">
        <v>0</v>
      </c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</row>
    <row r="58" spans="1:35" s="43" customFormat="1" x14ac:dyDescent="0.25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</row>
    <row r="59" spans="1:35" s="43" customFormat="1" x14ac:dyDescent="0.25">
      <c r="B59" s="17"/>
      <c r="C59" s="35"/>
      <c r="D59" s="35"/>
      <c r="E59" s="55"/>
      <c r="F59" s="56"/>
      <c r="G59" s="57"/>
      <c r="H59" s="35"/>
      <c r="I59" s="4"/>
      <c r="J59" s="4"/>
      <c r="K59" s="4"/>
      <c r="L59" s="4"/>
      <c r="M59" s="4"/>
      <c r="N59" s="35"/>
      <c r="O59" s="4"/>
      <c r="P59" s="4"/>
      <c r="Q59" s="4"/>
      <c r="R59" s="4"/>
      <c r="S59" s="4"/>
      <c r="T59" s="35"/>
      <c r="U59" s="4"/>
      <c r="V59" s="4"/>
      <c r="W59" s="4"/>
      <c r="X59" s="4"/>
      <c r="Y59" s="4"/>
      <c r="Z59" s="35"/>
      <c r="AA59" s="4"/>
      <c r="AB59" s="4"/>
      <c r="AC59" s="4"/>
      <c r="AD59" s="4"/>
      <c r="AE59" s="4"/>
      <c r="AF59" s="35"/>
      <c r="AG59" s="4"/>
      <c r="AH59" s="4"/>
      <c r="AI59" s="4"/>
    </row>
    <row r="60" spans="1:35" s="43" customFormat="1" x14ac:dyDescent="0.25">
      <c r="B60" s="17" t="s">
        <v>0</v>
      </c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  <c r="X60" s="4"/>
      <c r="Y60" s="4"/>
      <c r="Z60" s="35"/>
      <c r="AA60" s="4"/>
      <c r="AB60" s="4"/>
      <c r="AC60" s="4"/>
      <c r="AD60" s="4"/>
      <c r="AE60" s="4"/>
      <c r="AF60" s="35"/>
      <c r="AG60" s="4"/>
      <c r="AH60" s="4"/>
      <c r="AI60" s="4"/>
    </row>
    <row r="61" spans="1:35" hidden="1" x14ac:dyDescent="0.25">
      <c r="C61" t="s">
        <v>21</v>
      </c>
      <c r="E61" s="43"/>
    </row>
    <row r="62" spans="1:35" hidden="1" x14ac:dyDescent="0.25">
      <c r="C62">
        <v>1</v>
      </c>
      <c r="E62" s="43"/>
    </row>
    <row r="63" spans="1:35" hidden="1" x14ac:dyDescent="0.25">
      <c r="C63">
        <v>0</v>
      </c>
      <c r="E63" s="43"/>
    </row>
    <row r="64" spans="1:35" hidden="1" x14ac:dyDescent="0.25">
      <c r="C64">
        <v>-1</v>
      </c>
      <c r="E64" s="43"/>
    </row>
    <row r="65" spans="1:9" hidden="1" x14ac:dyDescent="0.25">
      <c r="E65" s="43"/>
    </row>
    <row r="66" spans="1:9" hidden="1" x14ac:dyDescent="0.25">
      <c r="E66" s="43"/>
    </row>
    <row r="67" spans="1:9" hidden="1" x14ac:dyDescent="0.25">
      <c r="E67" s="43"/>
    </row>
    <row r="68" spans="1:9" hidden="1" x14ac:dyDescent="0.25">
      <c r="E68" s="43"/>
      <c r="F68" s="9"/>
      <c r="G68" s="9"/>
      <c r="H68" s="9"/>
    </row>
    <row r="69" spans="1:9" hidden="1" x14ac:dyDescent="0.25">
      <c r="A69" s="36" t="s">
        <v>77</v>
      </c>
      <c r="B69" s="47" t="s">
        <v>88</v>
      </c>
      <c r="C69" s="51" t="s">
        <v>294</v>
      </c>
      <c r="D69" s="9"/>
      <c r="E69" s="43"/>
      <c r="H69" s="13"/>
    </row>
    <row r="70" spans="1:9" hidden="1" x14ac:dyDescent="0.25">
      <c r="A70" s="13"/>
      <c r="B70" s="52" t="s">
        <v>109</v>
      </c>
      <c r="C70" s="47" t="s">
        <v>178</v>
      </c>
      <c r="D70" s="37"/>
      <c r="E70" s="43"/>
      <c r="H70" s="13"/>
    </row>
    <row r="71" spans="1:9" hidden="1" x14ac:dyDescent="0.25">
      <c r="A71" s="13"/>
      <c r="B71" s="52" t="s">
        <v>79</v>
      </c>
      <c r="C71" s="47" t="s">
        <v>179</v>
      </c>
      <c r="D71" s="37"/>
      <c r="E71" s="43"/>
      <c r="H71" s="13"/>
    </row>
    <row r="72" spans="1:9" hidden="1" x14ac:dyDescent="0.25">
      <c r="A72" s="13"/>
      <c r="B72" s="52" t="s">
        <v>80</v>
      </c>
      <c r="C72" s="47" t="s">
        <v>180</v>
      </c>
      <c r="D72" s="37"/>
      <c r="E72" s="43"/>
      <c r="H72" s="13"/>
    </row>
    <row r="73" spans="1:9" hidden="1" x14ac:dyDescent="0.25">
      <c r="A73" s="13"/>
      <c r="B73" s="52" t="s">
        <v>78</v>
      </c>
      <c r="C73" s="47" t="s">
        <v>181</v>
      </c>
      <c r="D73" s="37"/>
      <c r="E73" s="43"/>
      <c r="H73" s="13"/>
    </row>
    <row r="74" spans="1:9" hidden="1" x14ac:dyDescent="0.25">
      <c r="A74" s="13"/>
      <c r="B74" s="52" t="s">
        <v>110</v>
      </c>
      <c r="C74" s="52" t="s">
        <v>182</v>
      </c>
      <c r="D74" s="39"/>
      <c r="E74" s="43"/>
      <c r="H74" s="13"/>
    </row>
    <row r="75" spans="1:9" hidden="1" x14ac:dyDescent="0.25">
      <c r="A75" s="13"/>
      <c r="B75" s="52" t="s">
        <v>81</v>
      </c>
      <c r="C75" s="47" t="s">
        <v>183</v>
      </c>
      <c r="D75" s="37"/>
      <c r="E75" s="43"/>
      <c r="H75" s="13"/>
    </row>
    <row r="76" spans="1:9" hidden="1" x14ac:dyDescent="0.25">
      <c r="A76" s="13"/>
      <c r="B76" s="52" t="s">
        <v>146</v>
      </c>
      <c r="C76" s="47" t="s">
        <v>184</v>
      </c>
      <c r="D76" s="37"/>
      <c r="E76" s="43"/>
      <c r="H76" s="37"/>
      <c r="I76" s="37"/>
    </row>
    <row r="77" spans="1:9" hidden="1" x14ac:dyDescent="0.25">
      <c r="A77" s="37"/>
      <c r="B77" s="47"/>
      <c r="C77" s="51"/>
      <c r="D77" s="9"/>
      <c r="E77" s="43"/>
    </row>
    <row r="78" spans="1:9" hidden="1" x14ac:dyDescent="0.25">
      <c r="A78" s="36" t="s">
        <v>19</v>
      </c>
      <c r="B78" s="48" t="s">
        <v>88</v>
      </c>
      <c r="C78" s="53" t="s">
        <v>294</v>
      </c>
      <c r="D78" s="42"/>
      <c r="E78" s="43"/>
      <c r="H78" s="36"/>
      <c r="I78" s="37"/>
    </row>
    <row r="79" spans="1:9" hidden="1" x14ac:dyDescent="0.25">
      <c r="A79" s="13"/>
      <c r="B79" s="52" t="s">
        <v>111</v>
      </c>
      <c r="C79" s="47" t="s">
        <v>185</v>
      </c>
      <c r="D79" s="37"/>
      <c r="E79" s="43"/>
      <c r="H79" s="13"/>
    </row>
    <row r="80" spans="1:9" hidden="1" x14ac:dyDescent="0.25">
      <c r="A80" s="13"/>
      <c r="B80" s="52" t="s">
        <v>75</v>
      </c>
      <c r="C80" s="47" t="s">
        <v>186</v>
      </c>
      <c r="D80" s="37"/>
      <c r="E80" s="43"/>
      <c r="H80" s="13"/>
    </row>
    <row r="81" spans="1:9" hidden="1" x14ac:dyDescent="0.25">
      <c r="A81" s="13"/>
      <c r="B81" s="52" t="s">
        <v>74</v>
      </c>
      <c r="C81" s="47" t="s">
        <v>187</v>
      </c>
      <c r="D81" s="37"/>
      <c r="E81" s="43"/>
      <c r="H81" s="13"/>
    </row>
    <row r="82" spans="1:9" hidden="1" x14ac:dyDescent="0.25">
      <c r="A82" s="13"/>
      <c r="B82" s="52" t="s">
        <v>76</v>
      </c>
      <c r="C82" s="47" t="s">
        <v>188</v>
      </c>
      <c r="D82" s="37"/>
      <c r="E82" s="43"/>
      <c r="H82" s="13"/>
    </row>
    <row r="83" spans="1:9" hidden="1" x14ac:dyDescent="0.25">
      <c r="A83" s="37"/>
      <c r="B83" s="47"/>
      <c r="C83" s="51"/>
      <c r="D83" s="9"/>
      <c r="E83" s="43"/>
      <c r="H83" s="37"/>
      <c r="I83" s="37"/>
    </row>
    <row r="84" spans="1:9" hidden="1" x14ac:dyDescent="0.25">
      <c r="A84" s="36" t="s">
        <v>18</v>
      </c>
      <c r="B84" s="48" t="s">
        <v>88</v>
      </c>
      <c r="C84" s="53" t="s">
        <v>294</v>
      </c>
      <c r="D84" s="42"/>
      <c r="E84" s="43"/>
      <c r="H84" s="36"/>
      <c r="I84" s="37"/>
    </row>
    <row r="85" spans="1:9" hidden="1" x14ac:dyDescent="0.25">
      <c r="A85" s="13"/>
      <c r="B85" s="52" t="s">
        <v>61</v>
      </c>
      <c r="C85" s="47" t="s">
        <v>189</v>
      </c>
      <c r="D85" s="37"/>
      <c r="E85" s="43"/>
      <c r="H85" s="13"/>
    </row>
    <row r="86" spans="1:9" hidden="1" x14ac:dyDescent="0.25">
      <c r="A86" s="13"/>
      <c r="B86" s="52" t="s">
        <v>62</v>
      </c>
      <c r="C86" s="47" t="s">
        <v>190</v>
      </c>
      <c r="D86" s="37"/>
      <c r="E86" s="43"/>
      <c r="H86" s="13"/>
    </row>
    <row r="87" spans="1:9" hidden="1" x14ac:dyDescent="0.25">
      <c r="A87" s="13"/>
      <c r="B87" s="52" t="s">
        <v>112</v>
      </c>
      <c r="C87" s="47" t="s">
        <v>191</v>
      </c>
      <c r="D87" s="37"/>
      <c r="E87" s="43"/>
      <c r="H87" s="13"/>
    </row>
    <row r="88" spans="1:9" hidden="1" x14ac:dyDescent="0.25">
      <c r="A88" s="13"/>
      <c r="B88" s="52" t="s">
        <v>63</v>
      </c>
      <c r="C88" s="47" t="s">
        <v>192</v>
      </c>
      <c r="D88" s="37"/>
      <c r="E88" s="43"/>
      <c r="H88" s="13"/>
    </row>
    <row r="89" spans="1:9" hidden="1" x14ac:dyDescent="0.25">
      <c r="A89" s="13"/>
      <c r="B89" s="52" t="s">
        <v>113</v>
      </c>
      <c r="C89" s="47" t="s">
        <v>193</v>
      </c>
      <c r="D89" s="37"/>
      <c r="E89" s="43"/>
      <c r="H89" s="13"/>
    </row>
    <row r="90" spans="1:9" hidden="1" x14ac:dyDescent="0.25">
      <c r="A90" s="13"/>
      <c r="B90" s="52" t="s">
        <v>114</v>
      </c>
      <c r="C90" s="47" t="s">
        <v>194</v>
      </c>
      <c r="D90" s="37"/>
      <c r="E90" s="43"/>
      <c r="H90" s="13"/>
    </row>
    <row r="91" spans="1:9" hidden="1" x14ac:dyDescent="0.25">
      <c r="A91" s="13"/>
      <c r="B91" s="52" t="s">
        <v>147</v>
      </c>
      <c r="C91" s="47" t="s">
        <v>195</v>
      </c>
      <c r="D91" s="37"/>
      <c r="E91" s="43"/>
      <c r="H91" s="13"/>
    </row>
    <row r="92" spans="1:9" hidden="1" x14ac:dyDescent="0.25">
      <c r="A92" s="13"/>
      <c r="B92" s="52" t="s">
        <v>148</v>
      </c>
      <c r="C92" s="47" t="s">
        <v>196</v>
      </c>
      <c r="D92" s="37"/>
      <c r="E92" s="43"/>
      <c r="H92" s="13"/>
    </row>
    <row r="93" spans="1:9" hidden="1" x14ac:dyDescent="0.25">
      <c r="A93" s="13"/>
      <c r="B93" s="52" t="s">
        <v>115</v>
      </c>
      <c r="C93" s="52" t="s">
        <v>197</v>
      </c>
      <c r="D93" s="39"/>
      <c r="E93" s="43"/>
      <c r="H93" s="13"/>
    </row>
    <row r="94" spans="1:9" hidden="1" x14ac:dyDescent="0.25">
      <c r="A94" s="13"/>
      <c r="B94" s="52" t="s">
        <v>116</v>
      </c>
      <c r="C94" s="47" t="s">
        <v>198</v>
      </c>
      <c r="D94" s="37"/>
      <c r="E94" s="43"/>
      <c r="H94" s="13"/>
    </row>
    <row r="95" spans="1:9" hidden="1" x14ac:dyDescent="0.25">
      <c r="A95" s="13"/>
      <c r="B95" s="52" t="s">
        <v>149</v>
      </c>
      <c r="C95" s="47" t="s">
        <v>199</v>
      </c>
      <c r="D95" s="37"/>
      <c r="E95" s="43"/>
      <c r="H95" s="13"/>
    </row>
    <row r="96" spans="1:9" hidden="1" x14ac:dyDescent="0.25">
      <c r="A96" s="37"/>
      <c r="B96" s="47"/>
      <c r="C96" s="49"/>
      <c r="E96" s="43"/>
      <c r="H96" s="37"/>
      <c r="I96" s="37"/>
    </row>
    <row r="97" spans="1:9" hidden="1" x14ac:dyDescent="0.25">
      <c r="A97" s="36" t="s">
        <v>117</v>
      </c>
      <c r="B97" s="48" t="s">
        <v>88</v>
      </c>
      <c r="C97" s="53" t="s">
        <v>294</v>
      </c>
      <c r="D97" s="42"/>
      <c r="E97" s="43"/>
      <c r="H97" s="36"/>
      <c r="I97" s="37"/>
    </row>
    <row r="98" spans="1:9" hidden="1" x14ac:dyDescent="0.25">
      <c r="A98" s="13"/>
      <c r="B98" s="52" t="s">
        <v>51</v>
      </c>
      <c r="C98" s="47" t="s">
        <v>200</v>
      </c>
      <c r="D98" s="37"/>
      <c r="E98" s="43"/>
      <c r="H98" s="13"/>
    </row>
    <row r="99" spans="1:9" hidden="1" x14ac:dyDescent="0.25">
      <c r="A99" s="13"/>
      <c r="B99" s="52" t="s">
        <v>118</v>
      </c>
      <c r="C99" s="47" t="s">
        <v>201</v>
      </c>
      <c r="D99" s="37"/>
      <c r="E99" s="43"/>
      <c r="H99" s="13"/>
    </row>
    <row r="100" spans="1:9" hidden="1" x14ac:dyDescent="0.25">
      <c r="A100" s="13"/>
      <c r="B100" s="52" t="s">
        <v>150</v>
      </c>
      <c r="C100" s="47" t="s">
        <v>202</v>
      </c>
      <c r="D100" s="37"/>
      <c r="E100" s="43"/>
      <c r="H100" s="13"/>
    </row>
    <row r="101" spans="1:9" hidden="1" x14ac:dyDescent="0.25">
      <c r="A101" s="13"/>
      <c r="B101" s="52" t="s">
        <v>50</v>
      </c>
      <c r="C101" s="47" t="s">
        <v>203</v>
      </c>
      <c r="D101" s="37"/>
      <c r="E101" s="43"/>
      <c r="H101" s="13"/>
    </row>
    <row r="102" spans="1:9" hidden="1" x14ac:dyDescent="0.25">
      <c r="A102" s="37"/>
      <c r="B102" s="47"/>
      <c r="C102" s="47"/>
      <c r="D102" s="37"/>
      <c r="E102" s="43"/>
      <c r="H102" s="37"/>
    </row>
    <row r="103" spans="1:9" hidden="1" x14ac:dyDescent="0.25">
      <c r="A103" s="38" t="s">
        <v>105</v>
      </c>
      <c r="B103" s="48" t="s">
        <v>88</v>
      </c>
      <c r="C103" s="53" t="s">
        <v>294</v>
      </c>
      <c r="D103" s="42"/>
      <c r="E103" s="43"/>
      <c r="H103" s="38"/>
    </row>
    <row r="104" spans="1:9" hidden="1" x14ac:dyDescent="0.25">
      <c r="A104" s="13"/>
      <c r="B104" s="52" t="s">
        <v>46</v>
      </c>
      <c r="C104" s="47" t="s">
        <v>204</v>
      </c>
      <c r="D104" s="37"/>
      <c r="E104" s="43"/>
      <c r="H104" s="13"/>
    </row>
    <row r="105" spans="1:9" hidden="1" x14ac:dyDescent="0.25">
      <c r="A105" s="13"/>
      <c r="B105" s="52" t="s">
        <v>47</v>
      </c>
      <c r="C105" s="47" t="s">
        <v>205</v>
      </c>
      <c r="D105" s="37"/>
      <c r="E105" s="43"/>
      <c r="H105" s="13"/>
    </row>
    <row r="106" spans="1:9" hidden="1" x14ac:dyDescent="0.25">
      <c r="A106" s="13"/>
      <c r="B106" s="52" t="s">
        <v>49</v>
      </c>
      <c r="C106" s="47" t="s">
        <v>206</v>
      </c>
      <c r="D106" s="37"/>
      <c r="E106" s="43"/>
      <c r="H106" s="13"/>
    </row>
    <row r="107" spans="1:9" hidden="1" x14ac:dyDescent="0.25">
      <c r="A107" s="13"/>
      <c r="B107" s="52" t="s">
        <v>48</v>
      </c>
      <c r="C107" s="47" t="s">
        <v>207</v>
      </c>
      <c r="D107" s="37"/>
      <c r="E107" s="43"/>
      <c r="H107" s="13"/>
    </row>
    <row r="108" spans="1:9" hidden="1" x14ac:dyDescent="0.25">
      <c r="A108" s="13"/>
      <c r="B108" s="52" t="s">
        <v>119</v>
      </c>
      <c r="C108" s="47" t="s">
        <v>208</v>
      </c>
      <c r="D108" s="37"/>
      <c r="E108" s="43"/>
      <c r="H108" s="13"/>
    </row>
    <row r="109" spans="1:9" hidden="1" x14ac:dyDescent="0.25">
      <c r="A109" s="37"/>
      <c r="B109" s="47"/>
      <c r="C109" s="47"/>
      <c r="D109" s="37"/>
      <c r="E109" s="43"/>
      <c r="H109" s="37"/>
    </row>
    <row r="110" spans="1:9" hidden="1" x14ac:dyDescent="0.25">
      <c r="A110" s="38" t="s">
        <v>120</v>
      </c>
      <c r="B110" s="48" t="s">
        <v>88</v>
      </c>
      <c r="C110" s="53" t="s">
        <v>294</v>
      </c>
      <c r="D110" s="42"/>
      <c r="E110" s="43"/>
      <c r="H110" s="38"/>
    </row>
    <row r="111" spans="1:9" hidden="1" x14ac:dyDescent="0.25">
      <c r="A111" s="13"/>
      <c r="B111" s="52" t="s">
        <v>151</v>
      </c>
      <c r="C111" s="47" t="s">
        <v>209</v>
      </c>
      <c r="D111" s="37"/>
      <c r="E111" s="43"/>
      <c r="H111" s="13"/>
    </row>
    <row r="112" spans="1:9" hidden="1" x14ac:dyDescent="0.25">
      <c r="A112" s="13"/>
      <c r="B112" s="52" t="s">
        <v>121</v>
      </c>
      <c r="C112" s="47" t="s">
        <v>210</v>
      </c>
      <c r="D112" s="37"/>
      <c r="E112" s="43"/>
      <c r="H112" s="13"/>
    </row>
    <row r="113" spans="1:8" hidden="1" x14ac:dyDescent="0.25">
      <c r="A113" s="13"/>
      <c r="B113" s="52" t="s">
        <v>122</v>
      </c>
      <c r="C113" s="47" t="s">
        <v>211</v>
      </c>
      <c r="D113" s="37"/>
      <c r="E113" s="43"/>
      <c r="H113" s="13"/>
    </row>
    <row r="114" spans="1:8" hidden="1" x14ac:dyDescent="0.25">
      <c r="A114" s="13"/>
      <c r="B114" s="52" t="s">
        <v>123</v>
      </c>
      <c r="C114" s="47" t="s">
        <v>212</v>
      </c>
      <c r="D114" s="37"/>
      <c r="E114" s="43"/>
      <c r="H114" s="13"/>
    </row>
    <row r="115" spans="1:8" hidden="1" x14ac:dyDescent="0.25">
      <c r="A115" s="13"/>
      <c r="B115" s="52"/>
      <c r="C115" s="47"/>
      <c r="D115" s="37"/>
      <c r="E115" s="43"/>
      <c r="H115" s="13"/>
    </row>
    <row r="116" spans="1:8" hidden="1" x14ac:dyDescent="0.25">
      <c r="A116" s="38" t="s">
        <v>52</v>
      </c>
      <c r="B116" s="48" t="s">
        <v>88</v>
      </c>
      <c r="C116" s="53" t="s">
        <v>294</v>
      </c>
      <c r="D116" s="42"/>
      <c r="E116" s="43"/>
      <c r="H116" s="38"/>
    </row>
    <row r="117" spans="1:8" hidden="1" x14ac:dyDescent="0.25">
      <c r="A117" s="13"/>
      <c r="B117" s="52" t="s">
        <v>152</v>
      </c>
      <c r="C117" s="47" t="s">
        <v>213</v>
      </c>
      <c r="D117" s="37"/>
      <c r="E117" s="43"/>
      <c r="H117" s="13"/>
    </row>
    <row r="118" spans="1:8" hidden="1" x14ac:dyDescent="0.25">
      <c r="A118" s="13"/>
      <c r="B118" s="52" t="s">
        <v>124</v>
      </c>
      <c r="C118" s="47" t="s">
        <v>214</v>
      </c>
      <c r="D118" s="37"/>
      <c r="E118" s="43"/>
      <c r="H118" s="13"/>
    </row>
    <row r="119" spans="1:8" hidden="1" x14ac:dyDescent="0.25">
      <c r="A119" s="13"/>
      <c r="B119" s="52" t="s">
        <v>56</v>
      </c>
      <c r="C119" s="47" t="s">
        <v>215</v>
      </c>
      <c r="D119" s="37"/>
      <c r="E119" s="43"/>
      <c r="H119" s="13"/>
    </row>
    <row r="120" spans="1:8" hidden="1" x14ac:dyDescent="0.25">
      <c r="A120" s="13"/>
      <c r="B120" s="52" t="s">
        <v>55</v>
      </c>
      <c r="C120" s="47" t="s">
        <v>216</v>
      </c>
      <c r="D120" s="37"/>
      <c r="E120" s="43"/>
      <c r="H120" s="13"/>
    </row>
    <row r="121" spans="1:8" hidden="1" x14ac:dyDescent="0.25">
      <c r="A121" s="13"/>
      <c r="B121" s="52" t="s">
        <v>153</v>
      </c>
      <c r="C121" s="47" t="s">
        <v>217</v>
      </c>
      <c r="D121" s="37"/>
      <c r="E121" s="43"/>
      <c r="H121" s="13"/>
    </row>
    <row r="122" spans="1:8" hidden="1" x14ac:dyDescent="0.25">
      <c r="A122" s="13"/>
      <c r="B122" s="52" t="s">
        <v>53</v>
      </c>
      <c r="C122" s="47" t="s">
        <v>218</v>
      </c>
      <c r="D122" s="37"/>
      <c r="E122" s="43"/>
      <c r="H122" s="13"/>
    </row>
    <row r="123" spans="1:8" hidden="1" x14ac:dyDescent="0.25">
      <c r="A123" s="13"/>
      <c r="B123" s="52" t="s">
        <v>125</v>
      </c>
      <c r="C123" s="47" t="s">
        <v>219</v>
      </c>
      <c r="D123" s="37"/>
      <c r="E123" s="43"/>
      <c r="H123" s="13"/>
    </row>
    <row r="124" spans="1:8" hidden="1" x14ac:dyDescent="0.25">
      <c r="A124" s="13"/>
      <c r="B124" s="52" t="s">
        <v>54</v>
      </c>
      <c r="C124" s="47" t="s">
        <v>220</v>
      </c>
      <c r="D124" s="37"/>
      <c r="E124" s="43"/>
      <c r="H124" s="13"/>
    </row>
    <row r="125" spans="1:8" hidden="1" x14ac:dyDescent="0.25">
      <c r="A125" s="37"/>
      <c r="B125" s="47"/>
      <c r="C125" s="47"/>
      <c r="D125" s="37"/>
      <c r="E125" s="43"/>
      <c r="H125" s="37"/>
    </row>
    <row r="126" spans="1:8" hidden="1" x14ac:dyDescent="0.25">
      <c r="A126" s="38" t="s">
        <v>57</v>
      </c>
      <c r="B126" s="48" t="s">
        <v>88</v>
      </c>
      <c r="C126" s="53" t="s">
        <v>294</v>
      </c>
      <c r="D126" s="42"/>
      <c r="E126" s="43"/>
      <c r="H126" s="38"/>
    </row>
    <row r="127" spans="1:8" hidden="1" x14ac:dyDescent="0.25">
      <c r="A127" s="13"/>
      <c r="B127" s="52" t="s">
        <v>59</v>
      </c>
      <c r="C127" s="47" t="s">
        <v>221</v>
      </c>
      <c r="D127" s="37"/>
      <c r="E127" s="43"/>
      <c r="H127" s="13"/>
    </row>
    <row r="128" spans="1:8" hidden="1" x14ac:dyDescent="0.25">
      <c r="A128" s="13"/>
      <c r="B128" s="52" t="s">
        <v>58</v>
      </c>
      <c r="C128" s="47" t="s">
        <v>222</v>
      </c>
      <c r="D128" s="37"/>
      <c r="E128" s="43"/>
      <c r="H128" s="13"/>
    </row>
    <row r="129" spans="1:8" hidden="1" x14ac:dyDescent="0.25">
      <c r="A129" s="13"/>
      <c r="B129" s="52" t="s">
        <v>154</v>
      </c>
      <c r="C129" s="47" t="s">
        <v>223</v>
      </c>
      <c r="D129" s="37"/>
      <c r="E129" s="43"/>
      <c r="H129" s="13"/>
    </row>
    <row r="130" spans="1:8" hidden="1" x14ac:dyDescent="0.25">
      <c r="A130" s="13"/>
      <c r="B130" s="52" t="s">
        <v>155</v>
      </c>
      <c r="C130" s="47" t="s">
        <v>224</v>
      </c>
      <c r="D130" s="37"/>
      <c r="E130" s="43"/>
      <c r="H130" s="13"/>
    </row>
    <row r="131" spans="1:8" hidden="1" x14ac:dyDescent="0.25">
      <c r="A131" s="13"/>
      <c r="B131" s="52" t="s">
        <v>60</v>
      </c>
      <c r="C131" s="47" t="s">
        <v>225</v>
      </c>
      <c r="D131" s="37"/>
      <c r="E131" s="43"/>
      <c r="H131" s="13"/>
    </row>
    <row r="132" spans="1:8" hidden="1" x14ac:dyDescent="0.25">
      <c r="A132" s="37"/>
      <c r="B132" s="47"/>
      <c r="C132" s="47"/>
      <c r="D132" s="37"/>
      <c r="E132" s="43"/>
      <c r="H132" s="37"/>
    </row>
    <row r="133" spans="1:8" hidden="1" x14ac:dyDescent="0.25">
      <c r="A133" s="36" t="s">
        <v>126</v>
      </c>
      <c r="B133" s="48" t="s">
        <v>88</v>
      </c>
      <c r="C133" s="53" t="s">
        <v>294</v>
      </c>
      <c r="D133" s="42"/>
      <c r="E133" s="43"/>
      <c r="H133" s="36"/>
    </row>
    <row r="134" spans="1:8" hidden="1" x14ac:dyDescent="0.25">
      <c r="A134" s="13"/>
      <c r="B134" s="52" t="s">
        <v>156</v>
      </c>
      <c r="C134" s="47" t="s">
        <v>226</v>
      </c>
      <c r="D134" s="37"/>
      <c r="E134" s="43"/>
      <c r="H134" s="13"/>
    </row>
    <row r="135" spans="1:8" hidden="1" x14ac:dyDescent="0.25">
      <c r="A135" s="13"/>
      <c r="B135" s="52" t="s">
        <v>157</v>
      </c>
      <c r="C135" s="47" t="s">
        <v>227</v>
      </c>
      <c r="D135" s="37"/>
      <c r="E135" s="43"/>
      <c r="H135" s="13"/>
    </row>
    <row r="136" spans="1:8" hidden="1" x14ac:dyDescent="0.25">
      <c r="A136" s="13"/>
      <c r="B136" s="52" t="s">
        <v>158</v>
      </c>
      <c r="C136" s="47" t="s">
        <v>228</v>
      </c>
      <c r="D136" s="37"/>
      <c r="E136" s="43"/>
      <c r="H136" s="13"/>
    </row>
    <row r="137" spans="1:8" hidden="1" x14ac:dyDescent="0.25">
      <c r="A137" s="13"/>
      <c r="B137" s="52" t="s">
        <v>42</v>
      </c>
      <c r="C137" s="47" t="s">
        <v>229</v>
      </c>
      <c r="D137" s="37"/>
      <c r="E137" s="43"/>
      <c r="H137" s="13"/>
    </row>
    <row r="138" spans="1:8" hidden="1" x14ac:dyDescent="0.25">
      <c r="A138" s="13"/>
      <c r="B138" s="52" t="s">
        <v>127</v>
      </c>
      <c r="C138" s="47" t="s">
        <v>230</v>
      </c>
      <c r="D138" s="37"/>
      <c r="E138" s="43"/>
      <c r="H138" s="13"/>
    </row>
    <row r="139" spans="1:8" hidden="1" x14ac:dyDescent="0.25">
      <c r="A139" s="13"/>
      <c r="B139" s="52" t="s">
        <v>128</v>
      </c>
      <c r="C139" s="47" t="s">
        <v>231</v>
      </c>
      <c r="D139" s="37"/>
      <c r="E139" s="43"/>
      <c r="H139" s="13"/>
    </row>
    <row r="140" spans="1:8" hidden="1" x14ac:dyDescent="0.25">
      <c r="A140" s="13"/>
      <c r="B140" s="52" t="s">
        <v>41</v>
      </c>
      <c r="C140" s="47" t="s">
        <v>232</v>
      </c>
      <c r="D140" s="37"/>
      <c r="E140" s="43"/>
      <c r="H140" s="13"/>
    </row>
    <row r="141" spans="1:8" hidden="1" x14ac:dyDescent="0.25">
      <c r="A141" s="13"/>
      <c r="B141" s="52" t="s">
        <v>129</v>
      </c>
      <c r="C141" s="47" t="s">
        <v>233</v>
      </c>
      <c r="D141" s="37"/>
      <c r="E141" s="43"/>
      <c r="H141" s="13"/>
    </row>
    <row r="142" spans="1:8" hidden="1" x14ac:dyDescent="0.25">
      <c r="A142" s="37"/>
      <c r="B142" s="47"/>
      <c r="C142" s="47"/>
      <c r="D142" s="37"/>
      <c r="E142" s="43"/>
      <c r="H142" s="37"/>
    </row>
    <row r="143" spans="1:8" hidden="1" x14ac:dyDescent="0.25">
      <c r="A143" s="38" t="s">
        <v>130</v>
      </c>
      <c r="B143" s="48" t="s">
        <v>88</v>
      </c>
      <c r="C143" s="53" t="s">
        <v>294</v>
      </c>
      <c r="D143" s="42"/>
      <c r="E143" s="43"/>
      <c r="H143" s="38"/>
    </row>
    <row r="144" spans="1:8" hidden="1" x14ac:dyDescent="0.25">
      <c r="A144" s="13"/>
      <c r="B144" s="52" t="s">
        <v>131</v>
      </c>
      <c r="C144" s="47" t="s">
        <v>234</v>
      </c>
      <c r="D144" s="37"/>
      <c r="E144" s="43"/>
      <c r="H144" s="13"/>
    </row>
    <row r="145" spans="1:8" hidden="1" x14ac:dyDescent="0.25">
      <c r="A145" s="13"/>
      <c r="B145" s="52" t="s">
        <v>159</v>
      </c>
      <c r="C145" s="47" t="s">
        <v>235</v>
      </c>
      <c r="D145" s="37"/>
      <c r="E145" s="43"/>
      <c r="H145" s="13"/>
    </row>
    <row r="146" spans="1:8" hidden="1" x14ac:dyDescent="0.25">
      <c r="A146" s="13"/>
      <c r="B146" s="52" t="s">
        <v>160</v>
      </c>
      <c r="C146" s="47" t="s">
        <v>236</v>
      </c>
      <c r="D146" s="37"/>
      <c r="E146" s="43"/>
      <c r="H146" s="13"/>
    </row>
    <row r="147" spans="1:8" hidden="1" x14ac:dyDescent="0.25">
      <c r="A147" s="13"/>
      <c r="B147" s="52" t="s">
        <v>161</v>
      </c>
      <c r="C147" s="47" t="s">
        <v>237</v>
      </c>
      <c r="D147" s="37"/>
      <c r="E147" s="43"/>
      <c r="H147" s="13"/>
    </row>
    <row r="148" spans="1:8" hidden="1" x14ac:dyDescent="0.25">
      <c r="A148" s="13"/>
      <c r="B148" s="52" t="s">
        <v>162</v>
      </c>
      <c r="C148" s="47" t="s">
        <v>238</v>
      </c>
      <c r="D148" s="37"/>
      <c r="E148" s="43"/>
      <c r="H148" s="13"/>
    </row>
    <row r="149" spans="1:8" hidden="1" x14ac:dyDescent="0.25">
      <c r="A149" s="13"/>
      <c r="B149" s="52" t="s">
        <v>163</v>
      </c>
      <c r="C149" s="52" t="s">
        <v>239</v>
      </c>
      <c r="D149" s="39"/>
      <c r="E149" s="43"/>
      <c r="H149" s="13"/>
    </row>
    <row r="150" spans="1:8" hidden="1" x14ac:dyDescent="0.25">
      <c r="A150" s="13"/>
      <c r="B150" s="52" t="s">
        <v>164</v>
      </c>
      <c r="C150" s="52" t="s">
        <v>240</v>
      </c>
      <c r="D150" s="39"/>
      <c r="E150" s="43"/>
      <c r="H150" s="13"/>
    </row>
    <row r="151" spans="1:8" hidden="1" x14ac:dyDescent="0.25">
      <c r="A151" s="13"/>
      <c r="B151" s="52" t="s">
        <v>43</v>
      </c>
      <c r="C151" s="47" t="s">
        <v>241</v>
      </c>
      <c r="D151" s="37"/>
      <c r="E151" s="43"/>
      <c r="H151" s="13"/>
    </row>
    <row r="152" spans="1:8" hidden="1" x14ac:dyDescent="0.25">
      <c r="A152" s="13"/>
      <c r="B152" s="52" t="s">
        <v>165</v>
      </c>
      <c r="C152" s="52" t="s">
        <v>242</v>
      </c>
      <c r="D152" s="39"/>
      <c r="E152" s="43"/>
      <c r="H152" s="13"/>
    </row>
    <row r="153" spans="1:8" hidden="1" x14ac:dyDescent="0.25">
      <c r="A153" s="13"/>
      <c r="B153" s="52" t="s">
        <v>166</v>
      </c>
      <c r="C153" s="52" t="s">
        <v>243</v>
      </c>
      <c r="D153" s="39"/>
      <c r="E153" s="43"/>
      <c r="H153" s="13"/>
    </row>
    <row r="154" spans="1:8" hidden="1" x14ac:dyDescent="0.25">
      <c r="A154" s="13"/>
      <c r="B154" s="52" t="s">
        <v>44</v>
      </c>
      <c r="C154" s="47" t="s">
        <v>244</v>
      </c>
      <c r="D154" s="37"/>
      <c r="E154" s="43"/>
      <c r="H154" s="13"/>
    </row>
    <row r="155" spans="1:8" hidden="1" x14ac:dyDescent="0.25">
      <c r="A155" s="13"/>
      <c r="B155" s="52" t="s">
        <v>45</v>
      </c>
      <c r="C155" s="52" t="s">
        <v>245</v>
      </c>
      <c r="D155" s="39"/>
      <c r="E155" s="43"/>
      <c r="H155" s="13"/>
    </row>
    <row r="156" spans="1:8" hidden="1" x14ac:dyDescent="0.25">
      <c r="A156" s="37"/>
      <c r="B156" s="47"/>
      <c r="C156" s="47"/>
      <c r="D156" s="37"/>
      <c r="E156" s="43"/>
      <c r="H156" s="37"/>
    </row>
    <row r="157" spans="1:8" hidden="1" x14ac:dyDescent="0.25">
      <c r="A157" s="36" t="s">
        <v>20</v>
      </c>
      <c r="B157" s="48" t="s">
        <v>88</v>
      </c>
      <c r="C157" s="53" t="s">
        <v>294</v>
      </c>
      <c r="D157" s="42"/>
      <c r="E157" s="43"/>
      <c r="H157" s="36"/>
    </row>
    <row r="158" spans="1:8" hidden="1" x14ac:dyDescent="0.25">
      <c r="A158" s="13"/>
      <c r="B158" s="52" t="s">
        <v>64</v>
      </c>
      <c r="C158" s="47" t="s">
        <v>246</v>
      </c>
      <c r="D158" s="37"/>
      <c r="E158" s="43"/>
      <c r="H158" s="13"/>
    </row>
    <row r="159" spans="1:8" hidden="1" x14ac:dyDescent="0.25">
      <c r="A159" s="13"/>
      <c r="B159" s="52" t="s">
        <v>167</v>
      </c>
      <c r="C159" s="47" t="s">
        <v>247</v>
      </c>
      <c r="D159" s="37"/>
      <c r="E159" s="43"/>
      <c r="H159" s="13"/>
    </row>
    <row r="160" spans="1:8" hidden="1" x14ac:dyDescent="0.25">
      <c r="A160" s="13"/>
      <c r="B160" s="52" t="s">
        <v>168</v>
      </c>
      <c r="C160" s="47" t="s">
        <v>248</v>
      </c>
      <c r="D160" s="37"/>
      <c r="E160" s="43"/>
      <c r="H160" s="13"/>
    </row>
    <row r="161" spans="1:8" hidden="1" x14ac:dyDescent="0.25">
      <c r="A161" s="13"/>
      <c r="B161" s="52" t="s">
        <v>65</v>
      </c>
      <c r="C161" s="47" t="s">
        <v>249</v>
      </c>
      <c r="D161" s="37"/>
      <c r="E161" s="43"/>
      <c r="H161" s="13"/>
    </row>
    <row r="162" spans="1:8" hidden="1" x14ac:dyDescent="0.25">
      <c r="A162" s="13"/>
      <c r="B162" s="52" t="s">
        <v>132</v>
      </c>
      <c r="C162" s="47" t="s">
        <v>250</v>
      </c>
      <c r="D162" s="37"/>
      <c r="E162" s="43"/>
      <c r="H162" s="13"/>
    </row>
    <row r="163" spans="1:8" hidden="1" x14ac:dyDescent="0.25">
      <c r="A163" s="13"/>
      <c r="B163" s="52" t="s">
        <v>68</v>
      </c>
      <c r="C163" s="47" t="s">
        <v>251</v>
      </c>
      <c r="D163" s="37"/>
      <c r="E163" s="43"/>
      <c r="H163" s="13"/>
    </row>
    <row r="164" spans="1:8" hidden="1" x14ac:dyDescent="0.25">
      <c r="A164" s="13"/>
      <c r="B164" s="52" t="s">
        <v>169</v>
      </c>
      <c r="C164" s="47" t="s">
        <v>252</v>
      </c>
      <c r="D164" s="37"/>
      <c r="E164" s="43"/>
      <c r="H164" s="13"/>
    </row>
    <row r="165" spans="1:8" hidden="1" x14ac:dyDescent="0.25">
      <c r="A165" s="13"/>
      <c r="B165" s="52"/>
      <c r="C165" s="47"/>
      <c r="D165" s="37"/>
      <c r="E165" s="43"/>
      <c r="H165" s="13"/>
    </row>
    <row r="166" spans="1:8" hidden="1" x14ac:dyDescent="0.25">
      <c r="A166" s="38" t="s">
        <v>108</v>
      </c>
      <c r="B166" s="48" t="s">
        <v>88</v>
      </c>
      <c r="C166" s="53" t="s">
        <v>294</v>
      </c>
      <c r="D166" s="42"/>
      <c r="E166" s="43"/>
      <c r="H166" s="38"/>
    </row>
    <row r="167" spans="1:8" hidden="1" x14ac:dyDescent="0.25">
      <c r="A167" s="13"/>
      <c r="B167" s="52" t="s">
        <v>66</v>
      </c>
      <c r="C167" s="47" t="s">
        <v>253</v>
      </c>
      <c r="D167" s="37"/>
      <c r="E167" s="43"/>
      <c r="H167" s="13"/>
    </row>
    <row r="168" spans="1:8" hidden="1" x14ac:dyDescent="0.25">
      <c r="A168" s="13"/>
      <c r="B168" s="52" t="s">
        <v>67</v>
      </c>
      <c r="C168" s="47" t="s">
        <v>254</v>
      </c>
      <c r="D168" s="37"/>
      <c r="E168" s="43"/>
      <c r="H168" s="13"/>
    </row>
    <row r="169" spans="1:8" hidden="1" x14ac:dyDescent="0.25">
      <c r="A169" s="13"/>
      <c r="B169" s="52" t="s">
        <v>133</v>
      </c>
      <c r="C169" s="47" t="s">
        <v>255</v>
      </c>
      <c r="D169" s="37"/>
      <c r="E169" s="43"/>
      <c r="H169" s="13"/>
    </row>
    <row r="170" spans="1:8" hidden="1" x14ac:dyDescent="0.25">
      <c r="A170" s="13"/>
      <c r="B170" s="52" t="s">
        <v>170</v>
      </c>
      <c r="C170" s="47" t="s">
        <v>256</v>
      </c>
      <c r="D170" s="37"/>
      <c r="E170" s="43"/>
      <c r="H170" s="13"/>
    </row>
    <row r="171" spans="1:8" hidden="1" x14ac:dyDescent="0.25">
      <c r="A171" s="13"/>
      <c r="B171" s="52" t="s">
        <v>70</v>
      </c>
      <c r="C171" s="47" t="s">
        <v>257</v>
      </c>
      <c r="D171" s="37"/>
      <c r="E171" s="43"/>
      <c r="H171" s="13"/>
    </row>
    <row r="172" spans="1:8" hidden="1" x14ac:dyDescent="0.25">
      <c r="A172" s="13"/>
      <c r="B172" s="52" t="s">
        <v>69</v>
      </c>
      <c r="C172" s="47" t="s">
        <v>258</v>
      </c>
      <c r="D172" s="37"/>
      <c r="E172" s="43"/>
      <c r="H172" s="13"/>
    </row>
    <row r="173" spans="1:8" hidden="1" x14ac:dyDescent="0.25">
      <c r="A173" s="13"/>
      <c r="B173" s="52" t="s">
        <v>134</v>
      </c>
      <c r="C173" s="47" t="s">
        <v>259</v>
      </c>
      <c r="D173" s="37"/>
      <c r="E173" s="43"/>
      <c r="H173" s="13"/>
    </row>
    <row r="174" spans="1:8" hidden="1" x14ac:dyDescent="0.25">
      <c r="A174" s="13"/>
      <c r="B174" s="52" t="s">
        <v>171</v>
      </c>
      <c r="C174" s="47" t="s">
        <v>260</v>
      </c>
      <c r="D174" s="37"/>
      <c r="E174" s="43"/>
      <c r="H174" s="13"/>
    </row>
    <row r="175" spans="1:8" hidden="1" x14ac:dyDescent="0.25">
      <c r="A175" s="37"/>
      <c r="B175" s="47"/>
      <c r="C175" s="47"/>
      <c r="D175" s="37"/>
      <c r="E175" s="43"/>
      <c r="H175" s="37"/>
    </row>
    <row r="176" spans="1:8" hidden="1" x14ac:dyDescent="0.25">
      <c r="A176" s="38" t="s">
        <v>107</v>
      </c>
      <c r="B176" s="48" t="s">
        <v>88</v>
      </c>
      <c r="C176" s="53" t="s">
        <v>294</v>
      </c>
      <c r="D176" s="42"/>
      <c r="E176" s="43"/>
      <c r="H176" s="38"/>
    </row>
    <row r="177" spans="1:8" hidden="1" x14ac:dyDescent="0.25">
      <c r="A177" s="13"/>
      <c r="B177" s="52" t="s">
        <v>135</v>
      </c>
      <c r="C177" s="47" t="s">
        <v>261</v>
      </c>
      <c r="D177" s="37"/>
      <c r="E177" s="43"/>
      <c r="H177" s="13"/>
    </row>
    <row r="178" spans="1:8" hidden="1" x14ac:dyDescent="0.25">
      <c r="A178" s="13"/>
      <c r="B178" s="52" t="s">
        <v>71</v>
      </c>
      <c r="C178" s="47" t="s">
        <v>262</v>
      </c>
      <c r="D178" s="37"/>
      <c r="E178" s="43"/>
      <c r="H178" s="13"/>
    </row>
    <row r="179" spans="1:8" hidden="1" x14ac:dyDescent="0.25">
      <c r="A179" s="13"/>
      <c r="B179" s="52" t="s">
        <v>72</v>
      </c>
      <c r="C179" s="47" t="s">
        <v>263</v>
      </c>
      <c r="D179" s="37"/>
      <c r="E179" s="43"/>
      <c r="H179" s="13"/>
    </row>
    <row r="180" spans="1:8" hidden="1" x14ac:dyDescent="0.25">
      <c r="A180" s="13"/>
      <c r="B180" s="52" t="s">
        <v>136</v>
      </c>
      <c r="C180" s="47" t="s">
        <v>264</v>
      </c>
      <c r="D180" s="37"/>
      <c r="E180" s="43"/>
      <c r="H180" s="13"/>
    </row>
    <row r="181" spans="1:8" hidden="1" x14ac:dyDescent="0.25">
      <c r="A181" s="13"/>
      <c r="B181" s="47"/>
      <c r="C181" s="47"/>
      <c r="D181" s="37"/>
      <c r="E181" s="43"/>
      <c r="H181" s="13"/>
    </row>
    <row r="182" spans="1:8" hidden="1" x14ac:dyDescent="0.25">
      <c r="A182" s="38" t="s">
        <v>106</v>
      </c>
      <c r="B182" s="48" t="s">
        <v>88</v>
      </c>
      <c r="C182" s="53" t="s">
        <v>294</v>
      </c>
      <c r="D182" s="42"/>
      <c r="E182" s="43"/>
      <c r="H182" s="38"/>
    </row>
    <row r="183" spans="1:8" hidden="1" x14ac:dyDescent="0.25">
      <c r="A183" s="13"/>
      <c r="B183" s="52" t="s">
        <v>172</v>
      </c>
      <c r="C183" s="47" t="s">
        <v>265</v>
      </c>
      <c r="D183" s="37"/>
      <c r="E183" s="43"/>
      <c r="H183" s="13"/>
    </row>
    <row r="184" spans="1:8" hidden="1" x14ac:dyDescent="0.25">
      <c r="A184" s="13"/>
      <c r="B184" s="52" t="s">
        <v>73</v>
      </c>
      <c r="C184" s="47" t="s">
        <v>266</v>
      </c>
      <c r="D184" s="37"/>
      <c r="E184" s="43"/>
      <c r="H184" s="13"/>
    </row>
    <row r="185" spans="1:8" hidden="1" x14ac:dyDescent="0.25">
      <c r="A185" s="13"/>
      <c r="B185" s="52" t="s">
        <v>137</v>
      </c>
      <c r="C185" s="47" t="s">
        <v>267</v>
      </c>
      <c r="D185" s="37"/>
      <c r="E185" s="43"/>
      <c r="H185" s="13"/>
    </row>
    <row r="186" spans="1:8" hidden="1" x14ac:dyDescent="0.25">
      <c r="A186" s="37"/>
      <c r="B186" s="47"/>
      <c r="C186" s="47"/>
      <c r="D186" s="37"/>
      <c r="E186" s="43"/>
      <c r="H186" s="37"/>
    </row>
    <row r="187" spans="1:8" hidden="1" x14ac:dyDescent="0.25">
      <c r="A187" s="38" t="s">
        <v>37</v>
      </c>
      <c r="B187" s="48" t="s">
        <v>88</v>
      </c>
      <c r="C187" s="53" t="s">
        <v>294</v>
      </c>
      <c r="D187" s="42"/>
      <c r="E187" s="43"/>
      <c r="H187" s="38"/>
    </row>
    <row r="188" spans="1:8" hidden="1" x14ac:dyDescent="0.25">
      <c r="A188" s="13"/>
      <c r="B188" s="52" t="s">
        <v>138</v>
      </c>
      <c r="C188" s="47" t="s">
        <v>268</v>
      </c>
      <c r="D188" s="37"/>
      <c r="E188" s="43"/>
      <c r="H188" s="13"/>
    </row>
    <row r="189" spans="1:8" hidden="1" x14ac:dyDescent="0.25">
      <c r="A189" s="13"/>
      <c r="B189" s="52" t="s">
        <v>38</v>
      </c>
      <c r="C189" s="47" t="s">
        <v>269</v>
      </c>
      <c r="D189" s="37"/>
      <c r="E189" s="43"/>
      <c r="H189" s="13"/>
    </row>
    <row r="190" spans="1:8" hidden="1" x14ac:dyDescent="0.25">
      <c r="A190" s="13"/>
      <c r="B190" s="52" t="s">
        <v>39</v>
      </c>
      <c r="C190" s="47" t="s">
        <v>270</v>
      </c>
      <c r="D190" s="37"/>
      <c r="E190" s="43"/>
      <c r="H190" s="13"/>
    </row>
    <row r="191" spans="1:8" hidden="1" x14ac:dyDescent="0.25">
      <c r="A191" s="13"/>
      <c r="B191" s="52" t="s">
        <v>139</v>
      </c>
      <c r="C191" s="47" t="s">
        <v>271</v>
      </c>
      <c r="D191" s="37"/>
      <c r="E191" s="43"/>
      <c r="H191" s="13"/>
    </row>
    <row r="192" spans="1:8" hidden="1" x14ac:dyDescent="0.25">
      <c r="A192" s="13"/>
      <c r="B192" s="52" t="s">
        <v>40</v>
      </c>
      <c r="C192" s="47" t="s">
        <v>272</v>
      </c>
      <c r="D192" s="37"/>
      <c r="E192" s="43"/>
      <c r="H192" s="13"/>
    </row>
    <row r="193" spans="1:8" hidden="1" x14ac:dyDescent="0.25">
      <c r="A193" s="13"/>
      <c r="B193" s="52" t="s">
        <v>140</v>
      </c>
      <c r="C193" s="47" t="s">
        <v>273</v>
      </c>
      <c r="D193" s="37"/>
      <c r="E193" s="43"/>
      <c r="H193" s="13"/>
    </row>
    <row r="194" spans="1:8" hidden="1" x14ac:dyDescent="0.25">
      <c r="A194" s="13"/>
      <c r="B194" s="52" t="s">
        <v>141</v>
      </c>
      <c r="C194" s="47" t="s">
        <v>274</v>
      </c>
      <c r="D194" s="37"/>
      <c r="E194" s="43"/>
      <c r="H194" s="13"/>
    </row>
    <row r="195" spans="1:8" hidden="1" x14ac:dyDescent="0.25">
      <c r="A195" s="37"/>
      <c r="B195" s="47"/>
      <c r="C195" s="47"/>
      <c r="D195" s="37"/>
      <c r="E195" s="43"/>
      <c r="H195" s="37"/>
    </row>
    <row r="196" spans="1:8" hidden="1" x14ac:dyDescent="0.25">
      <c r="A196" s="38" t="s">
        <v>22</v>
      </c>
      <c r="B196" s="48" t="s">
        <v>88</v>
      </c>
      <c r="C196" s="53" t="s">
        <v>294</v>
      </c>
      <c r="D196" s="42"/>
      <c r="E196" s="43"/>
      <c r="H196" s="38"/>
    </row>
    <row r="197" spans="1:8" hidden="1" x14ac:dyDescent="0.25">
      <c r="A197" s="13"/>
      <c r="B197" s="52" t="s">
        <v>23</v>
      </c>
      <c r="C197" s="47" t="s">
        <v>275</v>
      </c>
      <c r="D197" s="37"/>
      <c r="E197" s="43"/>
      <c r="H197" s="13"/>
    </row>
    <row r="198" spans="1:8" hidden="1" x14ac:dyDescent="0.25">
      <c r="A198" s="13"/>
      <c r="B198" s="52" t="s">
        <v>25</v>
      </c>
      <c r="C198" s="47" t="s">
        <v>276</v>
      </c>
      <c r="D198" s="37"/>
      <c r="E198" s="43"/>
      <c r="H198" s="13"/>
    </row>
    <row r="199" spans="1:8" hidden="1" x14ac:dyDescent="0.25">
      <c r="A199" s="13"/>
      <c r="B199" s="52" t="s">
        <v>142</v>
      </c>
      <c r="C199" s="47" t="s">
        <v>277</v>
      </c>
      <c r="D199" s="37"/>
      <c r="E199" s="43"/>
      <c r="H199" s="13"/>
    </row>
    <row r="200" spans="1:8" hidden="1" x14ac:dyDescent="0.25">
      <c r="A200" s="13"/>
      <c r="B200" s="52" t="s">
        <v>24</v>
      </c>
      <c r="C200" s="47" t="s">
        <v>278</v>
      </c>
      <c r="D200" s="37"/>
      <c r="E200" s="43"/>
      <c r="H200" s="13"/>
    </row>
    <row r="201" spans="1:8" hidden="1" x14ac:dyDescent="0.25">
      <c r="A201" s="13"/>
      <c r="B201" s="54" t="s">
        <v>173</v>
      </c>
      <c r="C201" s="50" t="s">
        <v>279</v>
      </c>
      <c r="D201" s="13"/>
      <c r="E201" s="43"/>
      <c r="H201" s="13"/>
    </row>
    <row r="202" spans="1:8" hidden="1" x14ac:dyDescent="0.25">
      <c r="A202" s="13"/>
      <c r="B202" s="52" t="s">
        <v>26</v>
      </c>
      <c r="C202" s="47" t="s">
        <v>280</v>
      </c>
      <c r="D202" s="37"/>
      <c r="E202" s="43"/>
      <c r="H202" s="13"/>
    </row>
    <row r="203" spans="1:8" hidden="1" x14ac:dyDescent="0.25">
      <c r="A203" s="13"/>
      <c r="B203" s="52" t="s">
        <v>27</v>
      </c>
      <c r="C203" s="47" t="s">
        <v>281</v>
      </c>
      <c r="D203" s="37"/>
      <c r="E203" s="43"/>
      <c r="H203" s="13"/>
    </row>
    <row r="204" spans="1:8" hidden="1" x14ac:dyDescent="0.25">
      <c r="A204" s="37"/>
      <c r="B204" s="47"/>
      <c r="C204" s="47"/>
      <c r="D204" s="37"/>
      <c r="E204" s="43"/>
      <c r="H204" s="37"/>
    </row>
    <row r="205" spans="1:8" hidden="1" x14ac:dyDescent="0.25">
      <c r="A205" s="38" t="s">
        <v>143</v>
      </c>
      <c r="B205" s="48" t="s">
        <v>88</v>
      </c>
      <c r="C205" s="53" t="s">
        <v>294</v>
      </c>
      <c r="D205" s="42"/>
      <c r="E205" s="43"/>
      <c r="H205" s="38"/>
    </row>
    <row r="206" spans="1:8" hidden="1" x14ac:dyDescent="0.25">
      <c r="A206" s="13"/>
      <c r="B206" s="52" t="s">
        <v>29</v>
      </c>
      <c r="C206" s="52" t="s">
        <v>282</v>
      </c>
      <c r="D206" s="39"/>
      <c r="E206" s="43"/>
      <c r="H206" s="13"/>
    </row>
    <row r="207" spans="1:8" hidden="1" x14ac:dyDescent="0.25">
      <c r="A207" s="13"/>
      <c r="B207" s="52" t="s">
        <v>31</v>
      </c>
      <c r="C207" s="47" t="s">
        <v>283</v>
      </c>
      <c r="D207" s="37"/>
      <c r="E207" s="43"/>
      <c r="H207" s="13"/>
    </row>
    <row r="208" spans="1:8" hidden="1" x14ac:dyDescent="0.25">
      <c r="A208" s="13"/>
      <c r="B208" s="52" t="s">
        <v>28</v>
      </c>
      <c r="C208" s="47" t="s">
        <v>284</v>
      </c>
      <c r="D208" s="37"/>
      <c r="E208" s="43"/>
      <c r="H208" s="13"/>
    </row>
    <row r="209" spans="1:9" hidden="1" x14ac:dyDescent="0.25">
      <c r="A209" s="13"/>
      <c r="B209" s="52" t="s">
        <v>36</v>
      </c>
      <c r="C209" s="47" t="s">
        <v>285</v>
      </c>
      <c r="D209" s="37"/>
      <c r="E209" s="43"/>
      <c r="H209" s="13"/>
    </row>
    <row r="210" spans="1:9" hidden="1" x14ac:dyDescent="0.25">
      <c r="A210" s="13"/>
      <c r="B210" s="52" t="s">
        <v>30</v>
      </c>
      <c r="C210" s="47" t="s">
        <v>286</v>
      </c>
      <c r="D210" s="37"/>
      <c r="E210" s="43"/>
      <c r="H210" s="13"/>
    </row>
    <row r="211" spans="1:9" hidden="1" x14ac:dyDescent="0.25">
      <c r="A211" s="13"/>
      <c r="B211" s="54" t="s">
        <v>144</v>
      </c>
      <c r="C211" s="50" t="s">
        <v>287</v>
      </c>
      <c r="D211" s="13"/>
      <c r="E211" s="43"/>
      <c r="H211" s="13"/>
    </row>
    <row r="212" spans="1:9" hidden="1" x14ac:dyDescent="0.25">
      <c r="A212" s="13"/>
      <c r="B212" s="52"/>
      <c r="C212" s="47"/>
      <c r="D212" s="37"/>
      <c r="E212" s="43"/>
      <c r="H212" s="13"/>
    </row>
    <row r="213" spans="1:9" hidden="1" x14ac:dyDescent="0.25">
      <c r="A213" s="38" t="s">
        <v>104</v>
      </c>
      <c r="B213" s="48" t="s">
        <v>88</v>
      </c>
      <c r="C213" s="53" t="s">
        <v>294</v>
      </c>
      <c r="D213" s="42"/>
      <c r="E213" s="43"/>
      <c r="H213" s="38"/>
    </row>
    <row r="214" spans="1:9" hidden="1" x14ac:dyDescent="0.25">
      <c r="A214" s="13"/>
      <c r="B214" s="52" t="s">
        <v>32</v>
      </c>
      <c r="C214" s="47" t="s">
        <v>288</v>
      </c>
      <c r="D214" s="37"/>
      <c r="E214" s="43"/>
      <c r="H214" s="13"/>
    </row>
    <row r="215" spans="1:9" hidden="1" x14ac:dyDescent="0.25">
      <c r="A215" s="13"/>
      <c r="B215" s="52" t="s">
        <v>34</v>
      </c>
      <c r="C215" s="47" t="s">
        <v>289</v>
      </c>
      <c r="D215" s="37"/>
      <c r="E215" s="43"/>
      <c r="H215" s="13"/>
    </row>
    <row r="216" spans="1:9" hidden="1" x14ac:dyDescent="0.25">
      <c r="A216" s="13"/>
      <c r="B216" s="52" t="s">
        <v>35</v>
      </c>
      <c r="C216" s="47" t="s">
        <v>290</v>
      </c>
      <c r="D216" s="37"/>
      <c r="E216" s="43"/>
      <c r="H216" s="13"/>
    </row>
    <row r="217" spans="1:9" hidden="1" x14ac:dyDescent="0.25">
      <c r="A217" s="13"/>
      <c r="B217" s="52" t="s">
        <v>174</v>
      </c>
      <c r="C217" s="47" t="s">
        <v>291</v>
      </c>
      <c r="D217" s="37"/>
      <c r="E217" s="43"/>
      <c r="H217" s="13"/>
    </row>
    <row r="218" spans="1:9" hidden="1" x14ac:dyDescent="0.25">
      <c r="A218" s="13"/>
      <c r="B218" s="54" t="s">
        <v>145</v>
      </c>
      <c r="C218" s="50" t="s">
        <v>292</v>
      </c>
      <c r="D218" s="13"/>
      <c r="E218" s="43"/>
      <c r="H218" s="13"/>
    </row>
    <row r="219" spans="1:9" hidden="1" x14ac:dyDescent="0.25">
      <c r="A219" s="13"/>
      <c r="B219" s="52" t="s">
        <v>33</v>
      </c>
      <c r="C219" s="47" t="s">
        <v>293</v>
      </c>
      <c r="D219" s="37"/>
      <c r="E219" s="43"/>
      <c r="H219" s="13"/>
    </row>
    <row r="220" spans="1:9" hidden="1" x14ac:dyDescent="0.25">
      <c r="B220" s="49"/>
      <c r="C220" s="49"/>
      <c r="E220" s="43"/>
    </row>
    <row r="221" spans="1:9" hidden="1" x14ac:dyDescent="0.25">
      <c r="B221" s="49"/>
      <c r="C221" s="49"/>
      <c r="E221" s="43"/>
    </row>
    <row r="222" spans="1:9" hidden="1" x14ac:dyDescent="0.25">
      <c r="A222" s="38" t="s">
        <v>17</v>
      </c>
      <c r="B222" s="48" t="s">
        <v>88</v>
      </c>
      <c r="C222" s="53" t="s">
        <v>294</v>
      </c>
      <c r="D222" s="42"/>
      <c r="E222" s="43"/>
    </row>
    <row r="223" spans="1:9" hidden="1" x14ac:dyDescent="0.25">
      <c r="B223" s="52" t="s">
        <v>152</v>
      </c>
      <c r="C223" s="47" t="s">
        <v>213</v>
      </c>
      <c r="D223" s="37"/>
      <c r="E223" s="43"/>
      <c r="I223" s="39"/>
    </row>
    <row r="224" spans="1:9" hidden="1" x14ac:dyDescent="0.25">
      <c r="B224" s="52" t="s">
        <v>59</v>
      </c>
      <c r="C224" s="47" t="s">
        <v>221</v>
      </c>
      <c r="D224" s="37"/>
      <c r="E224" s="43"/>
      <c r="I224" s="39"/>
    </row>
    <row r="225" spans="1:11" hidden="1" x14ac:dyDescent="0.25">
      <c r="B225" s="52" t="s">
        <v>124</v>
      </c>
      <c r="C225" s="47" t="s">
        <v>214</v>
      </c>
      <c r="D225" s="37"/>
      <c r="E225" s="43"/>
      <c r="I225" s="39"/>
    </row>
    <row r="226" spans="1:11" hidden="1" x14ac:dyDescent="0.25">
      <c r="B226" s="52" t="s">
        <v>58</v>
      </c>
      <c r="C226" s="47" t="s">
        <v>222</v>
      </c>
      <c r="D226" s="37"/>
      <c r="E226" s="43"/>
      <c r="I226" s="39"/>
    </row>
    <row r="227" spans="1:11" hidden="1" x14ac:dyDescent="0.25">
      <c r="B227" s="52" t="s">
        <v>56</v>
      </c>
      <c r="C227" s="47" t="s">
        <v>215</v>
      </c>
      <c r="D227" s="37"/>
      <c r="E227" s="43"/>
      <c r="I227" s="39"/>
    </row>
    <row r="228" spans="1:11" hidden="1" x14ac:dyDescent="0.25">
      <c r="B228" s="52" t="s">
        <v>154</v>
      </c>
      <c r="C228" s="47" t="s">
        <v>223</v>
      </c>
      <c r="D228" s="37"/>
      <c r="E228" s="43"/>
      <c r="I228" s="39"/>
    </row>
    <row r="229" spans="1:11" hidden="1" x14ac:dyDescent="0.25">
      <c r="B229" s="52" t="s">
        <v>55</v>
      </c>
      <c r="C229" s="47" t="s">
        <v>216</v>
      </c>
      <c r="D229" s="37"/>
      <c r="E229" s="43"/>
      <c r="I229" s="39"/>
    </row>
    <row r="230" spans="1:11" hidden="1" x14ac:dyDescent="0.25">
      <c r="B230" s="52" t="s">
        <v>155</v>
      </c>
      <c r="C230" s="47" t="s">
        <v>224</v>
      </c>
      <c r="D230" s="37"/>
      <c r="E230" s="43"/>
      <c r="I230" s="39"/>
    </row>
    <row r="231" spans="1:11" hidden="1" x14ac:dyDescent="0.25">
      <c r="B231" s="52" t="s">
        <v>153</v>
      </c>
      <c r="C231" s="47" t="s">
        <v>217</v>
      </c>
      <c r="D231" s="37"/>
      <c r="E231" s="43"/>
      <c r="I231" s="37"/>
      <c r="K231" s="37"/>
    </row>
    <row r="232" spans="1:11" hidden="1" x14ac:dyDescent="0.25">
      <c r="B232" s="52" t="s">
        <v>60</v>
      </c>
      <c r="C232" s="47" t="s">
        <v>225</v>
      </c>
      <c r="D232" s="37"/>
      <c r="E232" s="43"/>
      <c r="I232" s="37"/>
      <c r="K232" s="37"/>
    </row>
    <row r="233" spans="1:11" hidden="1" x14ac:dyDescent="0.25">
      <c r="B233" s="52" t="s">
        <v>53</v>
      </c>
      <c r="C233" s="47" t="s">
        <v>218</v>
      </c>
      <c r="D233" s="37"/>
      <c r="E233" s="43"/>
      <c r="I233" s="39"/>
    </row>
    <row r="234" spans="1:11" hidden="1" x14ac:dyDescent="0.25">
      <c r="B234" s="52" t="s">
        <v>125</v>
      </c>
      <c r="C234" s="47" t="s">
        <v>219</v>
      </c>
      <c r="D234" s="37"/>
      <c r="E234" s="43"/>
      <c r="I234" s="39"/>
    </row>
    <row r="235" spans="1:11" hidden="1" x14ac:dyDescent="0.25">
      <c r="B235" s="52" t="s">
        <v>54</v>
      </c>
      <c r="C235" s="47" t="s">
        <v>220</v>
      </c>
      <c r="D235" s="37"/>
      <c r="E235" s="43"/>
      <c r="I235" s="39"/>
    </row>
    <row r="236" spans="1:11" hidden="1" x14ac:dyDescent="0.25">
      <c r="B236" s="48" t="s">
        <v>88</v>
      </c>
      <c r="C236" s="53" t="s">
        <v>294</v>
      </c>
      <c r="D236" s="42"/>
      <c r="E236" s="43"/>
      <c r="I236" s="39"/>
    </row>
    <row r="237" spans="1:11" hidden="1" x14ac:dyDescent="0.25">
      <c r="A237" s="38" t="s">
        <v>176</v>
      </c>
      <c r="B237" s="52" t="s">
        <v>29</v>
      </c>
      <c r="C237" s="52" t="s">
        <v>282</v>
      </c>
      <c r="D237" s="39"/>
      <c r="E237" s="43"/>
      <c r="I237" s="39"/>
    </row>
    <row r="238" spans="1:11" hidden="1" x14ac:dyDescent="0.25">
      <c r="B238" s="52" t="s">
        <v>32</v>
      </c>
      <c r="C238" s="47" t="s">
        <v>288</v>
      </c>
      <c r="D238" s="37"/>
      <c r="E238" s="43"/>
      <c r="I238" s="39"/>
    </row>
    <row r="239" spans="1:11" hidden="1" x14ac:dyDescent="0.25">
      <c r="B239" s="52" t="s">
        <v>31</v>
      </c>
      <c r="C239" s="47" t="s">
        <v>283</v>
      </c>
      <c r="D239" s="37"/>
      <c r="E239" s="43"/>
      <c r="I239" s="39"/>
    </row>
    <row r="240" spans="1:11" hidden="1" x14ac:dyDescent="0.25">
      <c r="B240" s="52" t="s">
        <v>34</v>
      </c>
      <c r="C240" s="47" t="s">
        <v>289</v>
      </c>
      <c r="D240" s="37"/>
      <c r="E240" s="44"/>
      <c r="I240" s="39"/>
    </row>
    <row r="241" spans="1:11" hidden="1" x14ac:dyDescent="0.25">
      <c r="B241" s="52" t="s">
        <v>28</v>
      </c>
      <c r="C241" s="47" t="s">
        <v>284</v>
      </c>
      <c r="D241" s="37"/>
      <c r="E241" s="45"/>
      <c r="I241" s="39"/>
    </row>
    <row r="242" spans="1:11" hidden="1" x14ac:dyDescent="0.25">
      <c r="B242" s="52" t="s">
        <v>35</v>
      </c>
      <c r="C242" s="47" t="s">
        <v>290</v>
      </c>
      <c r="D242" s="37"/>
      <c r="E242" s="44"/>
      <c r="I242" s="40"/>
    </row>
    <row r="243" spans="1:11" hidden="1" x14ac:dyDescent="0.25">
      <c r="B243" s="52" t="s">
        <v>36</v>
      </c>
      <c r="C243" s="47" t="s">
        <v>285</v>
      </c>
      <c r="D243" s="37"/>
      <c r="E243" s="45"/>
      <c r="I243" s="39"/>
      <c r="K243" s="37"/>
    </row>
    <row r="244" spans="1:11" hidden="1" x14ac:dyDescent="0.25">
      <c r="B244" s="52" t="s">
        <v>174</v>
      </c>
      <c r="C244" s="47" t="s">
        <v>291</v>
      </c>
      <c r="D244" s="37"/>
      <c r="E244" s="43"/>
      <c r="I244" s="37"/>
      <c r="K244" s="37"/>
    </row>
    <row r="245" spans="1:11" hidden="1" x14ac:dyDescent="0.25">
      <c r="B245" s="52" t="s">
        <v>30</v>
      </c>
      <c r="C245" s="47" t="s">
        <v>286</v>
      </c>
      <c r="D245" s="37"/>
      <c r="E245" s="45"/>
      <c r="I245" s="39"/>
    </row>
    <row r="246" spans="1:11" hidden="1" x14ac:dyDescent="0.25">
      <c r="B246" s="54" t="s">
        <v>145</v>
      </c>
      <c r="C246" s="50" t="s">
        <v>292</v>
      </c>
      <c r="D246" s="13"/>
      <c r="E246" s="46"/>
      <c r="I246" s="39"/>
    </row>
    <row r="247" spans="1:11" hidden="1" x14ac:dyDescent="0.25">
      <c r="B247" s="54" t="s">
        <v>144</v>
      </c>
      <c r="C247" s="50" t="s">
        <v>287</v>
      </c>
      <c r="D247" s="13"/>
      <c r="E247" s="45"/>
      <c r="I247" s="39"/>
    </row>
    <row r="248" spans="1:11" hidden="1" x14ac:dyDescent="0.25">
      <c r="B248" s="52" t="s">
        <v>33</v>
      </c>
      <c r="C248" s="47" t="s">
        <v>293</v>
      </c>
      <c r="D248" s="37"/>
      <c r="E248" s="46"/>
      <c r="I248" s="39"/>
    </row>
    <row r="249" spans="1:11" hidden="1" x14ac:dyDescent="0.25">
      <c r="B249" s="48" t="s">
        <v>88</v>
      </c>
      <c r="C249" s="53" t="s">
        <v>294</v>
      </c>
      <c r="D249" s="42"/>
      <c r="E249" s="45"/>
      <c r="I249" s="40"/>
    </row>
    <row r="250" spans="1:11" hidden="1" x14ac:dyDescent="0.25">
      <c r="A250" s="38" t="s">
        <v>175</v>
      </c>
      <c r="B250" s="52" t="s">
        <v>138</v>
      </c>
      <c r="C250" s="47" t="s">
        <v>268</v>
      </c>
      <c r="D250" s="37"/>
      <c r="E250" s="46"/>
      <c r="I250" s="39"/>
    </row>
    <row r="251" spans="1:11" hidden="1" x14ac:dyDescent="0.25">
      <c r="B251" s="52" t="s">
        <v>152</v>
      </c>
      <c r="C251" s="47" t="s">
        <v>213</v>
      </c>
      <c r="D251" s="37"/>
      <c r="E251" s="45"/>
      <c r="I251" s="39"/>
    </row>
    <row r="252" spans="1:11" hidden="1" x14ac:dyDescent="0.25">
      <c r="B252" s="52" t="s">
        <v>38</v>
      </c>
      <c r="C252" s="47" t="s">
        <v>269</v>
      </c>
      <c r="D252" s="37"/>
      <c r="E252" s="46"/>
      <c r="I252" s="39"/>
    </row>
    <row r="253" spans="1:11" hidden="1" x14ac:dyDescent="0.25">
      <c r="B253" s="52" t="s">
        <v>59</v>
      </c>
      <c r="C253" s="47" t="s">
        <v>221</v>
      </c>
      <c r="D253" s="37"/>
      <c r="E253" s="45"/>
      <c r="I253" s="39"/>
    </row>
    <row r="254" spans="1:11" hidden="1" x14ac:dyDescent="0.25">
      <c r="B254" s="52" t="s">
        <v>39</v>
      </c>
      <c r="C254" s="47" t="s">
        <v>270</v>
      </c>
      <c r="D254" s="37"/>
      <c r="E254" s="46"/>
      <c r="I254" s="39"/>
    </row>
    <row r="255" spans="1:11" hidden="1" x14ac:dyDescent="0.25">
      <c r="B255" s="52" t="s">
        <v>124</v>
      </c>
      <c r="C255" s="47" t="s">
        <v>214</v>
      </c>
      <c r="D255" s="37"/>
      <c r="E255" s="45"/>
      <c r="I255" s="39"/>
    </row>
    <row r="256" spans="1:11" hidden="1" x14ac:dyDescent="0.25">
      <c r="B256" s="52" t="s">
        <v>139</v>
      </c>
      <c r="C256" s="47" t="s">
        <v>271</v>
      </c>
      <c r="D256" s="37"/>
      <c r="E256" s="46"/>
      <c r="I256" s="39"/>
    </row>
    <row r="257" spans="1:9" hidden="1" x14ac:dyDescent="0.25">
      <c r="B257" s="52" t="s">
        <v>58</v>
      </c>
      <c r="C257" s="47" t="s">
        <v>222</v>
      </c>
      <c r="D257" s="37"/>
      <c r="E257" s="45"/>
    </row>
    <row r="258" spans="1:9" hidden="1" x14ac:dyDescent="0.25">
      <c r="B258" s="52" t="s">
        <v>40</v>
      </c>
      <c r="C258" s="47" t="s">
        <v>272</v>
      </c>
      <c r="D258" s="37"/>
      <c r="E258" s="46"/>
    </row>
    <row r="259" spans="1:9" hidden="1" x14ac:dyDescent="0.25">
      <c r="B259" s="52" t="s">
        <v>56</v>
      </c>
      <c r="C259" s="47" t="s">
        <v>215</v>
      </c>
      <c r="D259" s="37"/>
      <c r="E259" s="45"/>
      <c r="I259" s="39"/>
    </row>
    <row r="260" spans="1:9" hidden="1" x14ac:dyDescent="0.25">
      <c r="B260" s="52" t="s">
        <v>140</v>
      </c>
      <c r="C260" s="47" t="s">
        <v>273</v>
      </c>
      <c r="D260" s="37"/>
      <c r="E260" s="46"/>
      <c r="I260" s="39"/>
    </row>
    <row r="261" spans="1:9" hidden="1" x14ac:dyDescent="0.25">
      <c r="B261" s="52" t="s">
        <v>154</v>
      </c>
      <c r="C261" s="47" t="s">
        <v>223</v>
      </c>
      <c r="D261" s="37"/>
      <c r="E261" s="45"/>
      <c r="I261" s="39"/>
    </row>
    <row r="262" spans="1:9" hidden="1" x14ac:dyDescent="0.25">
      <c r="B262" s="52" t="s">
        <v>141</v>
      </c>
      <c r="C262" s="47" t="s">
        <v>274</v>
      </c>
      <c r="D262" s="37"/>
      <c r="E262" s="46"/>
      <c r="I262" s="39"/>
    </row>
    <row r="263" spans="1:9" hidden="1" x14ac:dyDescent="0.25">
      <c r="B263" s="52" t="s">
        <v>55</v>
      </c>
      <c r="C263" s="47" t="s">
        <v>216</v>
      </c>
      <c r="D263" s="37"/>
      <c r="E263" s="45"/>
      <c r="I263" s="39"/>
    </row>
    <row r="264" spans="1:9" hidden="1" x14ac:dyDescent="0.25">
      <c r="B264" s="52" t="s">
        <v>155</v>
      </c>
      <c r="C264" s="47" t="s">
        <v>224</v>
      </c>
      <c r="D264" s="37"/>
      <c r="E264" s="46"/>
      <c r="I264" s="39"/>
    </row>
    <row r="265" spans="1:9" hidden="1" x14ac:dyDescent="0.25">
      <c r="B265" s="52" t="s">
        <v>153</v>
      </c>
      <c r="C265" s="47" t="s">
        <v>217</v>
      </c>
      <c r="D265" s="37"/>
      <c r="E265" s="45"/>
      <c r="I265" s="39"/>
    </row>
    <row r="266" spans="1:9" hidden="1" x14ac:dyDescent="0.25">
      <c r="B266" s="52" t="s">
        <v>60</v>
      </c>
      <c r="C266" s="47" t="s">
        <v>225</v>
      </c>
      <c r="D266" s="37"/>
      <c r="E266" s="46"/>
      <c r="I266" s="39"/>
    </row>
    <row r="267" spans="1:9" hidden="1" x14ac:dyDescent="0.25">
      <c r="B267" s="52" t="s">
        <v>53</v>
      </c>
      <c r="C267" s="47" t="s">
        <v>218</v>
      </c>
      <c r="D267" s="37"/>
      <c r="E267" s="45"/>
      <c r="I267" s="39"/>
    </row>
    <row r="268" spans="1:9" hidden="1" x14ac:dyDescent="0.25">
      <c r="B268" s="52" t="s">
        <v>125</v>
      </c>
      <c r="C268" s="47" t="s">
        <v>219</v>
      </c>
      <c r="D268" s="37"/>
      <c r="E268" s="46"/>
      <c r="I268" s="39"/>
    </row>
    <row r="269" spans="1:9" hidden="1" x14ac:dyDescent="0.25">
      <c r="B269" s="52" t="s">
        <v>54</v>
      </c>
      <c r="C269" s="47" t="s">
        <v>220</v>
      </c>
      <c r="D269" s="37"/>
      <c r="E269" s="45"/>
      <c r="I269" s="39"/>
    </row>
    <row r="270" spans="1:9" hidden="1" x14ac:dyDescent="0.25">
      <c r="B270" s="52"/>
      <c r="C270" s="47"/>
      <c r="D270" s="37"/>
      <c r="E270" s="45"/>
      <c r="I270" s="39"/>
    </row>
    <row r="271" spans="1:9" hidden="1" x14ac:dyDescent="0.25">
      <c r="B271" s="48" t="s">
        <v>88</v>
      </c>
      <c r="C271" s="53" t="s">
        <v>294</v>
      </c>
      <c r="D271" s="42"/>
      <c r="E271" s="46"/>
      <c r="I271" s="39"/>
    </row>
    <row r="272" spans="1:9" hidden="1" x14ac:dyDescent="0.25">
      <c r="A272" s="38" t="s">
        <v>177</v>
      </c>
      <c r="B272" s="52" t="s">
        <v>51</v>
      </c>
      <c r="C272" s="47" t="s">
        <v>200</v>
      </c>
      <c r="D272" s="37"/>
      <c r="E272" s="45"/>
      <c r="I272" s="37"/>
    </row>
    <row r="273" spans="2:11" hidden="1" x14ac:dyDescent="0.25">
      <c r="B273" s="52" t="s">
        <v>46</v>
      </c>
      <c r="C273" s="47" t="s">
        <v>204</v>
      </c>
      <c r="D273" s="37"/>
      <c r="E273" s="46"/>
      <c r="I273" s="39"/>
    </row>
    <row r="274" spans="2:11" hidden="1" x14ac:dyDescent="0.25">
      <c r="B274" s="52" t="s">
        <v>118</v>
      </c>
      <c r="C274" s="47" t="s">
        <v>201</v>
      </c>
      <c r="D274" s="37"/>
      <c r="E274" s="45"/>
      <c r="I274" s="39"/>
    </row>
    <row r="275" spans="2:11" hidden="1" x14ac:dyDescent="0.25">
      <c r="B275" s="52" t="s">
        <v>47</v>
      </c>
      <c r="C275" s="47" t="s">
        <v>205</v>
      </c>
      <c r="D275" s="37"/>
      <c r="E275" s="43"/>
      <c r="I275" s="39"/>
    </row>
    <row r="276" spans="2:11" hidden="1" x14ac:dyDescent="0.25">
      <c r="B276" s="52" t="s">
        <v>150</v>
      </c>
      <c r="C276" s="47" t="s">
        <v>202</v>
      </c>
      <c r="D276" s="37"/>
      <c r="E276" s="43"/>
      <c r="I276" s="39"/>
    </row>
    <row r="277" spans="2:11" hidden="1" x14ac:dyDescent="0.25">
      <c r="B277" s="52" t="s">
        <v>49</v>
      </c>
      <c r="C277" s="47" t="s">
        <v>206</v>
      </c>
      <c r="D277" s="37"/>
      <c r="E277" s="45"/>
      <c r="I277" s="37"/>
      <c r="K277" s="37"/>
    </row>
    <row r="278" spans="2:11" hidden="1" x14ac:dyDescent="0.25">
      <c r="B278" s="52" t="s">
        <v>50</v>
      </c>
      <c r="C278" s="47" t="s">
        <v>203</v>
      </c>
      <c r="D278" s="37"/>
      <c r="E278" s="45"/>
      <c r="I278" s="39"/>
      <c r="K278" s="37"/>
    </row>
    <row r="279" spans="2:11" hidden="1" x14ac:dyDescent="0.25">
      <c r="B279" s="52" t="s">
        <v>48</v>
      </c>
      <c r="C279" s="47" t="s">
        <v>207</v>
      </c>
      <c r="D279" s="37"/>
      <c r="E279" s="45"/>
      <c r="I279" s="39"/>
    </row>
    <row r="280" spans="2:11" hidden="1" x14ac:dyDescent="0.25">
      <c r="B280" s="52" t="s">
        <v>119</v>
      </c>
      <c r="C280" s="47" t="s">
        <v>208</v>
      </c>
      <c r="D280" s="37"/>
      <c r="E280" s="45"/>
      <c r="I280" s="39"/>
    </row>
    <row r="281" spans="2:11" hidden="1" x14ac:dyDescent="0.25"/>
    <row r="282" spans="2:11" hidden="1" x14ac:dyDescent="0.25">
      <c r="B282" t="s">
        <v>295</v>
      </c>
      <c r="C282" t="s">
        <v>296</v>
      </c>
      <c r="D282" t="s">
        <v>333</v>
      </c>
      <c r="E282" t="s">
        <v>335</v>
      </c>
    </row>
    <row r="283" spans="2:11" hidden="1" x14ac:dyDescent="0.25">
      <c r="B283" t="s">
        <v>77</v>
      </c>
      <c r="C283" s="37" t="s">
        <v>77</v>
      </c>
      <c r="D283" s="37" t="s">
        <v>312</v>
      </c>
      <c r="E283" s="37" t="str">
        <f>CONCATENATE(Table_Name28[[#This Row],[Table name]],"[Link]")</f>
        <v>Abs[Link]</v>
      </c>
    </row>
    <row r="284" spans="2:11" hidden="1" x14ac:dyDescent="0.25">
      <c r="B284" t="s">
        <v>19</v>
      </c>
      <c r="C284" s="37" t="s">
        <v>19</v>
      </c>
      <c r="D284" s="37" t="s">
        <v>313</v>
      </c>
      <c r="E284" s="37" t="str">
        <f>CONCATENATE(Table_Name28[[#This Row],[Table name]],"[Link]")</f>
        <v>Calves[Link]</v>
      </c>
    </row>
    <row r="285" spans="2:11" hidden="1" x14ac:dyDescent="0.25">
      <c r="B285" t="s">
        <v>18</v>
      </c>
      <c r="C285" s="37" t="s">
        <v>18</v>
      </c>
      <c r="D285" s="37" t="s">
        <v>314</v>
      </c>
      <c r="E285" s="37" t="str">
        <f>CONCATENATE(Table_Name28[[#This Row],[Table name]],"[Link]")</f>
        <v>Biceps[Link]</v>
      </c>
    </row>
    <row r="286" spans="2:11" hidden="1" x14ac:dyDescent="0.25">
      <c r="B286" t="s">
        <v>117</v>
      </c>
      <c r="C286" s="37" t="s">
        <v>297</v>
      </c>
      <c r="D286" s="37" t="s">
        <v>315</v>
      </c>
      <c r="E286" s="37" t="str">
        <f>CONCATENATE(Table_Name28[[#This Row],[Table name]],"[Link]")</f>
        <v>Rear_Delts[Link]</v>
      </c>
    </row>
    <row r="287" spans="2:11" hidden="1" x14ac:dyDescent="0.25">
      <c r="B287" t="s">
        <v>105</v>
      </c>
      <c r="C287" s="37" t="s">
        <v>298</v>
      </c>
      <c r="D287" s="37" t="s">
        <v>316</v>
      </c>
      <c r="E287" s="37" t="str">
        <f>CONCATENATE(Table_Name28[[#This Row],[Table name]],"[Link]")</f>
        <v>Side_Delts[Link]</v>
      </c>
    </row>
    <row r="288" spans="2:11" hidden="1" x14ac:dyDescent="0.25">
      <c r="B288" t="s">
        <v>120</v>
      </c>
      <c r="C288" s="37" t="s">
        <v>120</v>
      </c>
      <c r="D288" s="37" t="s">
        <v>317</v>
      </c>
      <c r="E288" s="37" t="str">
        <f>CONCATENATE(Table_Name28[[#This Row],[Table name]],"[Link]")</f>
        <v>Traps[Link]</v>
      </c>
    </row>
    <row r="289" spans="2:5" hidden="1" x14ac:dyDescent="0.25">
      <c r="B289" t="s">
        <v>52</v>
      </c>
      <c r="C289" s="37" t="s">
        <v>299</v>
      </c>
      <c r="D289" s="37" t="s">
        <v>318</v>
      </c>
      <c r="E289" s="37" t="str">
        <f>CONCATENATE(Table_Name28[[#This Row],[Table name]],"[Link]")</f>
        <v>Horizontal_Triceps[Link]</v>
      </c>
    </row>
    <row r="290" spans="2:5" hidden="1" x14ac:dyDescent="0.25">
      <c r="B290" t="s">
        <v>57</v>
      </c>
      <c r="C290" s="37" t="s">
        <v>300</v>
      </c>
      <c r="D290" s="37" t="s">
        <v>319</v>
      </c>
      <c r="E290" s="37" t="str">
        <f>CONCATENATE(Table_Name28[[#This Row],[Table name]],"[Link]")</f>
        <v>Vertical_Triceps[Link]</v>
      </c>
    </row>
    <row r="291" spans="2:5" hidden="1" x14ac:dyDescent="0.25">
      <c r="B291" t="s">
        <v>338</v>
      </c>
      <c r="C291" s="37" t="s">
        <v>301</v>
      </c>
      <c r="D291" s="37" t="s">
        <v>334</v>
      </c>
      <c r="E291" s="37" t="str">
        <f>CONCATENATE(Table_Name28[[#This Row],[Table name]],"[Link]")</f>
        <v>Horizonal_Back[Link]</v>
      </c>
    </row>
    <row r="292" spans="2:5" hidden="1" x14ac:dyDescent="0.25">
      <c r="B292" t="s">
        <v>339</v>
      </c>
      <c r="C292" s="37" t="s">
        <v>302</v>
      </c>
      <c r="D292" s="37" t="s">
        <v>320</v>
      </c>
      <c r="E292" s="37" t="str">
        <f>CONCATENATE(Table_Name28[[#This Row],[Table name]],"[Link]")</f>
        <v>Vertical_Back[Link]</v>
      </c>
    </row>
    <row r="293" spans="2:5" hidden="1" x14ac:dyDescent="0.25">
      <c r="B293" t="s">
        <v>20</v>
      </c>
      <c r="C293" s="37" t="s">
        <v>20</v>
      </c>
      <c r="D293" s="37" t="s">
        <v>321</v>
      </c>
      <c r="E293" s="37" t="str">
        <f>CONCATENATE(Table_Name28[[#This Row],[Table name]],"[Link]")</f>
        <v>Quads[Link]</v>
      </c>
    </row>
    <row r="294" spans="2:5" hidden="1" x14ac:dyDescent="0.25">
      <c r="B294" t="s">
        <v>108</v>
      </c>
      <c r="C294" s="37" t="s">
        <v>108</v>
      </c>
      <c r="D294" s="37" t="s">
        <v>322</v>
      </c>
      <c r="E294" s="37" t="str">
        <f>CONCATENATE(Table_Name28[[#This Row],[Table name]],"[Link]")</f>
        <v>Glutes[Link]</v>
      </c>
    </row>
    <row r="295" spans="2:5" hidden="1" x14ac:dyDescent="0.25">
      <c r="B295" t="s">
        <v>107</v>
      </c>
      <c r="C295" s="37" t="s">
        <v>303</v>
      </c>
      <c r="D295" s="37" t="s">
        <v>323</v>
      </c>
      <c r="E295" s="37" t="str">
        <f>CONCATENATE(Table_Name28[[#This Row],[Table name]],"[Link]")</f>
        <v>Hamstrings_Hip_Hinge[Link]</v>
      </c>
    </row>
    <row r="296" spans="2:5" hidden="1" x14ac:dyDescent="0.25">
      <c r="B296" t="s">
        <v>106</v>
      </c>
      <c r="C296" s="37" t="s">
        <v>304</v>
      </c>
      <c r="D296" s="37" t="s">
        <v>324</v>
      </c>
      <c r="E296" s="37" t="str">
        <f>CONCATENATE(Table_Name28[[#This Row],[Table name]],"[Link]")</f>
        <v>Hamstrings_Isolation[Link]</v>
      </c>
    </row>
    <row r="297" spans="2:5" hidden="1" x14ac:dyDescent="0.25">
      <c r="B297" t="s">
        <v>37</v>
      </c>
      <c r="C297" s="37" t="s">
        <v>305</v>
      </c>
      <c r="D297" s="37" t="s">
        <v>325</v>
      </c>
      <c r="E297" s="37" t="str">
        <f>CONCATENATE(Table_Name28[[#This Row],[Table name]],"[Link]")</f>
        <v>Chest_Isolation[Link]</v>
      </c>
    </row>
    <row r="298" spans="2:5" hidden="1" x14ac:dyDescent="0.25">
      <c r="B298" t="s">
        <v>344</v>
      </c>
      <c r="C298" s="37" t="s">
        <v>306</v>
      </c>
      <c r="D298" s="37" t="s">
        <v>326</v>
      </c>
      <c r="E298" s="37" t="str">
        <f>CONCATENATE(Table_Name28[[#This Row],[Table name]],"[Link]")</f>
        <v>Horizontal_Push[Link]</v>
      </c>
    </row>
    <row r="299" spans="2:5" hidden="1" x14ac:dyDescent="0.25">
      <c r="B299" t="s">
        <v>343</v>
      </c>
      <c r="C299" s="37" t="s">
        <v>307</v>
      </c>
      <c r="D299" s="37" t="s">
        <v>327</v>
      </c>
      <c r="E299" s="37" t="str">
        <f>CONCATENATE(Table_Name28[[#This Row],[Table name]],"[Link]")</f>
        <v>Incline_Push[Link]</v>
      </c>
    </row>
    <row r="300" spans="2:5" hidden="1" x14ac:dyDescent="0.25">
      <c r="B300" t="s">
        <v>104</v>
      </c>
      <c r="C300" s="37" t="s">
        <v>308</v>
      </c>
      <c r="D300" s="37" t="s">
        <v>328</v>
      </c>
      <c r="E300" s="37" t="str">
        <f>CONCATENATE(Table_Name28[[#This Row],[Table name]],"[Link]")</f>
        <v>Front_Delts[Link]</v>
      </c>
    </row>
    <row r="301" spans="2:5" hidden="1" x14ac:dyDescent="0.25">
      <c r="B301" t="s">
        <v>17</v>
      </c>
      <c r="C301" s="37" t="s">
        <v>17</v>
      </c>
      <c r="D301" s="37" t="s">
        <v>329</v>
      </c>
      <c r="E301" s="37" t="str">
        <f>CONCATENATE(Table_Name28[[#This Row],[Table name]],"[Link]")</f>
        <v>Triceps[Link]</v>
      </c>
    </row>
    <row r="302" spans="2:5" hidden="1" x14ac:dyDescent="0.25">
      <c r="B302" t="s">
        <v>176</v>
      </c>
      <c r="C302" s="37" t="s">
        <v>309</v>
      </c>
      <c r="D302" s="37" t="s">
        <v>330</v>
      </c>
      <c r="E302" s="37" t="str">
        <f>CONCATENATE(Table_Name28[[#This Row],[Table name]],"[Link]")</f>
        <v>Incline_Push_or_Front_Delts[Link]</v>
      </c>
    </row>
    <row r="303" spans="2:5" hidden="1" x14ac:dyDescent="0.25">
      <c r="B303" t="s">
        <v>175</v>
      </c>
      <c r="C303" s="37" t="s">
        <v>310</v>
      </c>
      <c r="D303" s="37" t="s">
        <v>331</v>
      </c>
      <c r="E303" s="37" t="str">
        <f>CONCATENATE(Table_Name28[[#This Row],[Table name]],"[Link]")</f>
        <v>Chest_Isolation_or_Triceps[Link]</v>
      </c>
    </row>
    <row r="304" spans="2:5" hidden="1" x14ac:dyDescent="0.25">
      <c r="B304" t="s">
        <v>340</v>
      </c>
      <c r="C304" s="37" t="s">
        <v>311</v>
      </c>
      <c r="D304" s="37" t="s">
        <v>332</v>
      </c>
      <c r="E304" s="37" t="str">
        <f>CONCATENATE(Table_Name28[[#This Row],[Table name]],"[Link]")</f>
        <v>Rear_or_Side_Delts[Link]</v>
      </c>
    </row>
    <row r="305" spans="2:4" hidden="1" x14ac:dyDescent="0.25"/>
    <row r="306" spans="2:4" hidden="1" x14ac:dyDescent="0.25">
      <c r="B306" s="9" t="s">
        <v>88</v>
      </c>
      <c r="C306" t="s">
        <v>294</v>
      </c>
      <c r="D306" s="9" t="s">
        <v>295</v>
      </c>
    </row>
    <row r="307" spans="2:4" hidden="1" x14ac:dyDescent="0.25">
      <c r="B307" s="37" t="s">
        <v>109</v>
      </c>
      <c r="C307" t="s">
        <v>178</v>
      </c>
      <c r="D307" t="s">
        <v>77</v>
      </c>
    </row>
    <row r="308" spans="2:4" hidden="1" x14ac:dyDescent="0.25">
      <c r="B308" s="37" t="s">
        <v>79</v>
      </c>
      <c r="C308" t="s">
        <v>179</v>
      </c>
      <c r="D308" t="s">
        <v>77</v>
      </c>
    </row>
    <row r="309" spans="2:4" hidden="1" x14ac:dyDescent="0.25">
      <c r="B309" s="37" t="s">
        <v>80</v>
      </c>
      <c r="C309" t="s">
        <v>180</v>
      </c>
      <c r="D309" t="s">
        <v>77</v>
      </c>
    </row>
    <row r="310" spans="2:4" hidden="1" x14ac:dyDescent="0.25">
      <c r="B310" s="37" t="s">
        <v>78</v>
      </c>
      <c r="C310" t="s">
        <v>181</v>
      </c>
      <c r="D310" t="s">
        <v>77</v>
      </c>
    </row>
    <row r="311" spans="2:4" hidden="1" x14ac:dyDescent="0.25">
      <c r="B311" s="39" t="s">
        <v>110</v>
      </c>
      <c r="C311" t="s">
        <v>182</v>
      </c>
      <c r="D311" t="s">
        <v>77</v>
      </c>
    </row>
    <row r="312" spans="2:4" hidden="1" x14ac:dyDescent="0.25">
      <c r="B312" s="37" t="s">
        <v>81</v>
      </c>
      <c r="C312" t="s">
        <v>183</v>
      </c>
      <c r="D312" t="s">
        <v>77</v>
      </c>
    </row>
    <row r="313" spans="2:4" hidden="1" x14ac:dyDescent="0.25">
      <c r="B313" s="37" t="s">
        <v>146</v>
      </c>
      <c r="C313" t="s">
        <v>184</v>
      </c>
      <c r="D313" t="s">
        <v>77</v>
      </c>
    </row>
    <row r="314" spans="2:4" hidden="1" x14ac:dyDescent="0.25">
      <c r="B314" s="37" t="s">
        <v>61</v>
      </c>
      <c r="C314" t="s">
        <v>189</v>
      </c>
      <c r="D314" t="s">
        <v>18</v>
      </c>
    </row>
    <row r="315" spans="2:4" hidden="1" x14ac:dyDescent="0.25">
      <c r="B315" s="37" t="s">
        <v>62</v>
      </c>
      <c r="C315" t="s">
        <v>190</v>
      </c>
      <c r="D315" t="s">
        <v>18</v>
      </c>
    </row>
    <row r="316" spans="2:4" hidden="1" x14ac:dyDescent="0.25">
      <c r="B316" s="37" t="s">
        <v>112</v>
      </c>
      <c r="C316" t="s">
        <v>191</v>
      </c>
      <c r="D316" t="s">
        <v>18</v>
      </c>
    </row>
    <row r="317" spans="2:4" hidden="1" x14ac:dyDescent="0.25">
      <c r="B317" s="37" t="s">
        <v>63</v>
      </c>
      <c r="C317" t="s">
        <v>192</v>
      </c>
      <c r="D317" t="s">
        <v>18</v>
      </c>
    </row>
    <row r="318" spans="2:4" hidden="1" x14ac:dyDescent="0.25">
      <c r="B318" s="37" t="s">
        <v>113</v>
      </c>
      <c r="C318" t="s">
        <v>193</v>
      </c>
      <c r="D318" t="s">
        <v>18</v>
      </c>
    </row>
    <row r="319" spans="2:4" hidden="1" x14ac:dyDescent="0.25">
      <c r="B319" s="37" t="s">
        <v>114</v>
      </c>
      <c r="C319" t="s">
        <v>194</v>
      </c>
      <c r="D319" t="s">
        <v>18</v>
      </c>
    </row>
    <row r="320" spans="2:4" hidden="1" x14ac:dyDescent="0.25">
      <c r="B320" s="37" t="s">
        <v>147</v>
      </c>
      <c r="C320" t="s">
        <v>195</v>
      </c>
      <c r="D320" t="s">
        <v>18</v>
      </c>
    </row>
    <row r="321" spans="2:4" hidden="1" x14ac:dyDescent="0.25">
      <c r="B321" s="37" t="s">
        <v>148</v>
      </c>
      <c r="C321" t="s">
        <v>196</v>
      </c>
      <c r="D321" t="s">
        <v>18</v>
      </c>
    </row>
    <row r="322" spans="2:4" hidden="1" x14ac:dyDescent="0.25">
      <c r="B322" s="39" t="s">
        <v>115</v>
      </c>
      <c r="C322" t="s">
        <v>197</v>
      </c>
      <c r="D322" t="s">
        <v>18</v>
      </c>
    </row>
    <row r="323" spans="2:4" hidden="1" x14ac:dyDescent="0.25">
      <c r="B323" s="37" t="s">
        <v>116</v>
      </c>
      <c r="C323" t="s">
        <v>198</v>
      </c>
      <c r="D323" t="s">
        <v>18</v>
      </c>
    </row>
    <row r="324" spans="2:4" hidden="1" x14ac:dyDescent="0.25">
      <c r="B324" s="37" t="s">
        <v>149</v>
      </c>
      <c r="C324" t="s">
        <v>199</v>
      </c>
      <c r="D324" t="s">
        <v>18</v>
      </c>
    </row>
    <row r="325" spans="2:4" hidden="1" x14ac:dyDescent="0.25">
      <c r="B325" s="37" t="s">
        <v>111</v>
      </c>
      <c r="C325" t="s">
        <v>185</v>
      </c>
      <c r="D325" t="s">
        <v>19</v>
      </c>
    </row>
    <row r="326" spans="2:4" hidden="1" x14ac:dyDescent="0.25">
      <c r="B326" s="37" t="s">
        <v>75</v>
      </c>
      <c r="C326" t="s">
        <v>186</v>
      </c>
      <c r="D326" t="s">
        <v>19</v>
      </c>
    </row>
    <row r="327" spans="2:4" hidden="1" x14ac:dyDescent="0.25">
      <c r="B327" s="37" t="s">
        <v>74</v>
      </c>
      <c r="C327" t="s">
        <v>187</v>
      </c>
      <c r="D327" t="s">
        <v>19</v>
      </c>
    </row>
    <row r="328" spans="2:4" hidden="1" x14ac:dyDescent="0.25">
      <c r="B328" s="37" t="s">
        <v>76</v>
      </c>
      <c r="C328" t="s">
        <v>188</v>
      </c>
      <c r="D328" t="s">
        <v>19</v>
      </c>
    </row>
    <row r="329" spans="2:4" hidden="1" x14ac:dyDescent="0.25">
      <c r="B329" s="37" t="s">
        <v>138</v>
      </c>
      <c r="C329" t="s">
        <v>268</v>
      </c>
      <c r="D329" t="s">
        <v>37</v>
      </c>
    </row>
    <row r="330" spans="2:4" hidden="1" x14ac:dyDescent="0.25">
      <c r="B330" s="37" t="s">
        <v>38</v>
      </c>
      <c r="C330" t="s">
        <v>269</v>
      </c>
      <c r="D330" t="s">
        <v>37</v>
      </c>
    </row>
    <row r="331" spans="2:4" hidden="1" x14ac:dyDescent="0.25">
      <c r="B331" s="37" t="s">
        <v>39</v>
      </c>
      <c r="C331" t="s">
        <v>270</v>
      </c>
      <c r="D331" t="s">
        <v>37</v>
      </c>
    </row>
    <row r="332" spans="2:4" hidden="1" x14ac:dyDescent="0.25">
      <c r="B332" s="37" t="s">
        <v>139</v>
      </c>
      <c r="C332" t="s">
        <v>271</v>
      </c>
      <c r="D332" t="s">
        <v>37</v>
      </c>
    </row>
    <row r="333" spans="2:4" hidden="1" x14ac:dyDescent="0.25">
      <c r="B333" s="37" t="s">
        <v>40</v>
      </c>
      <c r="C333" t="s">
        <v>272</v>
      </c>
      <c r="D333" t="s">
        <v>37</v>
      </c>
    </row>
    <row r="334" spans="2:4" hidden="1" x14ac:dyDescent="0.25">
      <c r="B334" s="37" t="s">
        <v>140</v>
      </c>
      <c r="C334" t="s">
        <v>273</v>
      </c>
      <c r="D334" t="s">
        <v>37</v>
      </c>
    </row>
    <row r="335" spans="2:4" hidden="1" x14ac:dyDescent="0.25">
      <c r="B335" s="37" t="s">
        <v>141</v>
      </c>
      <c r="C335" t="s">
        <v>274</v>
      </c>
      <c r="D335" t="s">
        <v>37</v>
      </c>
    </row>
    <row r="336" spans="2:4" hidden="1" x14ac:dyDescent="0.25">
      <c r="B336" s="37" t="s">
        <v>138</v>
      </c>
      <c r="C336" t="s">
        <v>268</v>
      </c>
      <c r="D336" t="s">
        <v>175</v>
      </c>
    </row>
    <row r="337" spans="2:4" hidden="1" x14ac:dyDescent="0.25">
      <c r="B337" s="37" t="s">
        <v>152</v>
      </c>
      <c r="C337" t="s">
        <v>213</v>
      </c>
      <c r="D337" t="s">
        <v>175</v>
      </c>
    </row>
    <row r="338" spans="2:4" hidden="1" x14ac:dyDescent="0.25">
      <c r="B338" s="37" t="s">
        <v>38</v>
      </c>
      <c r="C338" t="s">
        <v>269</v>
      </c>
      <c r="D338" t="s">
        <v>175</v>
      </c>
    </row>
    <row r="339" spans="2:4" hidden="1" x14ac:dyDescent="0.25">
      <c r="B339" s="37" t="s">
        <v>59</v>
      </c>
      <c r="C339" t="s">
        <v>221</v>
      </c>
      <c r="D339" t="s">
        <v>175</v>
      </c>
    </row>
    <row r="340" spans="2:4" hidden="1" x14ac:dyDescent="0.25">
      <c r="B340" s="37" t="s">
        <v>39</v>
      </c>
      <c r="C340" t="s">
        <v>270</v>
      </c>
      <c r="D340" t="s">
        <v>175</v>
      </c>
    </row>
    <row r="341" spans="2:4" hidden="1" x14ac:dyDescent="0.25">
      <c r="B341" s="37" t="s">
        <v>124</v>
      </c>
      <c r="C341" t="s">
        <v>214</v>
      </c>
      <c r="D341" t="s">
        <v>175</v>
      </c>
    </row>
    <row r="342" spans="2:4" hidden="1" x14ac:dyDescent="0.25">
      <c r="B342" s="37" t="s">
        <v>139</v>
      </c>
      <c r="C342" t="s">
        <v>271</v>
      </c>
      <c r="D342" t="s">
        <v>175</v>
      </c>
    </row>
    <row r="343" spans="2:4" hidden="1" x14ac:dyDescent="0.25">
      <c r="B343" s="37" t="s">
        <v>58</v>
      </c>
      <c r="C343" t="s">
        <v>222</v>
      </c>
      <c r="D343" t="s">
        <v>175</v>
      </c>
    </row>
    <row r="344" spans="2:4" hidden="1" x14ac:dyDescent="0.25">
      <c r="B344" s="37" t="s">
        <v>40</v>
      </c>
      <c r="C344" t="s">
        <v>272</v>
      </c>
      <c r="D344" t="s">
        <v>175</v>
      </c>
    </row>
    <row r="345" spans="2:4" hidden="1" x14ac:dyDescent="0.25">
      <c r="B345" s="37" t="s">
        <v>56</v>
      </c>
      <c r="C345" t="s">
        <v>215</v>
      </c>
      <c r="D345" t="s">
        <v>175</v>
      </c>
    </row>
    <row r="346" spans="2:4" hidden="1" x14ac:dyDescent="0.25">
      <c r="B346" s="37" t="s">
        <v>140</v>
      </c>
      <c r="C346" t="s">
        <v>273</v>
      </c>
      <c r="D346" t="s">
        <v>175</v>
      </c>
    </row>
    <row r="347" spans="2:4" hidden="1" x14ac:dyDescent="0.25">
      <c r="B347" s="37" t="s">
        <v>154</v>
      </c>
      <c r="C347" t="s">
        <v>223</v>
      </c>
      <c r="D347" t="s">
        <v>175</v>
      </c>
    </row>
    <row r="348" spans="2:4" hidden="1" x14ac:dyDescent="0.25">
      <c r="B348" s="37" t="s">
        <v>141</v>
      </c>
      <c r="C348" t="s">
        <v>274</v>
      </c>
      <c r="D348" t="s">
        <v>175</v>
      </c>
    </row>
    <row r="349" spans="2:4" hidden="1" x14ac:dyDescent="0.25">
      <c r="B349" s="37" t="s">
        <v>55</v>
      </c>
      <c r="C349" t="s">
        <v>216</v>
      </c>
      <c r="D349" t="s">
        <v>175</v>
      </c>
    </row>
    <row r="350" spans="2:4" hidden="1" x14ac:dyDescent="0.25">
      <c r="B350" s="37" t="s">
        <v>155</v>
      </c>
      <c r="C350" t="s">
        <v>224</v>
      </c>
      <c r="D350" t="s">
        <v>175</v>
      </c>
    </row>
    <row r="351" spans="2:4" hidden="1" x14ac:dyDescent="0.25">
      <c r="B351" s="37" t="s">
        <v>153</v>
      </c>
      <c r="C351" t="s">
        <v>217</v>
      </c>
      <c r="D351" t="s">
        <v>175</v>
      </c>
    </row>
    <row r="352" spans="2:4" hidden="1" x14ac:dyDescent="0.25">
      <c r="B352" s="37" t="s">
        <v>60</v>
      </c>
      <c r="C352" t="s">
        <v>225</v>
      </c>
      <c r="D352" t="s">
        <v>175</v>
      </c>
    </row>
    <row r="353" spans="2:4" hidden="1" x14ac:dyDescent="0.25">
      <c r="B353" s="37" t="s">
        <v>53</v>
      </c>
      <c r="C353" t="s">
        <v>218</v>
      </c>
      <c r="D353" t="s">
        <v>175</v>
      </c>
    </row>
    <row r="354" spans="2:4" hidden="1" x14ac:dyDescent="0.25">
      <c r="B354" s="37" t="s">
        <v>125</v>
      </c>
      <c r="C354" t="s">
        <v>219</v>
      </c>
      <c r="D354" t="s">
        <v>175</v>
      </c>
    </row>
    <row r="355" spans="2:4" hidden="1" x14ac:dyDescent="0.25">
      <c r="B355" s="37" t="s">
        <v>54</v>
      </c>
      <c r="C355" t="s">
        <v>220</v>
      </c>
      <c r="D355" t="s">
        <v>175</v>
      </c>
    </row>
    <row r="356" spans="2:4" hidden="1" x14ac:dyDescent="0.25">
      <c r="B356" s="37" t="s">
        <v>32</v>
      </c>
      <c r="C356" t="s">
        <v>288</v>
      </c>
      <c r="D356" t="s">
        <v>104</v>
      </c>
    </row>
    <row r="357" spans="2:4" hidden="1" x14ac:dyDescent="0.25">
      <c r="B357" s="37" t="s">
        <v>34</v>
      </c>
      <c r="C357" t="s">
        <v>289</v>
      </c>
      <c r="D357" t="s">
        <v>104</v>
      </c>
    </row>
    <row r="358" spans="2:4" hidden="1" x14ac:dyDescent="0.25">
      <c r="B358" s="37" t="s">
        <v>35</v>
      </c>
      <c r="C358" t="s">
        <v>290</v>
      </c>
      <c r="D358" t="s">
        <v>104</v>
      </c>
    </row>
    <row r="359" spans="2:4" hidden="1" x14ac:dyDescent="0.25">
      <c r="B359" s="37" t="s">
        <v>174</v>
      </c>
      <c r="C359" t="s">
        <v>291</v>
      </c>
      <c r="D359" t="s">
        <v>104</v>
      </c>
    </row>
    <row r="360" spans="2:4" hidden="1" x14ac:dyDescent="0.25">
      <c r="B360" s="13" t="s">
        <v>145</v>
      </c>
      <c r="C360" t="s">
        <v>292</v>
      </c>
      <c r="D360" t="s">
        <v>104</v>
      </c>
    </row>
    <row r="361" spans="2:4" hidden="1" x14ac:dyDescent="0.25">
      <c r="B361" s="37" t="s">
        <v>33</v>
      </c>
      <c r="C361" t="s">
        <v>293</v>
      </c>
      <c r="D361" t="s">
        <v>104</v>
      </c>
    </row>
    <row r="362" spans="2:4" hidden="1" x14ac:dyDescent="0.25">
      <c r="B362" s="37" t="s">
        <v>66</v>
      </c>
      <c r="C362" t="s">
        <v>253</v>
      </c>
      <c r="D362" t="s">
        <v>108</v>
      </c>
    </row>
    <row r="363" spans="2:4" hidden="1" x14ac:dyDescent="0.25">
      <c r="B363" s="37" t="s">
        <v>67</v>
      </c>
      <c r="C363" t="s">
        <v>254</v>
      </c>
      <c r="D363" t="s">
        <v>108</v>
      </c>
    </row>
    <row r="364" spans="2:4" hidden="1" x14ac:dyDescent="0.25">
      <c r="B364" s="37" t="s">
        <v>133</v>
      </c>
      <c r="C364" t="s">
        <v>255</v>
      </c>
      <c r="D364" t="s">
        <v>108</v>
      </c>
    </row>
    <row r="365" spans="2:4" hidden="1" x14ac:dyDescent="0.25">
      <c r="B365" s="37" t="s">
        <v>170</v>
      </c>
      <c r="C365" t="s">
        <v>256</v>
      </c>
      <c r="D365" t="s">
        <v>108</v>
      </c>
    </row>
    <row r="366" spans="2:4" hidden="1" x14ac:dyDescent="0.25">
      <c r="B366" s="37" t="s">
        <v>70</v>
      </c>
      <c r="C366" t="s">
        <v>257</v>
      </c>
      <c r="D366" t="s">
        <v>108</v>
      </c>
    </row>
    <row r="367" spans="2:4" hidden="1" x14ac:dyDescent="0.25">
      <c r="B367" s="37" t="s">
        <v>69</v>
      </c>
      <c r="C367" t="s">
        <v>258</v>
      </c>
      <c r="D367" t="s">
        <v>108</v>
      </c>
    </row>
    <row r="368" spans="2:4" hidden="1" x14ac:dyDescent="0.25">
      <c r="B368" s="37" t="s">
        <v>134</v>
      </c>
      <c r="C368" t="s">
        <v>259</v>
      </c>
      <c r="D368" t="s">
        <v>108</v>
      </c>
    </row>
    <row r="369" spans="2:4" hidden="1" x14ac:dyDescent="0.25">
      <c r="B369" s="37" t="s">
        <v>171</v>
      </c>
      <c r="C369" t="s">
        <v>260</v>
      </c>
      <c r="D369" t="s">
        <v>108</v>
      </c>
    </row>
    <row r="370" spans="2:4" hidden="1" x14ac:dyDescent="0.25">
      <c r="B370" s="37" t="s">
        <v>135</v>
      </c>
      <c r="C370" t="s">
        <v>261</v>
      </c>
      <c r="D370" t="s">
        <v>107</v>
      </c>
    </row>
    <row r="371" spans="2:4" hidden="1" x14ac:dyDescent="0.25">
      <c r="B371" s="37" t="s">
        <v>71</v>
      </c>
      <c r="C371" t="s">
        <v>262</v>
      </c>
      <c r="D371" t="s">
        <v>107</v>
      </c>
    </row>
    <row r="372" spans="2:4" hidden="1" x14ac:dyDescent="0.25">
      <c r="B372" s="37" t="s">
        <v>72</v>
      </c>
      <c r="C372" t="s">
        <v>263</v>
      </c>
      <c r="D372" t="s">
        <v>107</v>
      </c>
    </row>
    <row r="373" spans="2:4" hidden="1" x14ac:dyDescent="0.25">
      <c r="B373" s="37" t="s">
        <v>136</v>
      </c>
      <c r="C373" t="s">
        <v>264</v>
      </c>
      <c r="D373" t="s">
        <v>107</v>
      </c>
    </row>
    <row r="374" spans="2:4" hidden="1" x14ac:dyDescent="0.25">
      <c r="B374" s="37" t="s">
        <v>172</v>
      </c>
      <c r="C374" t="s">
        <v>265</v>
      </c>
      <c r="D374" t="s">
        <v>106</v>
      </c>
    </row>
    <row r="375" spans="2:4" hidden="1" x14ac:dyDescent="0.25">
      <c r="B375" s="37" t="s">
        <v>73</v>
      </c>
      <c r="C375" t="s">
        <v>266</v>
      </c>
      <c r="D375" t="s">
        <v>106</v>
      </c>
    </row>
    <row r="376" spans="2:4" hidden="1" x14ac:dyDescent="0.25">
      <c r="B376" s="37" t="s">
        <v>137</v>
      </c>
      <c r="C376" t="s">
        <v>267</v>
      </c>
      <c r="D376" t="s">
        <v>106</v>
      </c>
    </row>
    <row r="377" spans="2:4" hidden="1" x14ac:dyDescent="0.25">
      <c r="B377" s="37" t="s">
        <v>156</v>
      </c>
      <c r="C377" t="s">
        <v>226</v>
      </c>
      <c r="D377" t="s">
        <v>126</v>
      </c>
    </row>
    <row r="378" spans="2:4" hidden="1" x14ac:dyDescent="0.25">
      <c r="B378" s="37" t="s">
        <v>157</v>
      </c>
      <c r="C378" t="s">
        <v>227</v>
      </c>
      <c r="D378" t="s">
        <v>126</v>
      </c>
    </row>
    <row r="379" spans="2:4" hidden="1" x14ac:dyDescent="0.25">
      <c r="B379" s="37" t="s">
        <v>158</v>
      </c>
      <c r="C379" t="s">
        <v>228</v>
      </c>
      <c r="D379" t="s">
        <v>126</v>
      </c>
    </row>
    <row r="380" spans="2:4" hidden="1" x14ac:dyDescent="0.25">
      <c r="B380" s="37" t="s">
        <v>42</v>
      </c>
      <c r="C380" t="s">
        <v>229</v>
      </c>
      <c r="D380" t="s">
        <v>126</v>
      </c>
    </row>
    <row r="381" spans="2:4" hidden="1" x14ac:dyDescent="0.25">
      <c r="B381" s="37" t="s">
        <v>127</v>
      </c>
      <c r="C381" t="s">
        <v>230</v>
      </c>
      <c r="D381" t="s">
        <v>126</v>
      </c>
    </row>
    <row r="382" spans="2:4" hidden="1" x14ac:dyDescent="0.25">
      <c r="B382" s="37" t="s">
        <v>128</v>
      </c>
      <c r="C382" t="s">
        <v>231</v>
      </c>
      <c r="D382" t="s">
        <v>126</v>
      </c>
    </row>
    <row r="383" spans="2:4" hidden="1" x14ac:dyDescent="0.25">
      <c r="B383" s="37" t="s">
        <v>41</v>
      </c>
      <c r="C383" t="s">
        <v>232</v>
      </c>
      <c r="D383" t="s">
        <v>126</v>
      </c>
    </row>
    <row r="384" spans="2:4" hidden="1" x14ac:dyDescent="0.25">
      <c r="B384" s="37" t="s">
        <v>129</v>
      </c>
      <c r="C384" t="s">
        <v>233</v>
      </c>
      <c r="D384" t="s">
        <v>126</v>
      </c>
    </row>
    <row r="385" spans="2:4" hidden="1" x14ac:dyDescent="0.25">
      <c r="B385" s="37" t="s">
        <v>23</v>
      </c>
      <c r="C385" t="s">
        <v>275</v>
      </c>
      <c r="D385" t="s">
        <v>22</v>
      </c>
    </row>
    <row r="386" spans="2:4" hidden="1" x14ac:dyDescent="0.25">
      <c r="B386" s="37" t="s">
        <v>25</v>
      </c>
      <c r="C386" t="s">
        <v>276</v>
      </c>
      <c r="D386" t="s">
        <v>22</v>
      </c>
    </row>
    <row r="387" spans="2:4" hidden="1" x14ac:dyDescent="0.25">
      <c r="B387" s="37" t="s">
        <v>142</v>
      </c>
      <c r="C387" t="s">
        <v>277</v>
      </c>
      <c r="D387" t="s">
        <v>22</v>
      </c>
    </row>
    <row r="388" spans="2:4" hidden="1" x14ac:dyDescent="0.25">
      <c r="B388" s="37" t="s">
        <v>24</v>
      </c>
      <c r="C388" t="s">
        <v>278</v>
      </c>
      <c r="D388" t="s">
        <v>22</v>
      </c>
    </row>
    <row r="389" spans="2:4" hidden="1" x14ac:dyDescent="0.25">
      <c r="B389" s="13" t="s">
        <v>173</v>
      </c>
      <c r="C389" t="s">
        <v>279</v>
      </c>
      <c r="D389" t="s">
        <v>22</v>
      </c>
    </row>
    <row r="390" spans="2:4" hidden="1" x14ac:dyDescent="0.25">
      <c r="B390" s="37" t="s">
        <v>26</v>
      </c>
      <c r="C390" t="s">
        <v>280</v>
      </c>
      <c r="D390" t="s">
        <v>22</v>
      </c>
    </row>
    <row r="391" spans="2:4" hidden="1" x14ac:dyDescent="0.25">
      <c r="B391" s="37" t="s">
        <v>27</v>
      </c>
      <c r="C391" t="s">
        <v>281</v>
      </c>
      <c r="D391" t="s">
        <v>22</v>
      </c>
    </row>
    <row r="392" spans="2:4" hidden="1" x14ac:dyDescent="0.25">
      <c r="B392" s="37" t="s">
        <v>152</v>
      </c>
      <c r="C392" t="s">
        <v>213</v>
      </c>
      <c r="D392" t="s">
        <v>52</v>
      </c>
    </row>
    <row r="393" spans="2:4" hidden="1" x14ac:dyDescent="0.25">
      <c r="B393" s="37" t="s">
        <v>124</v>
      </c>
      <c r="C393" t="s">
        <v>214</v>
      </c>
      <c r="D393" t="s">
        <v>52</v>
      </c>
    </row>
    <row r="394" spans="2:4" hidden="1" x14ac:dyDescent="0.25">
      <c r="B394" s="37" t="s">
        <v>56</v>
      </c>
      <c r="C394" t="s">
        <v>215</v>
      </c>
      <c r="D394" t="s">
        <v>52</v>
      </c>
    </row>
    <row r="395" spans="2:4" hidden="1" x14ac:dyDescent="0.25">
      <c r="B395" s="37" t="s">
        <v>55</v>
      </c>
      <c r="C395" t="s">
        <v>216</v>
      </c>
      <c r="D395" t="s">
        <v>52</v>
      </c>
    </row>
    <row r="396" spans="2:4" hidden="1" x14ac:dyDescent="0.25">
      <c r="B396" s="37" t="s">
        <v>153</v>
      </c>
      <c r="C396" t="s">
        <v>217</v>
      </c>
      <c r="D396" t="s">
        <v>52</v>
      </c>
    </row>
    <row r="397" spans="2:4" hidden="1" x14ac:dyDescent="0.25">
      <c r="B397" s="37" t="s">
        <v>53</v>
      </c>
      <c r="C397" t="s">
        <v>218</v>
      </c>
      <c r="D397" t="s">
        <v>52</v>
      </c>
    </row>
    <row r="398" spans="2:4" hidden="1" x14ac:dyDescent="0.25">
      <c r="B398" s="37" t="s">
        <v>125</v>
      </c>
      <c r="C398" t="s">
        <v>219</v>
      </c>
      <c r="D398" t="s">
        <v>52</v>
      </c>
    </row>
    <row r="399" spans="2:4" hidden="1" x14ac:dyDescent="0.25">
      <c r="B399" s="37" t="s">
        <v>54</v>
      </c>
      <c r="C399" t="s">
        <v>220</v>
      </c>
      <c r="D399" t="s">
        <v>52</v>
      </c>
    </row>
    <row r="400" spans="2:4" hidden="1" x14ac:dyDescent="0.25">
      <c r="B400" s="39" t="s">
        <v>29</v>
      </c>
      <c r="C400" t="s">
        <v>282</v>
      </c>
      <c r="D400" t="s">
        <v>143</v>
      </c>
    </row>
    <row r="401" spans="2:4" hidden="1" x14ac:dyDescent="0.25">
      <c r="B401" s="37" t="s">
        <v>31</v>
      </c>
      <c r="C401" t="s">
        <v>283</v>
      </c>
      <c r="D401" t="s">
        <v>143</v>
      </c>
    </row>
    <row r="402" spans="2:4" hidden="1" x14ac:dyDescent="0.25">
      <c r="B402" s="37" t="s">
        <v>28</v>
      </c>
      <c r="C402" t="s">
        <v>284</v>
      </c>
      <c r="D402" t="s">
        <v>143</v>
      </c>
    </row>
    <row r="403" spans="2:4" hidden="1" x14ac:dyDescent="0.25">
      <c r="B403" s="37" t="s">
        <v>36</v>
      </c>
      <c r="C403" t="s">
        <v>285</v>
      </c>
      <c r="D403" t="s">
        <v>143</v>
      </c>
    </row>
    <row r="404" spans="2:4" hidden="1" x14ac:dyDescent="0.25">
      <c r="B404" s="37" t="s">
        <v>30</v>
      </c>
      <c r="C404" t="s">
        <v>286</v>
      </c>
      <c r="D404" t="s">
        <v>143</v>
      </c>
    </row>
    <row r="405" spans="2:4" hidden="1" x14ac:dyDescent="0.25">
      <c r="B405" s="13" t="s">
        <v>144</v>
      </c>
      <c r="C405" t="s">
        <v>287</v>
      </c>
      <c r="D405" t="s">
        <v>143</v>
      </c>
    </row>
    <row r="406" spans="2:4" hidden="1" x14ac:dyDescent="0.25">
      <c r="B406" s="39" t="s">
        <v>29</v>
      </c>
      <c r="C406" t="s">
        <v>282</v>
      </c>
      <c r="D406" t="s">
        <v>176</v>
      </c>
    </row>
    <row r="407" spans="2:4" hidden="1" x14ac:dyDescent="0.25">
      <c r="B407" s="37" t="s">
        <v>32</v>
      </c>
      <c r="C407" t="s">
        <v>288</v>
      </c>
      <c r="D407" t="s">
        <v>176</v>
      </c>
    </row>
    <row r="408" spans="2:4" hidden="1" x14ac:dyDescent="0.25">
      <c r="B408" s="37" t="s">
        <v>31</v>
      </c>
      <c r="C408" t="s">
        <v>283</v>
      </c>
      <c r="D408" t="s">
        <v>176</v>
      </c>
    </row>
    <row r="409" spans="2:4" hidden="1" x14ac:dyDescent="0.25">
      <c r="B409" s="37" t="s">
        <v>34</v>
      </c>
      <c r="C409" t="s">
        <v>289</v>
      </c>
      <c r="D409" t="s">
        <v>176</v>
      </c>
    </row>
    <row r="410" spans="2:4" hidden="1" x14ac:dyDescent="0.25">
      <c r="B410" s="37" t="s">
        <v>28</v>
      </c>
      <c r="C410" t="s">
        <v>284</v>
      </c>
      <c r="D410" t="s">
        <v>176</v>
      </c>
    </row>
    <row r="411" spans="2:4" hidden="1" x14ac:dyDescent="0.25">
      <c r="B411" s="37" t="s">
        <v>35</v>
      </c>
      <c r="C411" t="s">
        <v>290</v>
      </c>
      <c r="D411" t="s">
        <v>176</v>
      </c>
    </row>
    <row r="412" spans="2:4" hidden="1" x14ac:dyDescent="0.25">
      <c r="B412" s="37" t="s">
        <v>36</v>
      </c>
      <c r="C412" t="s">
        <v>285</v>
      </c>
      <c r="D412" t="s">
        <v>176</v>
      </c>
    </row>
    <row r="413" spans="2:4" hidden="1" x14ac:dyDescent="0.25">
      <c r="B413" s="37" t="s">
        <v>174</v>
      </c>
      <c r="C413" t="s">
        <v>291</v>
      </c>
      <c r="D413" t="s">
        <v>176</v>
      </c>
    </row>
    <row r="414" spans="2:4" hidden="1" x14ac:dyDescent="0.25">
      <c r="B414" s="37" t="s">
        <v>30</v>
      </c>
      <c r="C414" t="s">
        <v>286</v>
      </c>
      <c r="D414" t="s">
        <v>176</v>
      </c>
    </row>
    <row r="415" spans="2:4" hidden="1" x14ac:dyDescent="0.25">
      <c r="B415" s="13" t="s">
        <v>145</v>
      </c>
      <c r="C415" t="s">
        <v>292</v>
      </c>
      <c r="D415" t="s">
        <v>176</v>
      </c>
    </row>
    <row r="416" spans="2:4" hidden="1" x14ac:dyDescent="0.25">
      <c r="B416" s="13" t="s">
        <v>144</v>
      </c>
      <c r="C416" t="s">
        <v>287</v>
      </c>
      <c r="D416" t="s">
        <v>176</v>
      </c>
    </row>
    <row r="417" spans="2:4" hidden="1" x14ac:dyDescent="0.25">
      <c r="B417" s="37" t="s">
        <v>33</v>
      </c>
      <c r="C417" t="s">
        <v>293</v>
      </c>
      <c r="D417" t="s">
        <v>176</v>
      </c>
    </row>
    <row r="418" spans="2:4" hidden="1" x14ac:dyDescent="0.25">
      <c r="B418" s="37" t="s">
        <v>64</v>
      </c>
      <c r="C418" t="s">
        <v>246</v>
      </c>
      <c r="D418" t="s">
        <v>20</v>
      </c>
    </row>
    <row r="419" spans="2:4" hidden="1" x14ac:dyDescent="0.25">
      <c r="B419" s="37" t="s">
        <v>167</v>
      </c>
      <c r="C419" t="s">
        <v>247</v>
      </c>
      <c r="D419" t="s">
        <v>20</v>
      </c>
    </row>
    <row r="420" spans="2:4" hidden="1" x14ac:dyDescent="0.25">
      <c r="B420" s="37" t="s">
        <v>168</v>
      </c>
      <c r="C420" t="s">
        <v>248</v>
      </c>
      <c r="D420" t="s">
        <v>20</v>
      </c>
    </row>
    <row r="421" spans="2:4" hidden="1" x14ac:dyDescent="0.25">
      <c r="B421" s="37" t="s">
        <v>65</v>
      </c>
      <c r="C421" t="s">
        <v>249</v>
      </c>
      <c r="D421" t="s">
        <v>20</v>
      </c>
    </row>
    <row r="422" spans="2:4" hidden="1" x14ac:dyDescent="0.25">
      <c r="B422" s="37" t="s">
        <v>132</v>
      </c>
      <c r="C422" t="s">
        <v>250</v>
      </c>
      <c r="D422" t="s">
        <v>20</v>
      </c>
    </row>
    <row r="423" spans="2:4" hidden="1" x14ac:dyDescent="0.25">
      <c r="B423" s="37" t="s">
        <v>68</v>
      </c>
      <c r="C423" t="s">
        <v>251</v>
      </c>
      <c r="D423" t="s">
        <v>20</v>
      </c>
    </row>
    <row r="424" spans="2:4" hidden="1" x14ac:dyDescent="0.25">
      <c r="B424" s="37" t="s">
        <v>169</v>
      </c>
      <c r="C424" t="s">
        <v>252</v>
      </c>
      <c r="D424" t="s">
        <v>20</v>
      </c>
    </row>
    <row r="425" spans="2:4" hidden="1" x14ac:dyDescent="0.25">
      <c r="B425" s="37" t="s">
        <v>51</v>
      </c>
      <c r="C425" t="s">
        <v>200</v>
      </c>
      <c r="D425" t="s">
        <v>117</v>
      </c>
    </row>
    <row r="426" spans="2:4" hidden="1" x14ac:dyDescent="0.25">
      <c r="B426" s="37" t="s">
        <v>118</v>
      </c>
      <c r="C426" t="s">
        <v>201</v>
      </c>
      <c r="D426" t="s">
        <v>117</v>
      </c>
    </row>
    <row r="427" spans="2:4" hidden="1" x14ac:dyDescent="0.25">
      <c r="B427" s="37" t="s">
        <v>150</v>
      </c>
      <c r="C427" t="s">
        <v>202</v>
      </c>
      <c r="D427" t="s">
        <v>117</v>
      </c>
    </row>
    <row r="428" spans="2:4" hidden="1" x14ac:dyDescent="0.25">
      <c r="B428" s="37" t="s">
        <v>50</v>
      </c>
      <c r="C428" t="s">
        <v>203</v>
      </c>
      <c r="D428" t="s">
        <v>117</v>
      </c>
    </row>
    <row r="429" spans="2:4" hidden="1" x14ac:dyDescent="0.25">
      <c r="B429" s="37" t="s">
        <v>51</v>
      </c>
      <c r="C429" t="s">
        <v>200</v>
      </c>
      <c r="D429" t="s">
        <v>177</v>
      </c>
    </row>
    <row r="430" spans="2:4" hidden="1" x14ac:dyDescent="0.25">
      <c r="B430" s="37" t="s">
        <v>46</v>
      </c>
      <c r="C430" t="s">
        <v>204</v>
      </c>
      <c r="D430" t="s">
        <v>177</v>
      </c>
    </row>
    <row r="431" spans="2:4" hidden="1" x14ac:dyDescent="0.25">
      <c r="B431" s="37" t="s">
        <v>118</v>
      </c>
      <c r="C431" t="s">
        <v>201</v>
      </c>
      <c r="D431" t="s">
        <v>177</v>
      </c>
    </row>
    <row r="432" spans="2:4" hidden="1" x14ac:dyDescent="0.25">
      <c r="B432" s="37" t="s">
        <v>47</v>
      </c>
      <c r="C432" t="s">
        <v>205</v>
      </c>
      <c r="D432" t="s">
        <v>177</v>
      </c>
    </row>
    <row r="433" spans="2:4" hidden="1" x14ac:dyDescent="0.25">
      <c r="B433" s="37" t="s">
        <v>150</v>
      </c>
      <c r="C433" t="s">
        <v>202</v>
      </c>
      <c r="D433" t="s">
        <v>177</v>
      </c>
    </row>
    <row r="434" spans="2:4" hidden="1" x14ac:dyDescent="0.25">
      <c r="B434" s="37" t="s">
        <v>49</v>
      </c>
      <c r="C434" t="s">
        <v>206</v>
      </c>
      <c r="D434" t="s">
        <v>177</v>
      </c>
    </row>
    <row r="435" spans="2:4" hidden="1" x14ac:dyDescent="0.25">
      <c r="B435" s="37" t="s">
        <v>50</v>
      </c>
      <c r="C435" t="s">
        <v>203</v>
      </c>
      <c r="D435" t="s">
        <v>177</v>
      </c>
    </row>
    <row r="436" spans="2:4" hidden="1" x14ac:dyDescent="0.25">
      <c r="B436" s="37" t="s">
        <v>48</v>
      </c>
      <c r="C436" t="s">
        <v>207</v>
      </c>
      <c r="D436" t="s">
        <v>177</v>
      </c>
    </row>
    <row r="437" spans="2:4" hidden="1" x14ac:dyDescent="0.25">
      <c r="B437" s="37" t="s">
        <v>119</v>
      </c>
      <c r="C437" t="s">
        <v>208</v>
      </c>
      <c r="D437" t="s">
        <v>177</v>
      </c>
    </row>
    <row r="438" spans="2:4" hidden="1" x14ac:dyDescent="0.25">
      <c r="B438" s="37" t="s">
        <v>46</v>
      </c>
      <c r="C438" t="s">
        <v>204</v>
      </c>
      <c r="D438" s="38" t="s">
        <v>105</v>
      </c>
    </row>
    <row r="439" spans="2:4" hidden="1" x14ac:dyDescent="0.25">
      <c r="B439" s="37" t="s">
        <v>47</v>
      </c>
      <c r="C439" t="s">
        <v>205</v>
      </c>
      <c r="D439" s="38" t="s">
        <v>105</v>
      </c>
    </row>
    <row r="440" spans="2:4" hidden="1" x14ac:dyDescent="0.25">
      <c r="B440" s="37" t="s">
        <v>49</v>
      </c>
      <c r="C440" t="s">
        <v>206</v>
      </c>
      <c r="D440" s="38" t="s">
        <v>105</v>
      </c>
    </row>
    <row r="441" spans="2:4" hidden="1" x14ac:dyDescent="0.25">
      <c r="B441" s="37" t="s">
        <v>48</v>
      </c>
      <c r="C441" t="s">
        <v>207</v>
      </c>
      <c r="D441" s="38" t="s">
        <v>105</v>
      </c>
    </row>
    <row r="442" spans="2:4" hidden="1" x14ac:dyDescent="0.25">
      <c r="B442" s="37" t="s">
        <v>119</v>
      </c>
      <c r="C442" t="s">
        <v>208</v>
      </c>
      <c r="D442" s="38" t="s">
        <v>105</v>
      </c>
    </row>
    <row r="443" spans="2:4" hidden="1" x14ac:dyDescent="0.25">
      <c r="B443" s="37" t="s">
        <v>151</v>
      </c>
      <c r="C443" t="s">
        <v>209</v>
      </c>
      <c r="D443" t="s">
        <v>120</v>
      </c>
    </row>
    <row r="444" spans="2:4" hidden="1" x14ac:dyDescent="0.25">
      <c r="B444" s="37" t="s">
        <v>121</v>
      </c>
      <c r="C444" t="s">
        <v>210</v>
      </c>
      <c r="D444" t="s">
        <v>120</v>
      </c>
    </row>
    <row r="445" spans="2:4" hidden="1" x14ac:dyDescent="0.25">
      <c r="B445" s="37" t="s">
        <v>122</v>
      </c>
      <c r="C445" t="s">
        <v>211</v>
      </c>
      <c r="D445" t="s">
        <v>120</v>
      </c>
    </row>
    <row r="446" spans="2:4" hidden="1" x14ac:dyDescent="0.25">
      <c r="B446" s="37" t="s">
        <v>123</v>
      </c>
      <c r="C446" t="s">
        <v>212</v>
      </c>
      <c r="D446" t="s">
        <v>120</v>
      </c>
    </row>
    <row r="447" spans="2:4" hidden="1" x14ac:dyDescent="0.25">
      <c r="B447" s="37" t="s">
        <v>152</v>
      </c>
      <c r="C447" t="s">
        <v>213</v>
      </c>
      <c r="D447" t="s">
        <v>17</v>
      </c>
    </row>
    <row r="448" spans="2:4" hidden="1" x14ac:dyDescent="0.25">
      <c r="B448" s="37" t="s">
        <v>59</v>
      </c>
      <c r="C448" t="s">
        <v>221</v>
      </c>
      <c r="D448" t="s">
        <v>17</v>
      </c>
    </row>
    <row r="449" spans="2:4" hidden="1" x14ac:dyDescent="0.25">
      <c r="B449" s="37" t="s">
        <v>124</v>
      </c>
      <c r="C449" t="s">
        <v>214</v>
      </c>
      <c r="D449" t="s">
        <v>17</v>
      </c>
    </row>
    <row r="450" spans="2:4" hidden="1" x14ac:dyDescent="0.25">
      <c r="B450" s="37" t="s">
        <v>58</v>
      </c>
      <c r="C450" t="s">
        <v>222</v>
      </c>
      <c r="D450" t="s">
        <v>17</v>
      </c>
    </row>
    <row r="451" spans="2:4" hidden="1" x14ac:dyDescent="0.25">
      <c r="B451" s="37" t="s">
        <v>56</v>
      </c>
      <c r="C451" t="s">
        <v>215</v>
      </c>
      <c r="D451" t="s">
        <v>17</v>
      </c>
    </row>
    <row r="452" spans="2:4" hidden="1" x14ac:dyDescent="0.25">
      <c r="B452" s="37" t="s">
        <v>154</v>
      </c>
      <c r="C452" t="s">
        <v>223</v>
      </c>
      <c r="D452" t="s">
        <v>17</v>
      </c>
    </row>
    <row r="453" spans="2:4" hidden="1" x14ac:dyDescent="0.25">
      <c r="B453" s="37" t="s">
        <v>55</v>
      </c>
      <c r="C453" t="s">
        <v>216</v>
      </c>
      <c r="D453" t="s">
        <v>17</v>
      </c>
    </row>
    <row r="454" spans="2:4" hidden="1" x14ac:dyDescent="0.25">
      <c r="B454" s="37" t="s">
        <v>155</v>
      </c>
      <c r="C454" t="s">
        <v>224</v>
      </c>
      <c r="D454" t="s">
        <v>17</v>
      </c>
    </row>
    <row r="455" spans="2:4" hidden="1" x14ac:dyDescent="0.25">
      <c r="B455" s="37" t="s">
        <v>153</v>
      </c>
      <c r="C455" t="s">
        <v>217</v>
      </c>
      <c r="D455" t="s">
        <v>17</v>
      </c>
    </row>
    <row r="456" spans="2:4" hidden="1" x14ac:dyDescent="0.25">
      <c r="B456" s="37" t="s">
        <v>60</v>
      </c>
      <c r="C456" t="s">
        <v>225</v>
      </c>
      <c r="D456" t="s">
        <v>17</v>
      </c>
    </row>
    <row r="457" spans="2:4" hidden="1" x14ac:dyDescent="0.25">
      <c r="B457" s="37" t="s">
        <v>53</v>
      </c>
      <c r="C457" t="s">
        <v>218</v>
      </c>
      <c r="D457" t="s">
        <v>17</v>
      </c>
    </row>
    <row r="458" spans="2:4" hidden="1" x14ac:dyDescent="0.25">
      <c r="B458" s="37" t="s">
        <v>125</v>
      </c>
      <c r="C458" t="s">
        <v>219</v>
      </c>
      <c r="D458" t="s">
        <v>17</v>
      </c>
    </row>
    <row r="459" spans="2:4" hidden="1" x14ac:dyDescent="0.25">
      <c r="B459" s="37" t="s">
        <v>54</v>
      </c>
      <c r="C459" t="s">
        <v>220</v>
      </c>
      <c r="D459" t="s">
        <v>17</v>
      </c>
    </row>
    <row r="460" spans="2:4" hidden="1" x14ac:dyDescent="0.25">
      <c r="B460" s="37" t="s">
        <v>131</v>
      </c>
      <c r="C460" t="s">
        <v>234</v>
      </c>
      <c r="D460" t="s">
        <v>130</v>
      </c>
    </row>
    <row r="461" spans="2:4" hidden="1" x14ac:dyDescent="0.25">
      <c r="B461" s="37" t="s">
        <v>159</v>
      </c>
      <c r="C461" t="s">
        <v>235</v>
      </c>
      <c r="D461" t="s">
        <v>130</v>
      </c>
    </row>
    <row r="462" spans="2:4" hidden="1" x14ac:dyDescent="0.25">
      <c r="B462" s="37" t="s">
        <v>160</v>
      </c>
      <c r="C462" t="s">
        <v>236</v>
      </c>
      <c r="D462" t="s">
        <v>130</v>
      </c>
    </row>
    <row r="463" spans="2:4" hidden="1" x14ac:dyDescent="0.25">
      <c r="B463" s="37" t="s">
        <v>161</v>
      </c>
      <c r="C463" t="s">
        <v>237</v>
      </c>
      <c r="D463" t="s">
        <v>130</v>
      </c>
    </row>
    <row r="464" spans="2:4" hidden="1" x14ac:dyDescent="0.25">
      <c r="B464" s="37" t="s">
        <v>162</v>
      </c>
      <c r="C464" t="s">
        <v>238</v>
      </c>
      <c r="D464" t="s">
        <v>130</v>
      </c>
    </row>
    <row r="465" spans="2:4" hidden="1" x14ac:dyDescent="0.25">
      <c r="B465" s="39" t="s">
        <v>163</v>
      </c>
      <c r="C465" t="s">
        <v>239</v>
      </c>
      <c r="D465" t="s">
        <v>130</v>
      </c>
    </row>
    <row r="466" spans="2:4" hidden="1" x14ac:dyDescent="0.25">
      <c r="B466" s="39" t="s">
        <v>164</v>
      </c>
      <c r="C466" t="s">
        <v>240</v>
      </c>
      <c r="D466" t="s">
        <v>130</v>
      </c>
    </row>
    <row r="467" spans="2:4" hidden="1" x14ac:dyDescent="0.25">
      <c r="B467" s="37" t="s">
        <v>43</v>
      </c>
      <c r="C467" t="s">
        <v>241</v>
      </c>
      <c r="D467" t="s">
        <v>130</v>
      </c>
    </row>
    <row r="468" spans="2:4" hidden="1" x14ac:dyDescent="0.25">
      <c r="B468" s="39" t="s">
        <v>165</v>
      </c>
      <c r="C468" t="s">
        <v>242</v>
      </c>
      <c r="D468" t="s">
        <v>130</v>
      </c>
    </row>
    <row r="469" spans="2:4" hidden="1" x14ac:dyDescent="0.25">
      <c r="B469" s="39" t="s">
        <v>166</v>
      </c>
      <c r="C469" t="s">
        <v>243</v>
      </c>
      <c r="D469" t="s">
        <v>130</v>
      </c>
    </row>
    <row r="470" spans="2:4" hidden="1" x14ac:dyDescent="0.25">
      <c r="B470" s="37" t="s">
        <v>44</v>
      </c>
      <c r="C470" t="s">
        <v>244</v>
      </c>
      <c r="D470" t="s">
        <v>130</v>
      </c>
    </row>
    <row r="471" spans="2:4" hidden="1" x14ac:dyDescent="0.25">
      <c r="B471" s="39" t="s">
        <v>45</v>
      </c>
      <c r="C471" t="s">
        <v>245</v>
      </c>
      <c r="D471" t="s">
        <v>130</v>
      </c>
    </row>
    <row r="472" spans="2:4" hidden="1" x14ac:dyDescent="0.25">
      <c r="B472" s="37" t="s">
        <v>59</v>
      </c>
      <c r="C472" t="s">
        <v>221</v>
      </c>
      <c r="D472" t="s">
        <v>57</v>
      </c>
    </row>
    <row r="473" spans="2:4" hidden="1" x14ac:dyDescent="0.25">
      <c r="B473" s="37" t="s">
        <v>58</v>
      </c>
      <c r="C473" t="s">
        <v>222</v>
      </c>
      <c r="D473" t="s">
        <v>57</v>
      </c>
    </row>
    <row r="474" spans="2:4" hidden="1" x14ac:dyDescent="0.25">
      <c r="B474" s="37" t="s">
        <v>154</v>
      </c>
      <c r="C474" t="s">
        <v>223</v>
      </c>
      <c r="D474" t="s">
        <v>57</v>
      </c>
    </row>
    <row r="475" spans="2:4" hidden="1" x14ac:dyDescent="0.25">
      <c r="B475" s="37" t="s">
        <v>155</v>
      </c>
      <c r="C475" t="s">
        <v>224</v>
      </c>
      <c r="D475" t="s">
        <v>57</v>
      </c>
    </row>
    <row r="476" spans="2:4" hidden="1" x14ac:dyDescent="0.25">
      <c r="B476" s="37" t="s">
        <v>60</v>
      </c>
      <c r="C476" t="s">
        <v>225</v>
      </c>
      <c r="D476" t="s">
        <v>57</v>
      </c>
    </row>
  </sheetData>
  <dataConsolidate link="1"/>
  <mergeCells count="25">
    <mergeCell ref="H8:M8"/>
    <mergeCell ref="N8:S8"/>
    <mergeCell ref="T8:Y8"/>
    <mergeCell ref="Z8:AE8"/>
    <mergeCell ref="AF8:AI8"/>
    <mergeCell ref="H18:M18"/>
    <mergeCell ref="H25:M25"/>
    <mergeCell ref="H35:M35"/>
    <mergeCell ref="H43:M43"/>
    <mergeCell ref="N18:S18"/>
    <mergeCell ref="N25:S25"/>
    <mergeCell ref="N35:S35"/>
    <mergeCell ref="N43:S43"/>
    <mergeCell ref="AF18:AI18"/>
    <mergeCell ref="AF25:AI25"/>
    <mergeCell ref="AF35:AI35"/>
    <mergeCell ref="AF43:AI43"/>
    <mergeCell ref="T18:Y18"/>
    <mergeCell ref="T25:Y25"/>
    <mergeCell ref="T35:Y35"/>
    <mergeCell ref="T43:Y43"/>
    <mergeCell ref="Z18:AE18"/>
    <mergeCell ref="Z25:AE25"/>
    <mergeCell ref="Z35:AE35"/>
    <mergeCell ref="Z43:AE43"/>
  </mergeCells>
  <dataValidations count="3">
    <dataValidation type="list" allowBlank="1" showInputMessage="1" showErrorMessage="1" sqref="M28:M34 S28:S34 AE11:AE17 Y11:Y17 M38:M42 S11:S17 S21:S24 Y21:Y24 AE21:AE24 S38:S42 Y38:Y42 AE38:AE42 AE28:AE34 Y28:Y34 M46:M54 S46:S54 Y46:Y54" xr:uid="{00000000-0002-0000-0100-000000000000}">
      <formula1>$C$62:$C$64</formula1>
    </dataValidation>
    <dataValidation type="list" allowBlank="1" showInputMessage="1" showErrorMessage="1" sqref="T21:T24 T28:T34 T38:T42 T11:T17 T46:T54" xr:uid="{00000000-0002-0000-0100-000001000000}">
      <formula1>$C$63:$C$65</formula1>
    </dataValidation>
    <dataValidation type="list" allowBlank="1" showInputMessage="1" showErrorMessage="1" sqref="C46:C54 C11:C19 C21:C26 C28:C36 C38:C44" xr:uid="{00000000-0002-0000-0100-000002000000}">
      <formula1>INDIRECT(D11)</formula1>
    </dataValidation>
  </dataValidations>
  <hyperlinks>
    <hyperlink ref="B206" r:id="rId1" xr:uid="{00000000-0004-0000-0100-000000000000}"/>
    <hyperlink ref="B155" r:id="rId2" xr:uid="{00000000-0004-0000-0100-000001000000}"/>
    <hyperlink ref="B153" r:id="rId3" xr:uid="{00000000-0004-0000-0100-000002000000}"/>
    <hyperlink ref="B152" r:id="rId4" xr:uid="{00000000-0004-0000-0100-000003000000}"/>
    <hyperlink ref="B149" r:id="rId5" xr:uid="{00000000-0004-0000-0100-000004000000}"/>
    <hyperlink ref="B150" r:id="rId6" xr:uid="{00000000-0004-0000-0100-000005000000}"/>
    <hyperlink ref="B93" r:id="rId7" xr:uid="{00000000-0004-0000-0100-000006000000}"/>
    <hyperlink ref="B74" r:id="rId8" xr:uid="{00000000-0004-0000-0100-000007000000}"/>
    <hyperlink ref="B73" r:id="rId9" xr:uid="{00000000-0004-0000-0100-000008000000}"/>
    <hyperlink ref="B71" r:id="rId10" xr:uid="{00000000-0004-0000-0100-000009000000}"/>
    <hyperlink ref="B72" r:id="rId11" xr:uid="{00000000-0004-0000-0100-00000A000000}"/>
    <hyperlink ref="B75" r:id="rId12" xr:uid="{00000000-0004-0000-0100-00000B000000}"/>
    <hyperlink ref="B76" r:id="rId13" xr:uid="{00000000-0004-0000-0100-00000C000000}"/>
    <hyperlink ref="B70" r:id="rId14" xr:uid="{00000000-0004-0000-0100-00000D000000}"/>
    <hyperlink ref="B81" r:id="rId15" xr:uid="{00000000-0004-0000-0100-00000E000000}"/>
    <hyperlink ref="B79" r:id="rId16" xr:uid="{00000000-0004-0000-0100-00000F000000}"/>
    <hyperlink ref="B80" r:id="rId17" xr:uid="{00000000-0004-0000-0100-000010000000}"/>
    <hyperlink ref="B82" r:id="rId18" xr:uid="{00000000-0004-0000-0100-000011000000}"/>
    <hyperlink ref="B85" r:id="rId19" xr:uid="{00000000-0004-0000-0100-000012000000}"/>
    <hyperlink ref="B86" r:id="rId20" xr:uid="{00000000-0004-0000-0100-000013000000}"/>
    <hyperlink ref="B88" r:id="rId21" xr:uid="{00000000-0004-0000-0100-000014000000}"/>
    <hyperlink ref="B87" r:id="rId22" xr:uid="{00000000-0004-0000-0100-000015000000}"/>
    <hyperlink ref="B89" r:id="rId23" xr:uid="{00000000-0004-0000-0100-000016000000}"/>
    <hyperlink ref="B90" r:id="rId24" xr:uid="{00000000-0004-0000-0100-000017000000}"/>
    <hyperlink ref="B91" r:id="rId25" xr:uid="{00000000-0004-0000-0100-000018000000}"/>
    <hyperlink ref="B92" r:id="rId26" xr:uid="{00000000-0004-0000-0100-000019000000}"/>
    <hyperlink ref="B95" r:id="rId27" xr:uid="{00000000-0004-0000-0100-00001A000000}"/>
    <hyperlink ref="B94" r:id="rId28" xr:uid="{00000000-0004-0000-0100-00001B000000}"/>
    <hyperlink ref="B104" r:id="rId29" xr:uid="{00000000-0004-0000-0100-00001C000000}"/>
    <hyperlink ref="B107" r:id="rId30" xr:uid="{00000000-0004-0000-0100-00001D000000}"/>
    <hyperlink ref="B108" r:id="rId31" xr:uid="{00000000-0004-0000-0100-00001E000000}"/>
    <hyperlink ref="B106" r:id="rId32" xr:uid="{00000000-0004-0000-0100-00001F000000}"/>
    <hyperlink ref="B105" r:id="rId33" xr:uid="{00000000-0004-0000-0100-000020000000}"/>
    <hyperlink ref="B100" r:id="rId34" xr:uid="{00000000-0004-0000-0100-000021000000}"/>
    <hyperlink ref="B101" r:id="rId35" xr:uid="{00000000-0004-0000-0100-000022000000}"/>
    <hyperlink ref="B99" r:id="rId36" xr:uid="{00000000-0004-0000-0100-000023000000}"/>
    <hyperlink ref="B98" r:id="rId37" xr:uid="{00000000-0004-0000-0100-000024000000}"/>
    <hyperlink ref="B135" r:id="rId38" xr:uid="{00000000-0004-0000-0100-000025000000}"/>
    <hyperlink ref="B134" r:id="rId39" xr:uid="{00000000-0004-0000-0100-000026000000}"/>
    <hyperlink ref="B137" r:id="rId40" xr:uid="{00000000-0004-0000-0100-000027000000}"/>
    <hyperlink ref="B140" r:id="rId41" xr:uid="{00000000-0004-0000-0100-000028000000}"/>
    <hyperlink ref="B147" r:id="rId42" xr:uid="{00000000-0004-0000-0100-000029000000}"/>
    <hyperlink ref="B144" r:id="rId43" xr:uid="{00000000-0004-0000-0100-00002A000000}"/>
    <hyperlink ref="B145" r:id="rId44" xr:uid="{00000000-0004-0000-0100-00002B000000}"/>
    <hyperlink ref="B146" r:id="rId45" xr:uid="{00000000-0004-0000-0100-00002C000000}"/>
    <hyperlink ref="B154" r:id="rId46" xr:uid="{00000000-0004-0000-0100-00002D000000}"/>
    <hyperlink ref="B148" r:id="rId47" xr:uid="{00000000-0004-0000-0100-00002E000000}"/>
    <hyperlink ref="B151" r:id="rId48" xr:uid="{00000000-0004-0000-0100-00002F000000}"/>
    <hyperlink ref="B138" r:id="rId49" xr:uid="{00000000-0004-0000-0100-000030000000}"/>
    <hyperlink ref="B136" r:id="rId50" xr:uid="{00000000-0004-0000-0100-000031000000}"/>
    <hyperlink ref="B112" r:id="rId51" xr:uid="{00000000-0004-0000-0100-000032000000}"/>
    <hyperlink ref="B111" r:id="rId52" xr:uid="{00000000-0004-0000-0100-000033000000}"/>
    <hyperlink ref="B113" r:id="rId53" xr:uid="{00000000-0004-0000-0100-000034000000}"/>
    <hyperlink ref="B139" r:id="rId54" xr:uid="{00000000-0004-0000-0100-000035000000}"/>
    <hyperlink ref="B114" r:id="rId55" xr:uid="{00000000-0004-0000-0100-000036000000}"/>
    <hyperlink ref="B141" r:id="rId56" xr:uid="{00000000-0004-0000-0100-000037000000}"/>
    <hyperlink ref="B158" r:id="rId57" xr:uid="{00000000-0004-0000-0100-000038000000}"/>
    <hyperlink ref="B163" r:id="rId58" xr:uid="{00000000-0004-0000-0100-000039000000}"/>
    <hyperlink ref="B164" r:id="rId59" xr:uid="{00000000-0004-0000-0100-00003A000000}"/>
    <hyperlink ref="B160" r:id="rId60" xr:uid="{00000000-0004-0000-0100-00003B000000}"/>
    <hyperlink ref="B169" r:id="rId61" xr:uid="{00000000-0004-0000-0100-00003C000000}"/>
    <hyperlink ref="B159" r:id="rId62" xr:uid="{00000000-0004-0000-0100-00003D000000}"/>
    <hyperlink ref="B170" r:id="rId63" xr:uid="{00000000-0004-0000-0100-00003E000000}"/>
    <hyperlink ref="B177" r:id="rId64" xr:uid="{00000000-0004-0000-0100-00003F000000}"/>
    <hyperlink ref="B173" r:id="rId65" xr:uid="{00000000-0004-0000-0100-000040000000}"/>
    <hyperlink ref="B171" r:id="rId66" xr:uid="{00000000-0004-0000-0100-000041000000}"/>
    <hyperlink ref="B172" r:id="rId67" xr:uid="{00000000-0004-0000-0100-000042000000}"/>
    <hyperlink ref="B161" r:id="rId68" xr:uid="{00000000-0004-0000-0100-000043000000}"/>
    <hyperlink ref="B162" r:id="rId69" xr:uid="{00000000-0004-0000-0100-000044000000}"/>
    <hyperlink ref="B167" r:id="rId70" xr:uid="{00000000-0004-0000-0100-000045000000}"/>
    <hyperlink ref="B168" r:id="rId71" xr:uid="{00000000-0004-0000-0100-000046000000}"/>
    <hyperlink ref="B178" r:id="rId72" xr:uid="{00000000-0004-0000-0100-000047000000}"/>
    <hyperlink ref="B179" r:id="rId73" xr:uid="{00000000-0004-0000-0100-000048000000}"/>
    <hyperlink ref="B180" r:id="rId74" xr:uid="{00000000-0004-0000-0100-000049000000}"/>
    <hyperlink ref="B174" r:id="rId75" xr:uid="{00000000-0004-0000-0100-00004A000000}"/>
    <hyperlink ref="B184" r:id="rId76" xr:uid="{00000000-0004-0000-0100-00004B000000}"/>
    <hyperlink ref="B183" r:id="rId77" xr:uid="{00000000-0004-0000-0100-00004C000000}"/>
    <hyperlink ref="B185" r:id="rId78" xr:uid="{00000000-0004-0000-0100-00004D000000}"/>
    <hyperlink ref="B197" r:id="rId79" xr:uid="{00000000-0004-0000-0100-00004E000000}"/>
    <hyperlink ref="B200" r:id="rId80" xr:uid="{00000000-0004-0000-0100-00004F000000}"/>
    <hyperlink ref="B198" r:id="rId81" xr:uid="{00000000-0004-0000-0100-000050000000}"/>
    <hyperlink ref="B210" r:id="rId82" xr:uid="{00000000-0004-0000-0100-000051000000}"/>
    <hyperlink ref="B207" r:id="rId83" xr:uid="{00000000-0004-0000-0100-000052000000}"/>
    <hyperlink ref="B214" r:id="rId84" xr:uid="{00000000-0004-0000-0100-000053000000}"/>
    <hyperlink ref="B219" r:id="rId85" xr:uid="{00000000-0004-0000-0100-000054000000}"/>
    <hyperlink ref="B202" r:id="rId86" xr:uid="{00000000-0004-0000-0100-000055000000}"/>
    <hyperlink ref="B203" r:id="rId87" xr:uid="{00000000-0004-0000-0100-000056000000}"/>
    <hyperlink ref="B208" r:id="rId88" xr:uid="{00000000-0004-0000-0100-000057000000}"/>
    <hyperlink ref="B209" r:id="rId89" xr:uid="{00000000-0004-0000-0100-000058000000}"/>
    <hyperlink ref="B217" r:id="rId90" xr:uid="{00000000-0004-0000-0100-000059000000}"/>
    <hyperlink ref="B199" r:id="rId91" xr:uid="{00000000-0004-0000-0100-00005A000000}"/>
    <hyperlink ref="B189" r:id="rId92" xr:uid="{00000000-0004-0000-0100-00005B000000}"/>
    <hyperlink ref="B188" r:id="rId93" xr:uid="{00000000-0004-0000-0100-00005C000000}"/>
    <hyperlink ref="B192" r:id="rId94" xr:uid="{00000000-0004-0000-0100-00005D000000}"/>
    <hyperlink ref="B190" r:id="rId95" xr:uid="{00000000-0004-0000-0100-00005E000000}"/>
    <hyperlink ref="B191" r:id="rId96" xr:uid="{00000000-0004-0000-0100-00005F000000}"/>
    <hyperlink ref="B193" r:id="rId97" xr:uid="{00000000-0004-0000-0100-000060000000}"/>
    <hyperlink ref="B194" r:id="rId98" xr:uid="{00000000-0004-0000-0100-000061000000}"/>
    <hyperlink ref="B119" r:id="rId99" xr:uid="{00000000-0004-0000-0100-000062000000}"/>
    <hyperlink ref="B120" r:id="rId100" xr:uid="{00000000-0004-0000-0100-000063000000}"/>
    <hyperlink ref="B215" r:id="rId101" xr:uid="{00000000-0004-0000-0100-000064000000}"/>
    <hyperlink ref="B216" r:id="rId102" xr:uid="{00000000-0004-0000-0100-000065000000}"/>
    <hyperlink ref="B201" r:id="rId103" xr:uid="{00000000-0004-0000-0100-000066000000}"/>
    <hyperlink ref="B218" r:id="rId104" xr:uid="{00000000-0004-0000-0100-000067000000}"/>
    <hyperlink ref="B211" r:id="rId105" xr:uid="{00000000-0004-0000-0100-000068000000}"/>
    <hyperlink ref="B122" r:id="rId106" xr:uid="{00000000-0004-0000-0100-000069000000}"/>
    <hyperlink ref="B123" r:id="rId107" xr:uid="{00000000-0004-0000-0100-00006A000000}"/>
    <hyperlink ref="B124" r:id="rId108" xr:uid="{00000000-0004-0000-0100-00006B000000}"/>
    <hyperlink ref="B117" r:id="rId109" xr:uid="{00000000-0004-0000-0100-00006C000000}"/>
    <hyperlink ref="B121" r:id="rId110" xr:uid="{00000000-0004-0000-0100-00006D000000}"/>
    <hyperlink ref="B131" r:id="rId111" xr:uid="{00000000-0004-0000-0100-00006E000000}"/>
    <hyperlink ref="B127" r:id="rId112" xr:uid="{00000000-0004-0000-0100-00006F000000}"/>
    <hyperlink ref="B128" r:id="rId113" xr:uid="{00000000-0004-0000-0100-000070000000}"/>
    <hyperlink ref="B129" r:id="rId114" xr:uid="{00000000-0004-0000-0100-000071000000}"/>
    <hyperlink ref="B130" r:id="rId115" xr:uid="{00000000-0004-0000-0100-000072000000}"/>
    <hyperlink ref="B118" r:id="rId116" xr:uid="{00000000-0004-0000-0100-000073000000}"/>
    <hyperlink ref="B227" r:id="rId117" xr:uid="{00000000-0004-0000-0100-000074000000}"/>
    <hyperlink ref="B229" r:id="rId118" xr:uid="{00000000-0004-0000-0100-000075000000}"/>
    <hyperlink ref="B233" r:id="rId119" xr:uid="{00000000-0004-0000-0100-000076000000}"/>
    <hyperlink ref="B234" r:id="rId120" xr:uid="{00000000-0004-0000-0100-000077000000}"/>
    <hyperlink ref="B235" r:id="rId121" xr:uid="{00000000-0004-0000-0100-000078000000}"/>
    <hyperlink ref="B223" r:id="rId122" xr:uid="{00000000-0004-0000-0100-000079000000}"/>
    <hyperlink ref="B231" r:id="rId123" xr:uid="{00000000-0004-0000-0100-00007A000000}"/>
    <hyperlink ref="B232" r:id="rId124" xr:uid="{00000000-0004-0000-0100-00007B000000}"/>
    <hyperlink ref="B224" r:id="rId125" xr:uid="{00000000-0004-0000-0100-00007C000000}"/>
    <hyperlink ref="B226" r:id="rId126" xr:uid="{00000000-0004-0000-0100-00007D000000}"/>
    <hyperlink ref="B228" r:id="rId127" xr:uid="{00000000-0004-0000-0100-00007E000000}"/>
    <hyperlink ref="B230" r:id="rId128" xr:uid="{00000000-0004-0000-0100-00007F000000}"/>
    <hyperlink ref="B225" r:id="rId129" xr:uid="{00000000-0004-0000-0100-000080000000}"/>
    <hyperlink ref="B237" r:id="rId130" xr:uid="{00000000-0004-0000-0100-000081000000}"/>
    <hyperlink ref="B245" r:id="rId131" xr:uid="{00000000-0004-0000-0100-000082000000}"/>
    <hyperlink ref="B239" r:id="rId132" xr:uid="{00000000-0004-0000-0100-000083000000}"/>
    <hyperlink ref="B241" r:id="rId133" xr:uid="{00000000-0004-0000-0100-000084000000}"/>
    <hyperlink ref="B243" r:id="rId134" xr:uid="{00000000-0004-0000-0100-000085000000}"/>
    <hyperlink ref="B247" r:id="rId135" xr:uid="{00000000-0004-0000-0100-000086000000}"/>
    <hyperlink ref="B238" r:id="rId136" xr:uid="{00000000-0004-0000-0100-000087000000}"/>
    <hyperlink ref="B248" r:id="rId137" xr:uid="{00000000-0004-0000-0100-000088000000}"/>
    <hyperlink ref="B244" r:id="rId138" xr:uid="{00000000-0004-0000-0100-000089000000}"/>
    <hyperlink ref="B240" r:id="rId139" xr:uid="{00000000-0004-0000-0100-00008A000000}"/>
    <hyperlink ref="B242" r:id="rId140" xr:uid="{00000000-0004-0000-0100-00008B000000}"/>
    <hyperlink ref="B246" r:id="rId141" xr:uid="{00000000-0004-0000-0100-00008C000000}"/>
    <hyperlink ref="B259" r:id="rId142" xr:uid="{00000000-0004-0000-0100-00008D000000}"/>
    <hyperlink ref="B263" r:id="rId143" xr:uid="{00000000-0004-0000-0100-00008E000000}"/>
    <hyperlink ref="B267" r:id="rId144" xr:uid="{00000000-0004-0000-0100-00008F000000}"/>
    <hyperlink ref="B268" r:id="rId145" xr:uid="{00000000-0004-0000-0100-000090000000}"/>
    <hyperlink ref="B269" r:id="rId146" xr:uid="{00000000-0004-0000-0100-000091000000}"/>
    <hyperlink ref="B251" r:id="rId147" xr:uid="{00000000-0004-0000-0100-000092000000}"/>
    <hyperlink ref="B265" r:id="rId148" xr:uid="{00000000-0004-0000-0100-000093000000}"/>
    <hyperlink ref="B266" r:id="rId149" xr:uid="{00000000-0004-0000-0100-000094000000}"/>
    <hyperlink ref="B253" r:id="rId150" xr:uid="{00000000-0004-0000-0100-000095000000}"/>
    <hyperlink ref="B257" r:id="rId151" xr:uid="{00000000-0004-0000-0100-000096000000}"/>
    <hyperlink ref="B261" r:id="rId152" xr:uid="{00000000-0004-0000-0100-000097000000}"/>
    <hyperlink ref="B264" r:id="rId153" xr:uid="{00000000-0004-0000-0100-000098000000}"/>
    <hyperlink ref="B255" r:id="rId154" xr:uid="{00000000-0004-0000-0100-000099000000}"/>
    <hyperlink ref="B252" r:id="rId155" xr:uid="{00000000-0004-0000-0100-00009A000000}"/>
    <hyperlink ref="B250" r:id="rId156" xr:uid="{00000000-0004-0000-0100-00009B000000}"/>
    <hyperlink ref="B258" r:id="rId157" xr:uid="{00000000-0004-0000-0100-00009C000000}"/>
    <hyperlink ref="B254" r:id="rId158" xr:uid="{00000000-0004-0000-0100-00009D000000}"/>
    <hyperlink ref="B256" r:id="rId159" xr:uid="{00000000-0004-0000-0100-00009E000000}"/>
    <hyperlink ref="B260" r:id="rId160" xr:uid="{00000000-0004-0000-0100-00009F000000}"/>
    <hyperlink ref="B262" r:id="rId161" xr:uid="{00000000-0004-0000-0100-0000A0000000}"/>
    <hyperlink ref="B273" r:id="rId162" xr:uid="{00000000-0004-0000-0100-0000A1000000}"/>
    <hyperlink ref="B279" r:id="rId163" xr:uid="{00000000-0004-0000-0100-0000A2000000}"/>
    <hyperlink ref="B280" r:id="rId164" xr:uid="{00000000-0004-0000-0100-0000A3000000}"/>
    <hyperlink ref="B277" r:id="rId165" xr:uid="{00000000-0004-0000-0100-0000A4000000}"/>
    <hyperlink ref="B275" r:id="rId166" xr:uid="{00000000-0004-0000-0100-0000A5000000}"/>
    <hyperlink ref="B276" r:id="rId167" xr:uid="{00000000-0004-0000-0100-0000A6000000}"/>
    <hyperlink ref="B278" r:id="rId168" xr:uid="{00000000-0004-0000-0100-0000A7000000}"/>
    <hyperlink ref="B274" r:id="rId169" xr:uid="{00000000-0004-0000-0100-0000A8000000}"/>
    <hyperlink ref="B272" r:id="rId170" xr:uid="{00000000-0004-0000-0100-0000A9000000}"/>
    <hyperlink ref="C206" r:id="rId171" xr:uid="{00000000-0004-0000-0100-0000AA000000}"/>
    <hyperlink ref="C155" r:id="rId172" xr:uid="{00000000-0004-0000-0100-0000AB000000}"/>
    <hyperlink ref="C153" r:id="rId173" xr:uid="{00000000-0004-0000-0100-0000AC000000}"/>
    <hyperlink ref="C152" r:id="rId174" xr:uid="{00000000-0004-0000-0100-0000AD000000}"/>
    <hyperlink ref="C149" r:id="rId175" xr:uid="{00000000-0004-0000-0100-0000AE000000}"/>
    <hyperlink ref="C150" r:id="rId176" xr:uid="{00000000-0004-0000-0100-0000AF000000}"/>
    <hyperlink ref="C93" r:id="rId177" xr:uid="{00000000-0004-0000-0100-0000B0000000}"/>
    <hyperlink ref="C74" r:id="rId178" xr:uid="{00000000-0004-0000-0100-0000B1000000}"/>
    <hyperlink ref="C237" r:id="rId179" xr:uid="{00000000-0004-0000-0100-0000B2000000}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468"/>
  <sheetViews>
    <sheetView showGridLines="0" zoomScaleNormal="100" workbookViewId="0">
      <selection activeCell="B7" sqref="B7"/>
    </sheetView>
  </sheetViews>
  <sheetFormatPr defaultColWidth="8.85546875"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7.7109375" customWidth="1"/>
    <col min="10" max="10" width="7.42578125" bestFit="1" customWidth="1"/>
    <col min="11" max="11" width="9" bestFit="1" customWidth="1"/>
    <col min="12" max="12" width="11.28515625" bestFit="1" customWidth="1"/>
    <col min="13" max="13" width="7.42578125" bestFit="1" customWidth="1"/>
    <col min="14" max="14" width="51.28515625" customWidth="1"/>
    <col min="15" max="15" width="4.7109375" bestFit="1" customWidth="1"/>
    <col min="16" max="16" width="7.42578125" bestFit="1" customWidth="1"/>
    <col min="17" max="17" width="9" bestFit="1" customWidth="1"/>
    <col min="18" max="18" width="11.28515625" bestFit="1" customWidth="1"/>
    <col min="19" max="19" width="9.7109375" customWidth="1"/>
    <col min="20" max="20" width="37.7109375" customWidth="1"/>
    <col min="21" max="21" width="4.7109375" bestFit="1" customWidth="1"/>
    <col min="22" max="22" width="7.42578125" bestFit="1" customWidth="1"/>
    <col min="23" max="24" width="17.7109375" bestFit="1" customWidth="1"/>
    <col min="25" max="25" width="15.140625" bestFit="1" customWidth="1"/>
    <col min="26" max="26" width="17.7109375" bestFit="1" customWidth="1"/>
  </cols>
  <sheetData>
    <row r="1" spans="2:25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9" t="s">
        <v>93</v>
      </c>
      <c r="U1" s="6"/>
      <c r="V1" s="18"/>
      <c r="W1" s="20"/>
      <c r="X1" s="20"/>
      <c r="Y1" s="6"/>
    </row>
    <row r="2" spans="2:25" ht="19.5" thickBot="1" x14ac:dyDescent="0.35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2" t="s">
        <v>94</v>
      </c>
      <c r="U2" s="21"/>
      <c r="V2" s="21"/>
      <c r="W2" s="21"/>
      <c r="X2" s="21"/>
      <c r="Y2" s="7"/>
    </row>
    <row r="3" spans="2:25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2:25" ht="15.75" thickBot="1" x14ac:dyDescent="0.3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7" spans="2:25" ht="15.75" thickBot="1" x14ac:dyDescent="0.3"/>
    <row r="8" spans="2:25" ht="19.5" thickBot="1" x14ac:dyDescent="0.3">
      <c r="G8" s="5" t="s">
        <v>101</v>
      </c>
      <c r="H8" s="181" t="s">
        <v>1</v>
      </c>
      <c r="I8" s="182"/>
      <c r="J8" s="182"/>
      <c r="K8" s="182"/>
      <c r="L8" s="182"/>
      <c r="M8" s="183"/>
      <c r="N8" s="184" t="s">
        <v>2</v>
      </c>
      <c r="O8" s="185"/>
      <c r="P8" s="185"/>
      <c r="Q8" s="185"/>
      <c r="R8" s="185"/>
      <c r="S8" s="186"/>
      <c r="T8" s="178" t="s">
        <v>355</v>
      </c>
      <c r="U8" s="179"/>
      <c r="V8" s="179"/>
      <c r="W8" s="180"/>
    </row>
    <row r="9" spans="2:25" ht="15.75" thickBot="1" x14ac:dyDescent="0.3">
      <c r="B9" s="37"/>
      <c r="C9" s="37" t="s">
        <v>16</v>
      </c>
      <c r="D9" s="37"/>
      <c r="E9" s="37"/>
      <c r="F9" s="37"/>
      <c r="G9" s="77" t="s">
        <v>102</v>
      </c>
      <c r="H9" s="65" t="s">
        <v>88</v>
      </c>
      <c r="I9" s="66" t="s">
        <v>6</v>
      </c>
      <c r="J9" s="67" t="s">
        <v>7</v>
      </c>
      <c r="K9" s="68" t="s">
        <v>8</v>
      </c>
      <c r="L9" s="68" t="s">
        <v>9</v>
      </c>
      <c r="M9" s="69" t="s">
        <v>10</v>
      </c>
      <c r="N9" s="70" t="s">
        <v>88</v>
      </c>
      <c r="O9" s="70" t="s">
        <v>6</v>
      </c>
      <c r="P9" s="67" t="s">
        <v>7</v>
      </c>
      <c r="Q9" s="68" t="s">
        <v>8</v>
      </c>
      <c r="R9" s="68" t="s">
        <v>9</v>
      </c>
      <c r="S9" s="69" t="s">
        <v>10</v>
      </c>
      <c r="T9" s="70" t="s">
        <v>88</v>
      </c>
      <c r="U9" s="70" t="s">
        <v>6</v>
      </c>
      <c r="V9" s="67" t="s">
        <v>7</v>
      </c>
      <c r="W9" s="71" t="s">
        <v>8</v>
      </c>
    </row>
    <row r="10" spans="2:25" ht="15.75" thickBot="1" x14ac:dyDescent="0.3">
      <c r="B10" s="95" t="s">
        <v>342</v>
      </c>
      <c r="C10" s="99" t="s">
        <v>85</v>
      </c>
      <c r="D10" s="91"/>
      <c r="E10" s="91"/>
      <c r="F10" s="99" t="s">
        <v>356</v>
      </c>
      <c r="G10" s="99" t="s">
        <v>357</v>
      </c>
      <c r="H10" s="68" t="s">
        <v>85</v>
      </c>
      <c r="I10" s="72"/>
      <c r="J10" s="72" t="s">
        <v>0</v>
      </c>
      <c r="K10" s="72"/>
      <c r="L10" s="72"/>
      <c r="M10" s="73"/>
      <c r="N10" s="65" t="s">
        <v>85</v>
      </c>
      <c r="O10" s="72"/>
      <c r="P10" s="72"/>
      <c r="Q10" s="72"/>
      <c r="R10" s="72"/>
      <c r="S10" s="73"/>
      <c r="T10" s="65" t="s">
        <v>85</v>
      </c>
      <c r="U10" s="72"/>
      <c r="V10" s="72"/>
      <c r="W10" s="73"/>
    </row>
    <row r="11" spans="2:25" ht="15.75" thickBot="1" x14ac:dyDescent="0.3">
      <c r="B11" s="96" t="s">
        <v>343</v>
      </c>
      <c r="C11" s="100"/>
      <c r="D11" s="92" t="str">
        <f t="array" ref="D11">INDEX(Table_Name52[Name List],MATCH(B11,Table_Name52[Category],0))</f>
        <v>Incline_Push[Exercise]</v>
      </c>
      <c r="E11" s="90" t="e">
        <f t="array" ref="E11">INDEX(Links73[Link],MATCH(C11,Links73[Exercise],0))</f>
        <v>#N/A</v>
      </c>
      <c r="F11" s="106" t="e">
        <f>HYPERLINK(E11,"Video")</f>
        <v>#N/A</v>
      </c>
      <c r="G11" s="109"/>
      <c r="H11" s="88">
        <f>C11</f>
        <v>0</v>
      </c>
      <c r="I11" s="76">
        <v>2</v>
      </c>
      <c r="J11" s="76">
        <f>MROUND(((G11)),5)</f>
        <v>0</v>
      </c>
      <c r="K11" s="76" t="s">
        <v>11</v>
      </c>
      <c r="L11" s="76"/>
      <c r="M11" s="77"/>
      <c r="N11" s="75">
        <f>C11</f>
        <v>0</v>
      </c>
      <c r="O11" s="76">
        <f>I11+(M27)</f>
        <v>2</v>
      </c>
      <c r="P11" s="76">
        <f>MROUND((J11*1.05),5)</f>
        <v>0</v>
      </c>
      <c r="Q11" s="76" t="s">
        <v>11</v>
      </c>
      <c r="R11" s="76"/>
      <c r="S11" s="78"/>
      <c r="T11" s="75">
        <f>C11</f>
        <v>0</v>
      </c>
      <c r="U11" s="76">
        <v>2</v>
      </c>
      <c r="V11" s="79">
        <f>J11</f>
        <v>0</v>
      </c>
      <c r="W11" s="77" t="s">
        <v>14</v>
      </c>
    </row>
    <row r="12" spans="2:25" ht="15.75" thickBot="1" x14ac:dyDescent="0.3">
      <c r="B12" s="97" t="s">
        <v>344</v>
      </c>
      <c r="C12" s="101"/>
      <c r="D12" s="93" t="str">
        <f t="array" ref="D12">INDEX(Table_Name52[Name List],MATCH(B12,Table_Name52[Category],0))</f>
        <v>Horizontal_Push[Exercise]</v>
      </c>
      <c r="E12" s="74" t="e">
        <f t="array" ref="E12">INDEX(Links73[Link],MATCH(C12,Links73[Exercise],0))</f>
        <v>#N/A</v>
      </c>
      <c r="F12" s="107" t="e">
        <f>HYPERLINK(E12,"Video")</f>
        <v>#N/A</v>
      </c>
      <c r="G12" s="110"/>
      <c r="H12" s="88">
        <f>C12</f>
        <v>0</v>
      </c>
      <c r="I12" s="76">
        <v>1</v>
      </c>
      <c r="J12" s="76">
        <f>MROUND(((G12)),5)</f>
        <v>0</v>
      </c>
      <c r="K12" s="76" t="s">
        <v>11</v>
      </c>
      <c r="L12" s="76"/>
      <c r="M12" s="77"/>
      <c r="N12" s="75">
        <f>C12</f>
        <v>0</v>
      </c>
      <c r="O12" s="76">
        <f>I12+(M27)</f>
        <v>1</v>
      </c>
      <c r="P12" s="76">
        <f>MROUND((J12*1.05),5)</f>
        <v>0</v>
      </c>
      <c r="Q12" s="76" t="s">
        <v>11</v>
      </c>
      <c r="R12" s="76"/>
      <c r="S12" s="78"/>
      <c r="T12" s="75">
        <f>C12</f>
        <v>0</v>
      </c>
      <c r="U12" s="76">
        <v>2</v>
      </c>
      <c r="V12" s="79">
        <f>J12</f>
        <v>0</v>
      </c>
      <c r="W12" s="77" t="s">
        <v>14</v>
      </c>
    </row>
    <row r="13" spans="2:25" ht="15.75" thickBot="1" x14ac:dyDescent="0.3">
      <c r="B13" s="97" t="s">
        <v>338</v>
      </c>
      <c r="C13" s="101"/>
      <c r="D13" s="93" t="str">
        <f t="array" ref="D13">INDEX(Table_Name52[Name List],MATCH(B13,Table_Name52[Category],0))</f>
        <v>Horizontal_Back[Exercise]</v>
      </c>
      <c r="E13" s="74" t="e">
        <f t="array" ref="E13">INDEX(Links73[Link],MATCH(C13,Links73[Exercise],0))</f>
        <v>#N/A</v>
      </c>
      <c r="F13" s="107" t="e">
        <f>HYPERLINK(E13,"Video")</f>
        <v>#N/A</v>
      </c>
      <c r="G13" s="110"/>
      <c r="H13" s="88">
        <f>C13</f>
        <v>0</v>
      </c>
      <c r="I13" s="76">
        <v>2</v>
      </c>
      <c r="J13" s="76">
        <f>MROUND(((G13)),5)</f>
        <v>0</v>
      </c>
      <c r="K13" s="76" t="s">
        <v>11</v>
      </c>
      <c r="L13" s="76" t="s">
        <v>0</v>
      </c>
      <c r="M13" s="77"/>
      <c r="N13" s="75">
        <f>C13</f>
        <v>0</v>
      </c>
      <c r="O13" s="76">
        <f>I13+(M26)</f>
        <v>2</v>
      </c>
      <c r="P13" s="76">
        <f>MROUND((J13*1.05),5)</f>
        <v>0</v>
      </c>
      <c r="Q13" s="76" t="s">
        <v>11</v>
      </c>
      <c r="R13" s="76"/>
      <c r="S13" s="78"/>
      <c r="T13" s="75">
        <f>C13</f>
        <v>0</v>
      </c>
      <c r="U13" s="76">
        <v>2</v>
      </c>
      <c r="V13" s="79">
        <f>J13</f>
        <v>0</v>
      </c>
      <c r="W13" s="77" t="s">
        <v>14</v>
      </c>
    </row>
    <row r="14" spans="2:25" ht="15.75" thickBot="1" x14ac:dyDescent="0.3">
      <c r="B14" s="97" t="s">
        <v>340</v>
      </c>
      <c r="C14" s="101"/>
      <c r="D14" s="93" t="str">
        <f t="array" ref="D14">INDEX(Table_Name52[Name List],MATCH(B14,Table_Name52[Category],0))</f>
        <v>Rear_or_Side_Delts[Exercise]</v>
      </c>
      <c r="E14" s="74" t="e">
        <f t="array" ref="E14">INDEX(Links73[Link],MATCH(C14,Links73[Exercise],0))</f>
        <v>#N/A</v>
      </c>
      <c r="F14" s="107" t="e">
        <f>HYPERLINK(E14,"Video")</f>
        <v>#N/A</v>
      </c>
      <c r="G14" s="110"/>
      <c r="H14" s="88">
        <f>C14</f>
        <v>0</v>
      </c>
      <c r="I14" s="76">
        <v>2</v>
      </c>
      <c r="J14" s="76">
        <f>MROUND(((G14)),5)</f>
        <v>0</v>
      </c>
      <c r="K14" s="76" t="s">
        <v>11</v>
      </c>
      <c r="L14" s="76" t="s">
        <v>0</v>
      </c>
      <c r="M14" s="77"/>
      <c r="N14" s="75">
        <f>C14</f>
        <v>0</v>
      </c>
      <c r="O14" s="76">
        <f>I14+(M28)</f>
        <v>2</v>
      </c>
      <c r="P14" s="76">
        <f>MROUND((J14*1.05),5)</f>
        <v>0</v>
      </c>
      <c r="Q14" s="76" t="s">
        <v>11</v>
      </c>
      <c r="R14" s="76"/>
      <c r="S14" s="78"/>
      <c r="T14" s="75">
        <f>C14</f>
        <v>0</v>
      </c>
      <c r="U14" s="76">
        <v>2</v>
      </c>
      <c r="V14" s="79">
        <f>J14</f>
        <v>0</v>
      </c>
      <c r="W14" s="77" t="s">
        <v>14</v>
      </c>
    </row>
    <row r="15" spans="2:25" ht="15.75" thickBot="1" x14ac:dyDescent="0.3">
      <c r="B15" s="98" t="s">
        <v>77</v>
      </c>
      <c r="C15" s="102"/>
      <c r="D15" s="94" t="str">
        <f t="array" ref="D15">INDEX(Table_Name52[Name List],MATCH(B15,Table_Name52[Category],0))</f>
        <v>Abs[Exercise]</v>
      </c>
      <c r="E15" s="80" t="e">
        <f t="array" ref="E15">INDEX(Links73[Link],MATCH(C15,Links73[Exercise],0))</f>
        <v>#N/A</v>
      </c>
      <c r="F15" s="108" t="e">
        <f>HYPERLINK(E15,"Video")</f>
        <v>#N/A</v>
      </c>
      <c r="G15" s="111"/>
      <c r="H15" s="138">
        <f>C15</f>
        <v>0</v>
      </c>
      <c r="I15" s="82">
        <v>2</v>
      </c>
      <c r="J15" s="82">
        <f>MROUND(((G15)),5)</f>
        <v>0</v>
      </c>
      <c r="K15" s="82" t="s">
        <v>11</v>
      </c>
      <c r="L15" s="82"/>
      <c r="M15" s="64"/>
      <c r="N15" s="81">
        <f>C15</f>
        <v>0</v>
      </c>
      <c r="O15" s="82">
        <f>I15+(M29)</f>
        <v>2</v>
      </c>
      <c r="P15" s="82">
        <f>MROUND((J15*1.05),5)</f>
        <v>0</v>
      </c>
      <c r="Q15" s="82" t="s">
        <v>11</v>
      </c>
      <c r="R15" s="82"/>
      <c r="S15" s="78"/>
      <c r="T15" s="81">
        <f>C15</f>
        <v>0</v>
      </c>
      <c r="U15" s="82">
        <v>2</v>
      </c>
      <c r="V15" s="84">
        <f>J15</f>
        <v>0</v>
      </c>
      <c r="W15" s="64" t="s">
        <v>14</v>
      </c>
    </row>
    <row r="16" spans="2:25" s="43" customFormat="1" ht="19.5" thickBot="1" x14ac:dyDescent="0.3">
      <c r="B16" s="86" t="s">
        <v>337</v>
      </c>
      <c r="C16" s="57"/>
      <c r="D16" s="57"/>
      <c r="E16" s="85"/>
      <c r="F16" s="56"/>
      <c r="G16" s="62"/>
      <c r="H16" s="181" t="s">
        <v>1</v>
      </c>
      <c r="I16" s="182"/>
      <c r="J16" s="182"/>
      <c r="K16" s="182"/>
      <c r="L16" s="182"/>
      <c r="M16" s="183"/>
      <c r="N16" s="184" t="s">
        <v>2</v>
      </c>
      <c r="O16" s="185"/>
      <c r="P16" s="185"/>
      <c r="Q16" s="185"/>
      <c r="R16" s="185"/>
      <c r="S16" s="186"/>
      <c r="T16" s="178" t="s">
        <v>355</v>
      </c>
      <c r="U16" s="179"/>
      <c r="V16" s="179"/>
      <c r="W16" s="180"/>
    </row>
    <row r="17" spans="2:23" s="43" customFormat="1" ht="15.75" thickBot="1" x14ac:dyDescent="0.3">
      <c r="B17" s="37"/>
      <c r="C17" s="57"/>
      <c r="D17" s="57"/>
      <c r="E17" s="85"/>
      <c r="F17" s="56"/>
      <c r="G17" s="57"/>
      <c r="H17" s="65" t="s">
        <v>88</v>
      </c>
      <c r="I17" s="66" t="s">
        <v>6</v>
      </c>
      <c r="J17" s="67" t="s">
        <v>7</v>
      </c>
      <c r="K17" s="68" t="s">
        <v>8</v>
      </c>
      <c r="L17" s="68" t="s">
        <v>9</v>
      </c>
      <c r="M17" s="69" t="s">
        <v>10</v>
      </c>
      <c r="N17" s="70" t="s">
        <v>88</v>
      </c>
      <c r="O17" s="70" t="s">
        <v>6</v>
      </c>
      <c r="P17" s="67" t="s">
        <v>7</v>
      </c>
      <c r="Q17" s="68" t="s">
        <v>8</v>
      </c>
      <c r="R17" s="68" t="s">
        <v>9</v>
      </c>
      <c r="S17" s="69" t="s">
        <v>10</v>
      </c>
      <c r="T17" s="70" t="s">
        <v>88</v>
      </c>
      <c r="U17" s="70" t="s">
        <v>6</v>
      </c>
      <c r="V17" s="67" t="s">
        <v>7</v>
      </c>
      <c r="W17" s="71" t="s">
        <v>8</v>
      </c>
    </row>
    <row r="18" spans="2:23" s="43" customFormat="1" ht="15.75" thickBot="1" x14ac:dyDescent="0.3">
      <c r="B18" s="95" t="s">
        <v>345</v>
      </c>
      <c r="C18" s="99" t="s">
        <v>86</v>
      </c>
      <c r="D18" s="91"/>
      <c r="E18" s="91"/>
      <c r="F18" s="99" t="s">
        <v>356</v>
      </c>
      <c r="G18" s="99" t="s">
        <v>357</v>
      </c>
      <c r="H18" s="68" t="s">
        <v>86</v>
      </c>
      <c r="I18" s="72"/>
      <c r="J18" s="72"/>
      <c r="K18" s="72"/>
      <c r="L18" s="72"/>
      <c r="M18" s="73"/>
      <c r="N18" s="65" t="s">
        <v>86</v>
      </c>
      <c r="O18" s="72"/>
      <c r="P18" s="72"/>
      <c r="Q18" s="72"/>
      <c r="R18" s="72"/>
      <c r="S18" s="73"/>
      <c r="T18" s="65" t="s">
        <v>86</v>
      </c>
      <c r="U18" s="72"/>
      <c r="V18" s="72"/>
      <c r="W18" s="73"/>
    </row>
    <row r="19" spans="2:23" s="43" customFormat="1" ht="15.75" thickBot="1" x14ac:dyDescent="0.3">
      <c r="B19" s="96" t="s">
        <v>20</v>
      </c>
      <c r="C19" s="100"/>
      <c r="D19" s="92" t="str">
        <f t="array" ref="D19">INDEX(Table_Name52[Name List],MATCH(B19,Table_Name52[Category],0))</f>
        <v>Quads[Exercise]</v>
      </c>
      <c r="E19" s="90" t="e">
        <f t="array" ref="E19">INDEX(Links73[Link],MATCH(C19,Links73[Exercise],0))</f>
        <v>#N/A</v>
      </c>
      <c r="F19" s="106" t="e">
        <f>HYPERLINK(E19,"Video")</f>
        <v>#N/A</v>
      </c>
      <c r="G19" s="109"/>
      <c r="H19" s="88">
        <f>C19</f>
        <v>0</v>
      </c>
      <c r="I19" s="76">
        <v>3</v>
      </c>
      <c r="J19" s="76">
        <f>MROUND(((G19)),5)</f>
        <v>0</v>
      </c>
      <c r="K19" s="76" t="s">
        <v>11</v>
      </c>
      <c r="L19" s="76"/>
      <c r="M19" s="77"/>
      <c r="N19" s="88">
        <f>C19</f>
        <v>0</v>
      </c>
      <c r="O19" s="76">
        <f>I19+(M35)</f>
        <v>3</v>
      </c>
      <c r="P19" s="76">
        <f>MROUND((J19*1.05),5)</f>
        <v>0</v>
      </c>
      <c r="Q19" s="76" t="s">
        <v>11</v>
      </c>
      <c r="R19" s="76"/>
      <c r="S19" s="78"/>
      <c r="T19" s="75">
        <f>C19</f>
        <v>0</v>
      </c>
      <c r="U19" s="76">
        <v>2</v>
      </c>
      <c r="V19" s="79">
        <f>J19</f>
        <v>0</v>
      </c>
      <c r="W19" s="77" t="s">
        <v>14</v>
      </c>
    </row>
    <row r="20" spans="2:23" s="43" customFormat="1" ht="15.75" thickBot="1" x14ac:dyDescent="0.3">
      <c r="B20" s="97" t="s">
        <v>106</v>
      </c>
      <c r="C20" s="101"/>
      <c r="D20" s="93" t="str">
        <f t="array" ref="D20">INDEX(Table_Name52[Name List],MATCH(B20,Table_Name52[Category],0))</f>
        <v>Hamstrings_Isolation[Exercise]</v>
      </c>
      <c r="E20" s="74" t="e">
        <f t="array" ref="E20">INDEX(Links73[Link],MATCH(C20,Links73[Exercise],0))</f>
        <v>#N/A</v>
      </c>
      <c r="F20" s="107" t="e">
        <f>HYPERLINK(E20,"Video")</f>
        <v>#N/A</v>
      </c>
      <c r="G20" s="110"/>
      <c r="H20" s="88">
        <f>C20</f>
        <v>0</v>
      </c>
      <c r="I20" s="76">
        <v>3</v>
      </c>
      <c r="J20" s="76">
        <f>MROUND(((G20)),5)</f>
        <v>0</v>
      </c>
      <c r="K20" s="76" t="s">
        <v>11</v>
      </c>
      <c r="L20" s="76"/>
      <c r="M20" s="77"/>
      <c r="N20" s="88">
        <f>C20</f>
        <v>0</v>
      </c>
      <c r="O20" s="76">
        <f>I20+(M34)</f>
        <v>3</v>
      </c>
      <c r="P20" s="76">
        <f>MROUND((J20*1.05),5)</f>
        <v>0</v>
      </c>
      <c r="Q20" s="76" t="s">
        <v>11</v>
      </c>
      <c r="R20" s="76"/>
      <c r="S20" s="78"/>
      <c r="T20" s="75">
        <f>C20</f>
        <v>0</v>
      </c>
      <c r="U20" s="76">
        <v>2</v>
      </c>
      <c r="V20" s="79">
        <f>J20</f>
        <v>0</v>
      </c>
      <c r="W20" s="77" t="s">
        <v>14</v>
      </c>
    </row>
    <row r="21" spans="2:23" s="43" customFormat="1" ht="15.75" thickBot="1" x14ac:dyDescent="0.3">
      <c r="B21" s="98" t="s">
        <v>19</v>
      </c>
      <c r="C21" s="102"/>
      <c r="D21" s="94" t="str">
        <f t="array" ref="D21">INDEX(Table_Name52[Name List],MATCH(B21,Table_Name52[Category],0))</f>
        <v>Calves[Exercise]</v>
      </c>
      <c r="E21" s="80" t="e">
        <f t="array" ref="E21">INDEX(Links73[Link],MATCH(C21,Links73[Exercise],0))</f>
        <v>#N/A</v>
      </c>
      <c r="F21" s="108" t="e">
        <f>HYPERLINK(E21,"Video")</f>
        <v>#N/A</v>
      </c>
      <c r="G21" s="111"/>
      <c r="H21" s="138">
        <f>C21</f>
        <v>0</v>
      </c>
      <c r="I21" s="82">
        <v>3</v>
      </c>
      <c r="J21" s="82">
        <f>MROUND(((G21)),5)</f>
        <v>0</v>
      </c>
      <c r="K21" s="82" t="s">
        <v>11</v>
      </c>
      <c r="L21" s="82"/>
      <c r="M21" s="64"/>
      <c r="N21" s="81">
        <f>C21</f>
        <v>0</v>
      </c>
      <c r="O21" s="82">
        <f>I21+(M36)</f>
        <v>3</v>
      </c>
      <c r="P21" s="82">
        <f>MROUND((J21*1.05),5)</f>
        <v>0</v>
      </c>
      <c r="Q21" s="82" t="s">
        <v>11</v>
      </c>
      <c r="R21" s="82"/>
      <c r="S21" s="78"/>
      <c r="T21" s="81">
        <f>C21</f>
        <v>0</v>
      </c>
      <c r="U21" s="82">
        <v>2</v>
      </c>
      <c r="V21" s="84">
        <f>J21</f>
        <v>0</v>
      </c>
      <c r="W21" s="64" t="s">
        <v>14</v>
      </c>
    </row>
    <row r="22" spans="2:23" s="43" customFormat="1" ht="19.5" thickBot="1" x14ac:dyDescent="0.3">
      <c r="B22" s="86" t="s">
        <v>346</v>
      </c>
      <c r="C22" s="57"/>
      <c r="D22" s="57"/>
      <c r="E22" s="85"/>
      <c r="F22" s="56"/>
      <c r="G22" s="62"/>
      <c r="H22" s="181" t="s">
        <v>1</v>
      </c>
      <c r="I22" s="182"/>
      <c r="J22" s="182"/>
      <c r="K22" s="182"/>
      <c r="L22" s="182"/>
      <c r="M22" s="183"/>
      <c r="N22" s="184" t="s">
        <v>2</v>
      </c>
      <c r="O22" s="185"/>
      <c r="P22" s="185"/>
      <c r="Q22" s="185"/>
      <c r="R22" s="185"/>
      <c r="S22" s="186"/>
      <c r="T22" s="178" t="s">
        <v>355</v>
      </c>
      <c r="U22" s="179"/>
      <c r="V22" s="179"/>
      <c r="W22" s="180"/>
    </row>
    <row r="23" spans="2:23" s="43" customFormat="1" ht="15.75" thickBot="1" x14ac:dyDescent="0.3">
      <c r="B23" s="37"/>
      <c r="C23" s="57"/>
      <c r="D23" s="57"/>
      <c r="E23" s="85"/>
      <c r="F23" s="56"/>
      <c r="G23" s="57"/>
      <c r="H23" s="89" t="s">
        <v>88</v>
      </c>
      <c r="I23" s="70" t="s">
        <v>6</v>
      </c>
      <c r="J23" s="67" t="s">
        <v>7</v>
      </c>
      <c r="K23" s="68" t="s">
        <v>8</v>
      </c>
      <c r="L23" s="68" t="s">
        <v>9</v>
      </c>
      <c r="M23" s="69" t="s">
        <v>10</v>
      </c>
      <c r="N23" s="70" t="s">
        <v>88</v>
      </c>
      <c r="O23" s="70" t="s">
        <v>6</v>
      </c>
      <c r="P23" s="67" t="s">
        <v>7</v>
      </c>
      <c r="Q23" s="68" t="s">
        <v>8</v>
      </c>
      <c r="R23" s="68" t="s">
        <v>9</v>
      </c>
      <c r="S23" s="69" t="s">
        <v>10</v>
      </c>
      <c r="T23" s="70" t="s">
        <v>88</v>
      </c>
      <c r="U23" s="70" t="s">
        <v>6</v>
      </c>
      <c r="V23" s="67" t="s">
        <v>7</v>
      </c>
      <c r="W23" s="71" t="s">
        <v>8</v>
      </c>
    </row>
    <row r="24" spans="2:23" s="43" customFormat="1" ht="15.75" thickBot="1" x14ac:dyDescent="0.3">
      <c r="B24" s="95" t="s">
        <v>347</v>
      </c>
      <c r="C24" s="99" t="s">
        <v>103</v>
      </c>
      <c r="D24" s="91"/>
      <c r="E24" s="91"/>
      <c r="F24" s="99" t="s">
        <v>356</v>
      </c>
      <c r="G24" s="99" t="s">
        <v>357</v>
      </c>
      <c r="H24" s="68" t="s">
        <v>103</v>
      </c>
      <c r="I24" s="72"/>
      <c r="J24" s="72"/>
      <c r="K24" s="72"/>
      <c r="L24" s="72"/>
      <c r="M24" s="73"/>
      <c r="N24" s="65" t="s">
        <v>103</v>
      </c>
      <c r="O24" s="72"/>
      <c r="P24" s="72"/>
      <c r="Q24" s="72"/>
      <c r="R24" s="72"/>
      <c r="S24" s="73"/>
      <c r="T24" s="65" t="s">
        <v>103</v>
      </c>
      <c r="U24" s="72"/>
      <c r="V24" s="72"/>
      <c r="W24" s="73"/>
    </row>
    <row r="25" spans="2:23" s="43" customFormat="1" ht="15.75" thickBot="1" x14ac:dyDescent="0.3">
      <c r="B25" s="96" t="s">
        <v>339</v>
      </c>
      <c r="C25" s="100"/>
      <c r="D25" s="92" t="str">
        <f t="array" ref="D25">INDEX(Table_Name52[Name List],MATCH(B25,Table_Name52[Category],0))</f>
        <v>Vertical_Back[Exercise]</v>
      </c>
      <c r="E25" s="90" t="e">
        <f t="array" ref="E25">INDEX(Links73[Link],MATCH(C25,Links73[Exercise],0))</f>
        <v>#N/A</v>
      </c>
      <c r="F25" s="106" t="e">
        <f>HYPERLINK(E25,"Video")</f>
        <v>#N/A</v>
      </c>
      <c r="G25" s="109"/>
      <c r="H25" s="88">
        <f>C25</f>
        <v>0</v>
      </c>
      <c r="I25" s="76">
        <v>2</v>
      </c>
      <c r="J25" s="76">
        <f>MROUND(((G25)),5)</f>
        <v>0</v>
      </c>
      <c r="K25" s="76" t="s">
        <v>11</v>
      </c>
      <c r="L25" s="76"/>
      <c r="M25" s="78"/>
      <c r="N25" s="88">
        <f>C25</f>
        <v>0</v>
      </c>
      <c r="O25" s="76">
        <f>I25+(M44)</f>
        <v>2</v>
      </c>
      <c r="P25" s="76">
        <f>MROUND((J25*1.05),5)</f>
        <v>0</v>
      </c>
      <c r="Q25" s="76" t="s">
        <v>11</v>
      </c>
      <c r="R25" s="76"/>
      <c r="S25" s="78"/>
      <c r="T25" s="75">
        <f>C25</f>
        <v>0</v>
      </c>
      <c r="U25" s="76">
        <v>2</v>
      </c>
      <c r="V25" s="79">
        <f>J25</f>
        <v>0</v>
      </c>
      <c r="W25" s="77" t="s">
        <v>14</v>
      </c>
    </row>
    <row r="26" spans="2:23" s="43" customFormat="1" ht="15.75" thickBot="1" x14ac:dyDescent="0.3">
      <c r="B26" s="97" t="s">
        <v>338</v>
      </c>
      <c r="C26" s="101"/>
      <c r="D26" s="93" t="str">
        <f t="array" ref="D26">INDEX(Table_Name52[Name List],MATCH(B26,Table_Name52[Category],0))</f>
        <v>Horizontal_Back[Exercise]</v>
      </c>
      <c r="E26" s="74" t="e">
        <f t="array" ref="E26">INDEX(Links73[Link],MATCH(C26,Links73[Exercise],0))</f>
        <v>#N/A</v>
      </c>
      <c r="F26" s="107" t="e">
        <f>HYPERLINK(E26,"Video")</f>
        <v>#N/A</v>
      </c>
      <c r="G26" s="110"/>
      <c r="H26" s="88">
        <f>C26</f>
        <v>0</v>
      </c>
      <c r="I26" s="76">
        <v>2</v>
      </c>
      <c r="J26" s="76">
        <f>MROUND(((G26)),5)</f>
        <v>0</v>
      </c>
      <c r="K26" s="76" t="s">
        <v>11</v>
      </c>
      <c r="L26" s="76"/>
      <c r="M26" s="78"/>
      <c r="N26" s="88">
        <f>C26</f>
        <v>0</v>
      </c>
      <c r="O26" s="76">
        <f>I26+(M44)</f>
        <v>2</v>
      </c>
      <c r="P26" s="76">
        <f>MROUND((J26*1.05),5)</f>
        <v>0</v>
      </c>
      <c r="Q26" s="76" t="s">
        <v>11</v>
      </c>
      <c r="R26" s="76"/>
      <c r="S26" s="78"/>
      <c r="T26" s="75">
        <f>C26</f>
        <v>0</v>
      </c>
      <c r="U26" s="76">
        <v>2</v>
      </c>
      <c r="V26" s="79">
        <f>J26</f>
        <v>0</v>
      </c>
      <c r="W26" s="77" t="s">
        <v>14</v>
      </c>
    </row>
    <row r="27" spans="2:23" s="43" customFormat="1" ht="15.75" thickBot="1" x14ac:dyDescent="0.3">
      <c r="B27" s="97" t="s">
        <v>344</v>
      </c>
      <c r="C27" s="101"/>
      <c r="D27" s="93" t="str">
        <f t="array" ref="D27">INDEX(Table_Name52[Name List],MATCH(B27,Table_Name52[Category],0))</f>
        <v>Horizontal_Push[Exercise]</v>
      </c>
      <c r="E27" s="74" t="e">
        <f t="array" ref="E27">INDEX(Links73[Link],MATCH(C27,Links73[Exercise],0))</f>
        <v>#N/A</v>
      </c>
      <c r="F27" s="107" t="e">
        <f>HYPERLINK(E27,"Video")</f>
        <v>#N/A</v>
      </c>
      <c r="G27" s="110"/>
      <c r="H27" s="88">
        <f>C27</f>
        <v>0</v>
      </c>
      <c r="I27" s="76">
        <v>2</v>
      </c>
      <c r="J27" s="76">
        <f>MROUND(((G27)),5)</f>
        <v>0</v>
      </c>
      <c r="K27" s="76" t="s">
        <v>11</v>
      </c>
      <c r="L27" s="76"/>
      <c r="M27" s="78"/>
      <c r="N27" s="88">
        <f>C27</f>
        <v>0</v>
      </c>
      <c r="O27" s="76">
        <f>I27+(M45)</f>
        <v>2</v>
      </c>
      <c r="P27" s="76">
        <f>MROUND((J27*1.05),5)</f>
        <v>0</v>
      </c>
      <c r="Q27" s="76" t="s">
        <v>11</v>
      </c>
      <c r="R27" s="76"/>
      <c r="S27" s="78"/>
      <c r="T27" s="75">
        <f>C27</f>
        <v>0</v>
      </c>
      <c r="U27" s="76">
        <v>2</v>
      </c>
      <c r="V27" s="79">
        <f>J27</f>
        <v>0</v>
      </c>
      <c r="W27" s="77" t="s">
        <v>14</v>
      </c>
    </row>
    <row r="28" spans="2:23" s="43" customFormat="1" ht="15.75" thickBot="1" x14ac:dyDescent="0.3">
      <c r="B28" s="97" t="s">
        <v>340</v>
      </c>
      <c r="C28" s="101"/>
      <c r="D28" s="93" t="str">
        <f t="array" ref="D28">INDEX(Table_Name52[Name List],MATCH(B28,Table_Name52[Category],0))</f>
        <v>Rear_or_Side_Delts[Exercise]</v>
      </c>
      <c r="E28" s="74" t="e">
        <f t="array" ref="E28">INDEX(Links73[Link],MATCH(C28,Links73[Exercise],0))</f>
        <v>#N/A</v>
      </c>
      <c r="F28" s="107" t="e">
        <f>HYPERLINK(E28,"Video")</f>
        <v>#N/A</v>
      </c>
      <c r="G28" s="110"/>
      <c r="H28" s="88">
        <f>C28</f>
        <v>0</v>
      </c>
      <c r="I28" s="76">
        <v>2</v>
      </c>
      <c r="J28" s="76">
        <f>MROUND(((G28)),5)</f>
        <v>0</v>
      </c>
      <c r="K28" s="76" t="s">
        <v>11</v>
      </c>
      <c r="L28" s="76"/>
      <c r="M28" s="78"/>
      <c r="N28" s="88">
        <f>C28</f>
        <v>0</v>
      </c>
      <c r="O28" s="76">
        <f>I28+(S14)</f>
        <v>2</v>
      </c>
      <c r="P28" s="76">
        <f>MROUND((J28*1.05),5)</f>
        <v>0</v>
      </c>
      <c r="Q28" s="76" t="s">
        <v>11</v>
      </c>
      <c r="R28" s="76"/>
      <c r="S28" s="78"/>
      <c r="T28" s="75">
        <f>C28</f>
        <v>0</v>
      </c>
      <c r="U28" s="76">
        <v>2</v>
      </c>
      <c r="V28" s="79">
        <f>J28</f>
        <v>0</v>
      </c>
      <c r="W28" s="77" t="s">
        <v>14</v>
      </c>
    </row>
    <row r="29" spans="2:23" s="43" customFormat="1" ht="15.75" thickBot="1" x14ac:dyDescent="0.3">
      <c r="B29" s="98" t="s">
        <v>77</v>
      </c>
      <c r="C29" s="102"/>
      <c r="D29" s="94" t="str">
        <f t="array" ref="D29">INDEX(Table_Name52[Name List],MATCH(B29,Table_Name52[Category],0))</f>
        <v>Abs[Exercise]</v>
      </c>
      <c r="E29" s="80" t="e">
        <f t="array" ref="E29">INDEX(Links73[Link],MATCH(C29,Links73[Exercise],0))</f>
        <v>#N/A</v>
      </c>
      <c r="F29" s="108" t="e">
        <f>HYPERLINK(E29,"Video")</f>
        <v>#N/A</v>
      </c>
      <c r="G29" s="111"/>
      <c r="H29" s="138">
        <f>C29</f>
        <v>0</v>
      </c>
      <c r="I29" s="82">
        <v>2</v>
      </c>
      <c r="J29" s="82">
        <f>MROUND(((G29)),5)</f>
        <v>0</v>
      </c>
      <c r="K29" s="82" t="s">
        <v>11</v>
      </c>
      <c r="L29" s="82"/>
      <c r="M29" s="78"/>
      <c r="N29" s="81">
        <f>C29</f>
        <v>0</v>
      </c>
      <c r="O29" s="82">
        <f>I29+(M46)</f>
        <v>2</v>
      </c>
      <c r="P29" s="82">
        <f>MROUND((J29*1.05),5)</f>
        <v>0</v>
      </c>
      <c r="Q29" s="82" t="s">
        <v>11</v>
      </c>
      <c r="R29" s="82"/>
      <c r="S29" s="78"/>
      <c r="T29" s="81">
        <f>C29</f>
        <v>0</v>
      </c>
      <c r="U29" s="82">
        <v>2</v>
      </c>
      <c r="V29" s="84">
        <f>J29</f>
        <v>0</v>
      </c>
      <c r="W29" s="64" t="s">
        <v>14</v>
      </c>
    </row>
    <row r="30" spans="2:23" s="43" customFormat="1" ht="19.5" thickBot="1" x14ac:dyDescent="0.3">
      <c r="B30" s="86" t="s">
        <v>348</v>
      </c>
      <c r="C30" s="57"/>
      <c r="D30" s="57"/>
      <c r="E30" s="85"/>
      <c r="F30" s="56"/>
      <c r="G30" s="62"/>
      <c r="H30" s="181" t="s">
        <v>1</v>
      </c>
      <c r="I30" s="182"/>
      <c r="J30" s="182"/>
      <c r="K30" s="182"/>
      <c r="L30" s="182"/>
      <c r="M30" s="183"/>
      <c r="N30" s="184" t="s">
        <v>2</v>
      </c>
      <c r="O30" s="185"/>
      <c r="P30" s="185"/>
      <c r="Q30" s="185"/>
      <c r="R30" s="185"/>
      <c r="S30" s="186"/>
      <c r="T30" s="178" t="s">
        <v>355</v>
      </c>
      <c r="U30" s="179"/>
      <c r="V30" s="179"/>
      <c r="W30" s="180"/>
    </row>
    <row r="31" spans="2:23" s="43" customFormat="1" ht="15.75" thickBot="1" x14ac:dyDescent="0.3">
      <c r="B31" s="37"/>
      <c r="C31" s="57"/>
      <c r="D31" s="57"/>
      <c r="E31" s="85"/>
      <c r="F31" s="56"/>
      <c r="G31" s="57"/>
      <c r="H31" s="65" t="s">
        <v>88</v>
      </c>
      <c r="I31" s="66" t="s">
        <v>6</v>
      </c>
      <c r="J31" s="67" t="s">
        <v>7</v>
      </c>
      <c r="K31" s="68" t="s">
        <v>8</v>
      </c>
      <c r="L31" s="68" t="s">
        <v>9</v>
      </c>
      <c r="M31" s="69" t="s">
        <v>10</v>
      </c>
      <c r="N31" s="70" t="s">
        <v>88</v>
      </c>
      <c r="O31" s="70" t="s">
        <v>6</v>
      </c>
      <c r="P31" s="67" t="s">
        <v>7</v>
      </c>
      <c r="Q31" s="68" t="s">
        <v>8</v>
      </c>
      <c r="R31" s="68" t="s">
        <v>9</v>
      </c>
      <c r="S31" s="69" t="s">
        <v>10</v>
      </c>
      <c r="T31" s="70" t="s">
        <v>88</v>
      </c>
      <c r="U31" s="70" t="s">
        <v>6</v>
      </c>
      <c r="V31" s="67" t="s">
        <v>7</v>
      </c>
      <c r="W31" s="71" t="s">
        <v>8</v>
      </c>
    </row>
    <row r="32" spans="2:23" s="43" customFormat="1" ht="15.75" thickBot="1" x14ac:dyDescent="0.3">
      <c r="B32" s="95" t="s">
        <v>349</v>
      </c>
      <c r="C32" s="99" t="s">
        <v>336</v>
      </c>
      <c r="D32" s="91"/>
      <c r="E32" s="91"/>
      <c r="F32" s="99" t="s">
        <v>356</v>
      </c>
      <c r="G32" s="99" t="s">
        <v>357</v>
      </c>
      <c r="H32" s="68" t="s">
        <v>336</v>
      </c>
      <c r="I32" s="72"/>
      <c r="J32" s="72"/>
      <c r="K32" s="72"/>
      <c r="L32" s="72"/>
      <c r="M32" s="73"/>
      <c r="N32" s="65" t="s">
        <v>336</v>
      </c>
      <c r="O32" s="72"/>
      <c r="P32" s="72"/>
      <c r="Q32" s="72"/>
      <c r="R32" s="72"/>
      <c r="S32" s="73"/>
      <c r="T32" s="65" t="s">
        <v>336</v>
      </c>
      <c r="U32" s="72"/>
      <c r="V32" s="72"/>
      <c r="W32" s="73"/>
    </row>
    <row r="33" spans="2:23" s="43" customFormat="1" ht="15.75" thickBot="1" x14ac:dyDescent="0.3">
      <c r="B33" s="96" t="s">
        <v>108</v>
      </c>
      <c r="C33" s="100"/>
      <c r="D33" s="92" t="str">
        <f t="array" ref="D33">INDEX(Table_Name52[Name List],MATCH(B33,Table_Name52[Category],0))</f>
        <v>Glutes[Exercise]</v>
      </c>
      <c r="E33" s="103" t="e">
        <f t="array" ref="E33">INDEX(Links73[Link],MATCH(C33,Links73[Exercise],0))</f>
        <v>#N/A</v>
      </c>
      <c r="F33" s="106" t="e">
        <f>HYPERLINK(E33,"Video")</f>
        <v>#N/A</v>
      </c>
      <c r="G33" s="109"/>
      <c r="H33" s="88">
        <f>C33</f>
        <v>0</v>
      </c>
      <c r="I33" s="76">
        <v>3</v>
      </c>
      <c r="J33" s="76">
        <f>MROUND(((G33)),5)</f>
        <v>0</v>
      </c>
      <c r="K33" s="76" t="s">
        <v>11</v>
      </c>
      <c r="L33" s="76"/>
      <c r="M33" s="78"/>
      <c r="N33" s="88">
        <f>C33</f>
        <v>0</v>
      </c>
      <c r="O33" s="76">
        <f>I33+(S19)</f>
        <v>3</v>
      </c>
      <c r="P33" s="76">
        <f>MROUND((J33*1.05),5)</f>
        <v>0</v>
      </c>
      <c r="Q33" s="76" t="s">
        <v>11</v>
      </c>
      <c r="R33" s="76"/>
      <c r="S33" s="78"/>
      <c r="T33" s="75">
        <f>C33</f>
        <v>0</v>
      </c>
      <c r="U33" s="76">
        <v>2</v>
      </c>
      <c r="V33" s="79">
        <f>MROUND((J33*0.5),5)</f>
        <v>0</v>
      </c>
      <c r="W33" s="77" t="s">
        <v>14</v>
      </c>
    </row>
    <row r="34" spans="2:23" s="43" customFormat="1" ht="15.75" thickBot="1" x14ac:dyDescent="0.3">
      <c r="B34" s="97" t="s">
        <v>107</v>
      </c>
      <c r="C34" s="101"/>
      <c r="D34" s="93" t="str">
        <f t="array" ref="D34">INDEX(Table_Name52[Name List],MATCH(B34,Table_Name52[Category],0))</f>
        <v>Hamstrings_Hip_Hinge[Exercise]</v>
      </c>
      <c r="E34" s="104" t="e">
        <f t="array" ref="E34">INDEX(Links73[Link],MATCH(C34,Links73[Exercise],0))</f>
        <v>#N/A</v>
      </c>
      <c r="F34" s="107" t="e">
        <f>HYPERLINK(E34,"Video")</f>
        <v>#N/A</v>
      </c>
      <c r="G34" s="110"/>
      <c r="H34" s="88">
        <f>C34</f>
        <v>0</v>
      </c>
      <c r="I34" s="76">
        <v>3</v>
      </c>
      <c r="J34" s="76">
        <f>MROUND(((G34)),5)</f>
        <v>0</v>
      </c>
      <c r="K34" s="76" t="s">
        <v>11</v>
      </c>
      <c r="L34" s="76"/>
      <c r="M34" s="78"/>
      <c r="N34" s="88">
        <f>C34</f>
        <v>0</v>
      </c>
      <c r="O34" s="76">
        <f>I34+(S20)</f>
        <v>3</v>
      </c>
      <c r="P34" s="76">
        <f>MROUND((J34*1.05),5)</f>
        <v>0</v>
      </c>
      <c r="Q34" s="76" t="s">
        <v>11</v>
      </c>
      <c r="R34" s="76"/>
      <c r="S34" s="78"/>
      <c r="T34" s="75">
        <f>C34</f>
        <v>0</v>
      </c>
      <c r="U34" s="76">
        <v>2</v>
      </c>
      <c r="V34" s="79">
        <f>MROUND((J34*0.5),5)</f>
        <v>0</v>
      </c>
      <c r="W34" s="77" t="s">
        <v>14</v>
      </c>
    </row>
    <row r="35" spans="2:23" s="43" customFormat="1" ht="15.75" thickBot="1" x14ac:dyDescent="0.3">
      <c r="B35" s="97" t="s">
        <v>20</v>
      </c>
      <c r="C35" s="101"/>
      <c r="D35" s="93" t="str">
        <f t="array" ref="D35">INDEX(Table_Name52[Name List],MATCH(B35,Table_Name52[Category],0))</f>
        <v>Quads[Exercise]</v>
      </c>
      <c r="E35" s="104" t="e">
        <f t="array" ref="E35">INDEX(Links73[Link],MATCH(C35,Links73[Exercise],0))</f>
        <v>#N/A</v>
      </c>
      <c r="F35" s="107" t="e">
        <f>HYPERLINK(E35,"Video")</f>
        <v>#N/A</v>
      </c>
      <c r="G35" s="110"/>
      <c r="H35" s="88">
        <f>C35</f>
        <v>0</v>
      </c>
      <c r="I35" s="76">
        <v>3</v>
      </c>
      <c r="J35" s="76">
        <f>MROUND(((G35)),5)</f>
        <v>0</v>
      </c>
      <c r="K35" s="76" t="s">
        <v>11</v>
      </c>
      <c r="L35" s="76"/>
      <c r="M35" s="78"/>
      <c r="N35" s="88">
        <f>C35</f>
        <v>0</v>
      </c>
      <c r="O35" s="76">
        <f>I35+(S19)</f>
        <v>3</v>
      </c>
      <c r="P35" s="76">
        <f>MROUND((J35*1.05),5)</f>
        <v>0</v>
      </c>
      <c r="Q35" s="76" t="s">
        <v>11</v>
      </c>
      <c r="R35" s="76"/>
      <c r="S35" s="78"/>
      <c r="T35" s="75">
        <f>C35</f>
        <v>0</v>
      </c>
      <c r="U35" s="76">
        <v>2</v>
      </c>
      <c r="V35" s="79">
        <f>MROUND((J35*0.5),5)</f>
        <v>0</v>
      </c>
      <c r="W35" s="77" t="s">
        <v>14</v>
      </c>
    </row>
    <row r="36" spans="2:23" s="43" customFormat="1" ht="15.75" thickBot="1" x14ac:dyDescent="0.3">
      <c r="B36" s="98" t="s">
        <v>19</v>
      </c>
      <c r="C36" s="102"/>
      <c r="D36" s="94" t="str">
        <f t="array" ref="D36">INDEX(Table_Name52[Name List],MATCH(B36,Table_Name52[Category],0))</f>
        <v>Calves[Exercise]</v>
      </c>
      <c r="E36" s="105" t="e">
        <f t="array" ref="E36">INDEX(Links73[Link],MATCH(C36,Links73[Exercise],0))</f>
        <v>#N/A</v>
      </c>
      <c r="F36" s="108" t="e">
        <f>HYPERLINK(E36,"Video")</f>
        <v>#N/A</v>
      </c>
      <c r="G36" s="111"/>
      <c r="H36" s="138">
        <f>C36</f>
        <v>0</v>
      </c>
      <c r="I36" s="82">
        <v>3</v>
      </c>
      <c r="J36" s="82">
        <f>MROUND(((G36)),5)</f>
        <v>0</v>
      </c>
      <c r="K36" s="82" t="s">
        <v>11</v>
      </c>
      <c r="L36" s="82"/>
      <c r="M36" s="78"/>
      <c r="N36" s="81">
        <f>C36</f>
        <v>0</v>
      </c>
      <c r="O36" s="82">
        <f>I36+(S21)</f>
        <v>3</v>
      </c>
      <c r="P36" s="82">
        <f>MROUND((J36*1.05),5)</f>
        <v>0</v>
      </c>
      <c r="Q36" s="82" t="s">
        <v>11</v>
      </c>
      <c r="R36" s="82"/>
      <c r="S36" s="78"/>
      <c r="T36" s="81">
        <f>C36</f>
        <v>0</v>
      </c>
      <c r="U36" s="82">
        <v>2</v>
      </c>
      <c r="V36" s="84">
        <f>MROUND((J36*0.5),5)</f>
        <v>0</v>
      </c>
      <c r="W36" s="64" t="s">
        <v>14</v>
      </c>
    </row>
    <row r="37" spans="2:23" s="43" customFormat="1" ht="19.5" thickBot="1" x14ac:dyDescent="0.3">
      <c r="B37" s="86" t="s">
        <v>350</v>
      </c>
      <c r="C37" s="57"/>
      <c r="D37" s="57"/>
      <c r="E37" s="85"/>
      <c r="F37" s="56"/>
      <c r="G37" s="62"/>
      <c r="H37" s="181" t="s">
        <v>1</v>
      </c>
      <c r="I37" s="182"/>
      <c r="J37" s="182"/>
      <c r="K37" s="182"/>
      <c r="L37" s="182"/>
      <c r="M37" s="183"/>
      <c r="N37" s="184" t="s">
        <v>2</v>
      </c>
      <c r="O37" s="185"/>
      <c r="P37" s="185"/>
      <c r="Q37" s="185"/>
      <c r="R37" s="185"/>
      <c r="S37" s="186"/>
      <c r="T37" s="178" t="s">
        <v>355</v>
      </c>
      <c r="U37" s="179"/>
      <c r="V37" s="179"/>
      <c r="W37" s="180"/>
    </row>
    <row r="38" spans="2:23" s="43" customFormat="1" ht="15.75" thickBot="1" x14ac:dyDescent="0.3">
      <c r="B38" s="37"/>
      <c r="C38" s="57"/>
      <c r="D38" s="57"/>
      <c r="E38" s="85"/>
      <c r="F38" s="56"/>
      <c r="G38" s="57"/>
      <c r="H38" s="65" t="s">
        <v>88</v>
      </c>
      <c r="I38" s="66" t="s">
        <v>6</v>
      </c>
      <c r="J38" s="67" t="s">
        <v>7</v>
      </c>
      <c r="K38" s="68" t="s">
        <v>8</v>
      </c>
      <c r="L38" s="68" t="s">
        <v>9</v>
      </c>
      <c r="M38" s="69" t="s">
        <v>10</v>
      </c>
      <c r="N38" s="70" t="s">
        <v>88</v>
      </c>
      <c r="O38" s="70" t="s">
        <v>6</v>
      </c>
      <c r="P38" s="67" t="s">
        <v>7</v>
      </c>
      <c r="Q38" s="68" t="s">
        <v>8</v>
      </c>
      <c r="R38" s="68" t="s">
        <v>9</v>
      </c>
      <c r="S38" s="69" t="s">
        <v>10</v>
      </c>
      <c r="T38" s="70" t="s">
        <v>88</v>
      </c>
      <c r="U38" s="70" t="s">
        <v>6</v>
      </c>
      <c r="V38" s="67" t="s">
        <v>7</v>
      </c>
      <c r="W38" s="71" t="s">
        <v>8</v>
      </c>
    </row>
    <row r="39" spans="2:23" s="43" customFormat="1" ht="15.75" thickBot="1" x14ac:dyDescent="0.3">
      <c r="B39" s="95" t="s">
        <v>351</v>
      </c>
      <c r="C39" s="99" t="s">
        <v>341</v>
      </c>
      <c r="D39" s="91"/>
      <c r="E39" s="91"/>
      <c r="F39" s="99" t="s">
        <v>356</v>
      </c>
      <c r="G39" s="99" t="s">
        <v>357</v>
      </c>
      <c r="H39" s="68" t="s">
        <v>341</v>
      </c>
      <c r="I39" s="72"/>
      <c r="J39" s="72"/>
      <c r="K39" s="72"/>
      <c r="L39" s="72"/>
      <c r="M39" s="73"/>
      <c r="N39" s="65" t="s">
        <v>341</v>
      </c>
      <c r="O39" s="72"/>
      <c r="P39" s="72"/>
      <c r="Q39" s="72"/>
      <c r="R39" s="72"/>
      <c r="S39" s="73"/>
      <c r="T39" s="65" t="s">
        <v>341</v>
      </c>
      <c r="U39" s="72"/>
      <c r="V39" s="72"/>
      <c r="W39" s="73"/>
    </row>
    <row r="40" spans="2:23" s="43" customFormat="1" ht="15.75" thickBot="1" x14ac:dyDescent="0.3">
      <c r="B40" s="96" t="s">
        <v>18</v>
      </c>
      <c r="C40" s="100"/>
      <c r="D40" s="92" t="str">
        <f t="array" ref="D40">INDEX(Table_Name52[Name List],MATCH(B40,Table_Name52[Category],0))</f>
        <v>Biceps[Exercise]</v>
      </c>
      <c r="E40" s="90" t="e">
        <f t="array" ref="E40">INDEX(Links73[Link],MATCH(C40,Links73[Exercise],0))</f>
        <v>#N/A</v>
      </c>
      <c r="F40" s="106" t="e">
        <f t="shared" ref="F40:F46" si="0">HYPERLINK(E40,"Video")</f>
        <v>#N/A</v>
      </c>
      <c r="G40" s="109"/>
      <c r="H40" s="88">
        <f t="shared" ref="H40:H46" si="1">C40</f>
        <v>0</v>
      </c>
      <c r="I40" s="76">
        <v>3</v>
      </c>
      <c r="J40" s="76">
        <f t="shared" ref="J40:J46" si="2">MROUND(((G40)),5)</f>
        <v>0</v>
      </c>
      <c r="K40" s="76" t="s">
        <v>11</v>
      </c>
      <c r="L40" s="76"/>
      <c r="M40" s="78"/>
      <c r="N40" s="88">
        <f t="shared" ref="N40:N46" si="3">C40</f>
        <v>0</v>
      </c>
      <c r="O40" s="76">
        <f>I40+(S13)</f>
        <v>3</v>
      </c>
      <c r="P40" s="76">
        <f t="shared" ref="P40:P46" si="4">MROUND((J40*1.05),5)</f>
        <v>0</v>
      </c>
      <c r="Q40" s="76" t="s">
        <v>11</v>
      </c>
      <c r="R40" s="76"/>
      <c r="S40" s="78"/>
      <c r="T40" s="75">
        <f t="shared" ref="T40:T46" si="5">C40</f>
        <v>0</v>
      </c>
      <c r="U40" s="76">
        <v>2</v>
      </c>
      <c r="V40" s="79">
        <f t="shared" ref="V40:V46" si="6">MROUND((J40*0.5),5)</f>
        <v>0</v>
      </c>
      <c r="W40" s="77" t="s">
        <v>14</v>
      </c>
    </row>
    <row r="41" spans="2:23" s="43" customFormat="1" ht="15.75" thickBot="1" x14ac:dyDescent="0.3">
      <c r="B41" s="97" t="s">
        <v>17</v>
      </c>
      <c r="C41" s="101"/>
      <c r="D41" s="93" t="str">
        <f t="array" ref="D41">INDEX(Table_Name52[Name List],MATCH(B41,Table_Name52[Category],0))</f>
        <v>Triceps[Exercise]</v>
      </c>
      <c r="E41" s="74" t="e">
        <f t="array" ref="E41">INDEX(Links73[Link],MATCH(C41,Links73[Exercise],0))</f>
        <v>#N/A</v>
      </c>
      <c r="F41" s="107" t="e">
        <f t="shared" si="0"/>
        <v>#N/A</v>
      </c>
      <c r="G41" s="110"/>
      <c r="H41" s="88">
        <f t="shared" si="1"/>
        <v>0</v>
      </c>
      <c r="I41" s="76">
        <v>3</v>
      </c>
      <c r="J41" s="76">
        <f t="shared" si="2"/>
        <v>0</v>
      </c>
      <c r="K41" s="76" t="s">
        <v>11</v>
      </c>
      <c r="L41" s="76"/>
      <c r="M41" s="78"/>
      <c r="N41" s="88">
        <f t="shared" si="3"/>
        <v>0</v>
      </c>
      <c r="O41" s="76">
        <f>I41+(S11)</f>
        <v>3</v>
      </c>
      <c r="P41" s="76">
        <f t="shared" si="4"/>
        <v>0</v>
      </c>
      <c r="Q41" s="76" t="s">
        <v>11</v>
      </c>
      <c r="R41" s="76"/>
      <c r="S41" s="78"/>
      <c r="T41" s="75">
        <f t="shared" si="5"/>
        <v>0</v>
      </c>
      <c r="U41" s="76">
        <v>2</v>
      </c>
      <c r="V41" s="79">
        <f t="shared" si="6"/>
        <v>0</v>
      </c>
      <c r="W41" s="77" t="s">
        <v>14</v>
      </c>
    </row>
    <row r="42" spans="2:23" s="43" customFormat="1" ht="15.75" thickBot="1" x14ac:dyDescent="0.3">
      <c r="B42" s="97" t="s">
        <v>104</v>
      </c>
      <c r="C42" s="101"/>
      <c r="D42" s="93" t="str">
        <f t="array" ref="D42">INDEX(Table_Name52[Name List],MATCH(B42,Table_Name52[Category],0))</f>
        <v>Front_Delts[Exercise]</v>
      </c>
      <c r="E42" s="74" t="e">
        <f t="array" ref="E42">INDEX(Links73[Link],MATCH(C42,Links73[Exercise],0))</f>
        <v>#N/A</v>
      </c>
      <c r="F42" s="107" t="e">
        <f t="shared" si="0"/>
        <v>#N/A</v>
      </c>
      <c r="G42" s="110"/>
      <c r="H42" s="88">
        <f t="shared" si="1"/>
        <v>0</v>
      </c>
      <c r="I42" s="76">
        <v>3</v>
      </c>
      <c r="J42" s="76">
        <f t="shared" si="2"/>
        <v>0</v>
      </c>
      <c r="K42" s="76" t="s">
        <v>11</v>
      </c>
      <c r="L42" s="76"/>
      <c r="M42" s="78"/>
      <c r="N42" s="88">
        <f t="shared" si="3"/>
        <v>0</v>
      </c>
      <c r="O42" s="76">
        <f>I42+(S11)</f>
        <v>3</v>
      </c>
      <c r="P42" s="76">
        <f t="shared" si="4"/>
        <v>0</v>
      </c>
      <c r="Q42" s="76" t="s">
        <v>11</v>
      </c>
      <c r="R42" s="76"/>
      <c r="S42" s="78"/>
      <c r="T42" s="75">
        <f t="shared" si="5"/>
        <v>0</v>
      </c>
      <c r="U42" s="76">
        <v>2</v>
      </c>
      <c r="V42" s="79">
        <f t="shared" si="6"/>
        <v>0</v>
      </c>
      <c r="W42" s="77" t="s">
        <v>14</v>
      </c>
    </row>
    <row r="43" spans="2:23" s="43" customFormat="1" ht="15.75" thickBot="1" x14ac:dyDescent="0.3">
      <c r="B43" s="97" t="s">
        <v>120</v>
      </c>
      <c r="C43" s="101"/>
      <c r="D43" s="93" t="str">
        <f t="array" ref="D43">INDEX(Table_Name52[Name List],MATCH(B43,Table_Name52[Category],0))</f>
        <v>Traps[Exercise]</v>
      </c>
      <c r="E43" s="74" t="e">
        <f t="array" ref="E43">INDEX(Links73[Link],MATCH(C43,Links73[Exercise],0))</f>
        <v>#N/A</v>
      </c>
      <c r="F43" s="107" t="e">
        <f t="shared" si="0"/>
        <v>#N/A</v>
      </c>
      <c r="G43" s="110"/>
      <c r="H43" s="88">
        <f t="shared" si="1"/>
        <v>0</v>
      </c>
      <c r="I43" s="76">
        <v>3</v>
      </c>
      <c r="J43" s="76">
        <f t="shared" si="2"/>
        <v>0</v>
      </c>
      <c r="K43" s="76" t="s">
        <v>11</v>
      </c>
      <c r="L43" s="76"/>
      <c r="M43" s="78"/>
      <c r="N43" s="88">
        <f t="shared" si="3"/>
        <v>0</v>
      </c>
      <c r="O43" s="76">
        <f>I43+(S14)</f>
        <v>3</v>
      </c>
      <c r="P43" s="76">
        <f t="shared" si="4"/>
        <v>0</v>
      </c>
      <c r="Q43" s="76" t="s">
        <v>11</v>
      </c>
      <c r="R43" s="76"/>
      <c r="S43" s="78"/>
      <c r="T43" s="75">
        <f t="shared" si="5"/>
        <v>0</v>
      </c>
      <c r="U43" s="76">
        <v>2</v>
      </c>
      <c r="V43" s="79">
        <f t="shared" si="6"/>
        <v>0</v>
      </c>
      <c r="W43" s="77" t="s">
        <v>14</v>
      </c>
    </row>
    <row r="44" spans="2:23" s="43" customFormat="1" ht="15.75" thickBot="1" x14ac:dyDescent="0.3">
      <c r="B44" s="97" t="s">
        <v>339</v>
      </c>
      <c r="C44" s="101"/>
      <c r="D44" s="93" t="str">
        <f t="array" ref="D44">INDEX(Table_Name52[Name List],MATCH(B44,Table_Name52[Category],0))</f>
        <v>Vertical_Back[Exercise]</v>
      </c>
      <c r="E44" s="74" t="e">
        <f t="array" ref="E44">INDEX(Links73[Link],MATCH(C44,Links73[Exercise],0))</f>
        <v>#N/A</v>
      </c>
      <c r="F44" s="107" t="e">
        <f t="shared" si="0"/>
        <v>#N/A</v>
      </c>
      <c r="G44" s="110"/>
      <c r="H44" s="88">
        <f t="shared" si="1"/>
        <v>0</v>
      </c>
      <c r="I44" s="76">
        <v>2</v>
      </c>
      <c r="J44" s="76">
        <f t="shared" si="2"/>
        <v>0</v>
      </c>
      <c r="K44" s="76" t="s">
        <v>11</v>
      </c>
      <c r="L44" s="76"/>
      <c r="M44" s="78"/>
      <c r="N44" s="88">
        <f t="shared" si="3"/>
        <v>0</v>
      </c>
      <c r="O44" s="76">
        <f>I44+(S13)</f>
        <v>2</v>
      </c>
      <c r="P44" s="76">
        <f t="shared" si="4"/>
        <v>0</v>
      </c>
      <c r="Q44" s="76" t="s">
        <v>11</v>
      </c>
      <c r="R44" s="76"/>
      <c r="S44" s="78"/>
      <c r="T44" s="75">
        <f t="shared" si="5"/>
        <v>0</v>
      </c>
      <c r="U44" s="76">
        <v>2</v>
      </c>
      <c r="V44" s="79">
        <f t="shared" si="6"/>
        <v>0</v>
      </c>
      <c r="W44" s="77" t="s">
        <v>14</v>
      </c>
    </row>
    <row r="45" spans="2:23" s="43" customFormat="1" ht="15.75" thickBot="1" x14ac:dyDescent="0.3">
      <c r="B45" s="97" t="s">
        <v>343</v>
      </c>
      <c r="C45" s="101"/>
      <c r="D45" s="93" t="str">
        <f t="array" ref="D45">INDEX(Table_Name52[Name List],MATCH(B45,Table_Name52[Category],0))</f>
        <v>Incline_Push[Exercise]</v>
      </c>
      <c r="E45" s="74" t="e">
        <f t="array" ref="E45">INDEX(Links73[Link],MATCH(C45,Links73[Exercise],0))</f>
        <v>#N/A</v>
      </c>
      <c r="F45" s="107" t="e">
        <f t="shared" si="0"/>
        <v>#N/A</v>
      </c>
      <c r="G45" s="110"/>
      <c r="H45" s="88">
        <f t="shared" si="1"/>
        <v>0</v>
      </c>
      <c r="I45" s="76">
        <v>2</v>
      </c>
      <c r="J45" s="76">
        <f t="shared" si="2"/>
        <v>0</v>
      </c>
      <c r="K45" s="76" t="s">
        <v>11</v>
      </c>
      <c r="L45" s="76"/>
      <c r="M45" s="78"/>
      <c r="N45" s="88">
        <f t="shared" si="3"/>
        <v>0</v>
      </c>
      <c r="O45" s="76">
        <f>I45+(S11)</f>
        <v>2</v>
      </c>
      <c r="P45" s="76">
        <f t="shared" si="4"/>
        <v>0</v>
      </c>
      <c r="Q45" s="76" t="s">
        <v>11</v>
      </c>
      <c r="R45" s="76"/>
      <c r="S45" s="78"/>
      <c r="T45" s="75">
        <f t="shared" si="5"/>
        <v>0</v>
      </c>
      <c r="U45" s="76">
        <v>2</v>
      </c>
      <c r="V45" s="79">
        <f t="shared" si="6"/>
        <v>0</v>
      </c>
      <c r="W45" s="77" t="s">
        <v>14</v>
      </c>
    </row>
    <row r="46" spans="2:23" s="43" customFormat="1" ht="15.75" thickBot="1" x14ac:dyDescent="0.3">
      <c r="B46" s="98" t="s">
        <v>77</v>
      </c>
      <c r="C46" s="102"/>
      <c r="D46" s="93" t="str">
        <f t="array" ref="D46">INDEX(Table_Name52[Name List],MATCH(B46,Table_Name52[Category],0))</f>
        <v>Abs[Exercise]</v>
      </c>
      <c r="E46" s="74" t="e">
        <f t="array" ref="E46">INDEX(Links73[Link],MATCH(C46,Links73[Exercise],0))</f>
        <v>#N/A</v>
      </c>
      <c r="F46" s="108" t="e">
        <f t="shared" si="0"/>
        <v>#N/A</v>
      </c>
      <c r="G46" s="111"/>
      <c r="H46" s="138">
        <f t="shared" si="1"/>
        <v>0</v>
      </c>
      <c r="I46" s="82">
        <v>2</v>
      </c>
      <c r="J46" s="82">
        <f t="shared" si="2"/>
        <v>0</v>
      </c>
      <c r="K46" s="82" t="s">
        <v>11</v>
      </c>
      <c r="L46" s="82"/>
      <c r="M46" s="78"/>
      <c r="N46" s="81">
        <f t="shared" si="3"/>
        <v>0</v>
      </c>
      <c r="O46" s="82">
        <f>I46+(S15)</f>
        <v>2</v>
      </c>
      <c r="P46" s="82">
        <f t="shared" si="4"/>
        <v>0</v>
      </c>
      <c r="Q46" s="82" t="s">
        <v>11</v>
      </c>
      <c r="R46" s="82"/>
      <c r="S46" s="78"/>
      <c r="T46" s="81">
        <f t="shared" si="5"/>
        <v>0</v>
      </c>
      <c r="U46" s="82">
        <v>2</v>
      </c>
      <c r="V46" s="84">
        <f t="shared" si="6"/>
        <v>0</v>
      </c>
      <c r="W46" s="64" t="s">
        <v>14</v>
      </c>
    </row>
    <row r="47" spans="2:23" s="43" customFormat="1" x14ac:dyDescent="0.25">
      <c r="B47"/>
      <c r="C47" s="35"/>
      <c r="D47" s="35"/>
      <c r="E47" s="55"/>
      <c r="F47" s="56"/>
      <c r="G47" s="57"/>
      <c r="H47" s="35"/>
      <c r="I47" s="4"/>
      <c r="J47" s="4"/>
      <c r="K47" s="4"/>
      <c r="L47" s="4"/>
      <c r="M47" s="4"/>
      <c r="N47" s="35"/>
      <c r="O47" s="4"/>
      <c r="P47" s="4"/>
      <c r="Q47" s="4"/>
      <c r="R47" s="4"/>
      <c r="S47" s="4"/>
      <c r="T47" s="35"/>
      <c r="U47" s="4"/>
      <c r="V47" s="4"/>
      <c r="W47" s="4"/>
    </row>
    <row r="48" spans="2:23" s="43" customFormat="1" x14ac:dyDescent="0.25">
      <c r="B48" s="17" t="s">
        <v>352</v>
      </c>
      <c r="C48" s="35"/>
      <c r="D48" s="35"/>
      <c r="E48" s="55"/>
      <c r="F48" s="56"/>
      <c r="G48" s="57"/>
      <c r="H48" s="35"/>
      <c r="I48" s="4"/>
      <c r="J48" s="4"/>
      <c r="K48" s="4"/>
      <c r="L48" s="4"/>
      <c r="M48" s="4"/>
      <c r="N48" s="35"/>
      <c r="O48" s="4"/>
      <c r="P48" s="4"/>
      <c r="Q48" s="4"/>
      <c r="R48" s="4"/>
      <c r="S48" s="4"/>
      <c r="T48" s="35"/>
      <c r="U48" s="4"/>
      <c r="V48" s="4"/>
      <c r="W48" s="4"/>
    </row>
    <row r="49" spans="1:23" s="43" customFormat="1" x14ac:dyDescent="0.25">
      <c r="B49" s="17"/>
      <c r="C49" s="35"/>
      <c r="D49" s="35"/>
      <c r="E49" s="55"/>
      <c r="F49" s="56"/>
      <c r="G49" s="57"/>
      <c r="H49" s="35"/>
      <c r="I49" s="4"/>
      <c r="J49" s="4"/>
      <c r="K49" s="4"/>
      <c r="L49" s="4"/>
      <c r="M49" s="4"/>
      <c r="N49" s="35"/>
      <c r="O49" s="4"/>
      <c r="P49" s="4"/>
      <c r="Q49" s="4"/>
      <c r="R49" s="4"/>
      <c r="S49" s="4"/>
      <c r="T49" s="35"/>
      <c r="U49" s="4"/>
      <c r="V49" s="4"/>
      <c r="W49" s="4"/>
    </row>
    <row r="50" spans="1:23" s="43" customFormat="1" x14ac:dyDescent="0.25">
      <c r="B50" s="17"/>
      <c r="C50" s="35"/>
      <c r="D50" s="35"/>
      <c r="E50" s="55"/>
      <c r="F50" s="56"/>
      <c r="G50" s="57"/>
      <c r="H50" s="35"/>
      <c r="I50" s="4"/>
      <c r="J50" s="4"/>
      <c r="K50" s="4"/>
      <c r="L50" s="4"/>
      <c r="M50" s="4"/>
      <c r="N50" s="35"/>
      <c r="O50" s="4"/>
      <c r="P50" s="4"/>
      <c r="Q50" s="4"/>
      <c r="R50" s="4"/>
      <c r="S50" s="4"/>
      <c r="T50" s="35"/>
      <c r="U50" s="4"/>
      <c r="V50" s="4"/>
      <c r="W50" s="4"/>
    </row>
    <row r="51" spans="1:23" s="43" customFormat="1" x14ac:dyDescent="0.25">
      <c r="B51" s="17"/>
      <c r="C51" s="35"/>
      <c r="D51" s="35"/>
      <c r="E51" s="55"/>
      <c r="F51" s="56"/>
      <c r="G51" s="57"/>
      <c r="H51" s="35"/>
      <c r="I51" s="4"/>
      <c r="J51" s="4"/>
      <c r="K51" s="4"/>
      <c r="L51" s="4"/>
      <c r="M51" s="4"/>
      <c r="N51" s="35"/>
      <c r="O51" s="4"/>
      <c r="P51" s="4"/>
      <c r="Q51" s="4"/>
      <c r="R51" s="4"/>
      <c r="S51" s="4"/>
      <c r="T51" s="35"/>
      <c r="U51" s="4"/>
      <c r="V51" s="4"/>
      <c r="W51" s="4"/>
    </row>
    <row r="52" spans="1:23" s="43" customFormat="1" x14ac:dyDescent="0.25">
      <c r="B52" s="17"/>
      <c r="C52" s="35"/>
      <c r="D52" s="35"/>
      <c r="E52" s="55"/>
      <c r="F52" s="56"/>
      <c r="G52" s="57"/>
      <c r="H52" s="35"/>
      <c r="I52" s="4"/>
      <c r="J52" s="4"/>
      <c r="K52" s="4"/>
      <c r="L52" s="4"/>
      <c r="M52" s="4"/>
      <c r="N52" s="35"/>
      <c r="O52" s="4"/>
      <c r="P52" s="4"/>
      <c r="Q52" s="4"/>
      <c r="R52" s="4"/>
      <c r="S52" s="4"/>
      <c r="T52" s="35"/>
      <c r="U52" s="4"/>
      <c r="V52" s="4"/>
      <c r="W52" s="4"/>
    </row>
    <row r="53" spans="1:23" hidden="1" x14ac:dyDescent="0.25">
      <c r="C53" t="s">
        <v>21</v>
      </c>
      <c r="E53" s="43"/>
    </row>
    <row r="54" spans="1:23" hidden="1" x14ac:dyDescent="0.25">
      <c r="C54">
        <v>1</v>
      </c>
      <c r="E54" s="43"/>
    </row>
    <row r="55" spans="1:23" hidden="1" x14ac:dyDescent="0.25">
      <c r="C55">
        <v>0</v>
      </c>
      <c r="E55" s="43"/>
    </row>
    <row r="56" spans="1:23" hidden="1" x14ac:dyDescent="0.25">
      <c r="C56">
        <v>-1</v>
      </c>
      <c r="E56" s="43"/>
    </row>
    <row r="57" spans="1:23" hidden="1" x14ac:dyDescent="0.25">
      <c r="E57" s="43"/>
    </row>
    <row r="58" spans="1:23" hidden="1" x14ac:dyDescent="0.25">
      <c r="E58" s="43"/>
    </row>
    <row r="59" spans="1:23" hidden="1" x14ac:dyDescent="0.25">
      <c r="E59" s="43"/>
    </row>
    <row r="60" spans="1:23" hidden="1" x14ac:dyDescent="0.25">
      <c r="E60" s="43"/>
      <c r="F60" s="9"/>
      <c r="G60" s="9"/>
      <c r="H60" s="9"/>
    </row>
    <row r="61" spans="1:23" hidden="1" x14ac:dyDescent="0.25">
      <c r="A61" s="36" t="s">
        <v>77</v>
      </c>
      <c r="B61" s="47" t="s">
        <v>88</v>
      </c>
      <c r="C61" s="51" t="s">
        <v>294</v>
      </c>
      <c r="D61" s="9"/>
      <c r="E61" s="43"/>
      <c r="H61" s="13"/>
    </row>
    <row r="62" spans="1:23" hidden="1" x14ac:dyDescent="0.25">
      <c r="A62" s="13"/>
      <c r="B62" s="52" t="s">
        <v>109</v>
      </c>
      <c r="C62" s="47" t="s">
        <v>178</v>
      </c>
      <c r="D62" s="37"/>
      <c r="E62" s="43"/>
      <c r="H62" s="13"/>
    </row>
    <row r="63" spans="1:23" hidden="1" x14ac:dyDescent="0.25">
      <c r="A63" s="13"/>
      <c r="B63" s="52" t="s">
        <v>79</v>
      </c>
      <c r="C63" s="47" t="s">
        <v>179</v>
      </c>
      <c r="D63" s="37"/>
      <c r="E63" s="43"/>
      <c r="H63" s="13"/>
    </row>
    <row r="64" spans="1:23" hidden="1" x14ac:dyDescent="0.25">
      <c r="A64" s="13"/>
      <c r="B64" s="52" t="s">
        <v>80</v>
      </c>
      <c r="C64" s="47" t="s">
        <v>180</v>
      </c>
      <c r="D64" s="37"/>
      <c r="E64" s="43"/>
      <c r="H64" s="13"/>
    </row>
    <row r="65" spans="1:9" hidden="1" x14ac:dyDescent="0.25">
      <c r="A65" s="13"/>
      <c r="B65" s="52" t="s">
        <v>78</v>
      </c>
      <c r="C65" s="47" t="s">
        <v>181</v>
      </c>
      <c r="D65" s="37"/>
      <c r="E65" s="43"/>
      <c r="H65" s="13"/>
    </row>
    <row r="66" spans="1:9" hidden="1" x14ac:dyDescent="0.25">
      <c r="A66" s="13"/>
      <c r="B66" s="52" t="s">
        <v>110</v>
      </c>
      <c r="C66" s="52" t="s">
        <v>182</v>
      </c>
      <c r="D66" s="39"/>
      <c r="E66" s="43"/>
      <c r="H66" s="13"/>
    </row>
    <row r="67" spans="1:9" hidden="1" x14ac:dyDescent="0.25">
      <c r="A67" s="13"/>
      <c r="B67" s="52" t="s">
        <v>81</v>
      </c>
      <c r="C67" s="47" t="s">
        <v>183</v>
      </c>
      <c r="D67" s="37"/>
      <c r="E67" s="43"/>
      <c r="H67" s="13"/>
    </row>
    <row r="68" spans="1:9" hidden="1" x14ac:dyDescent="0.25">
      <c r="A68" s="13"/>
      <c r="B68" s="52" t="s">
        <v>146</v>
      </c>
      <c r="C68" s="47" t="s">
        <v>184</v>
      </c>
      <c r="D68" s="37"/>
      <c r="E68" s="43"/>
      <c r="H68" s="37"/>
      <c r="I68" s="37"/>
    </row>
    <row r="69" spans="1:9" hidden="1" x14ac:dyDescent="0.25">
      <c r="A69" s="37"/>
      <c r="B69" s="47"/>
      <c r="C69" s="51"/>
      <c r="D69" s="9"/>
      <c r="E69" s="43"/>
    </row>
    <row r="70" spans="1:9" hidden="1" x14ac:dyDescent="0.25">
      <c r="A70" s="36" t="s">
        <v>19</v>
      </c>
      <c r="B70" s="48" t="s">
        <v>88</v>
      </c>
      <c r="C70" s="53" t="s">
        <v>294</v>
      </c>
      <c r="D70" s="42"/>
      <c r="E70" s="43"/>
      <c r="H70" s="36"/>
      <c r="I70" s="37"/>
    </row>
    <row r="71" spans="1:9" hidden="1" x14ac:dyDescent="0.25">
      <c r="A71" s="13"/>
      <c r="B71" s="52" t="s">
        <v>111</v>
      </c>
      <c r="C71" s="47" t="s">
        <v>185</v>
      </c>
      <c r="D71" s="37"/>
      <c r="E71" s="43"/>
      <c r="H71" s="13"/>
    </row>
    <row r="72" spans="1:9" hidden="1" x14ac:dyDescent="0.25">
      <c r="A72" s="13"/>
      <c r="B72" s="52" t="s">
        <v>75</v>
      </c>
      <c r="C72" s="47" t="s">
        <v>186</v>
      </c>
      <c r="D72" s="37"/>
      <c r="E72" s="43"/>
      <c r="H72" s="13"/>
    </row>
    <row r="73" spans="1:9" hidden="1" x14ac:dyDescent="0.25">
      <c r="A73" s="13"/>
      <c r="B73" s="52" t="s">
        <v>74</v>
      </c>
      <c r="C73" s="47" t="s">
        <v>187</v>
      </c>
      <c r="D73" s="37"/>
      <c r="E73" s="43"/>
      <c r="H73" s="13"/>
    </row>
    <row r="74" spans="1:9" hidden="1" x14ac:dyDescent="0.25">
      <c r="A74" s="13"/>
      <c r="B74" s="52" t="s">
        <v>76</v>
      </c>
      <c r="C74" s="47" t="s">
        <v>188</v>
      </c>
      <c r="D74" s="37"/>
      <c r="E74" s="43"/>
      <c r="H74" s="13"/>
    </row>
    <row r="75" spans="1:9" hidden="1" x14ac:dyDescent="0.25">
      <c r="A75" s="37"/>
      <c r="B75" s="47"/>
      <c r="C75" s="51"/>
      <c r="D75" s="9"/>
      <c r="E75" s="43"/>
      <c r="H75" s="37"/>
      <c r="I75" s="37"/>
    </row>
    <row r="76" spans="1:9" hidden="1" x14ac:dyDescent="0.25">
      <c r="A76" s="36" t="s">
        <v>18</v>
      </c>
      <c r="B76" s="48" t="s">
        <v>88</v>
      </c>
      <c r="C76" s="53" t="s">
        <v>294</v>
      </c>
      <c r="D76" s="42"/>
      <c r="E76" s="43"/>
      <c r="H76" s="36"/>
      <c r="I76" s="37"/>
    </row>
    <row r="77" spans="1:9" hidden="1" x14ac:dyDescent="0.25">
      <c r="A77" s="13"/>
      <c r="B77" s="52" t="s">
        <v>61</v>
      </c>
      <c r="C77" s="47" t="s">
        <v>189</v>
      </c>
      <c r="D77" s="37"/>
      <c r="E77" s="43"/>
      <c r="H77" s="13"/>
    </row>
    <row r="78" spans="1:9" hidden="1" x14ac:dyDescent="0.25">
      <c r="A78" s="13"/>
      <c r="B78" s="52" t="s">
        <v>62</v>
      </c>
      <c r="C78" s="47" t="s">
        <v>190</v>
      </c>
      <c r="D78" s="37"/>
      <c r="E78" s="43"/>
      <c r="H78" s="13"/>
    </row>
    <row r="79" spans="1:9" hidden="1" x14ac:dyDescent="0.25">
      <c r="A79" s="13"/>
      <c r="B79" s="52" t="s">
        <v>112</v>
      </c>
      <c r="C79" s="47" t="s">
        <v>191</v>
      </c>
      <c r="D79" s="37"/>
      <c r="E79" s="43"/>
      <c r="H79" s="13"/>
    </row>
    <row r="80" spans="1:9" hidden="1" x14ac:dyDescent="0.25">
      <c r="A80" s="13"/>
      <c r="B80" s="52" t="s">
        <v>63</v>
      </c>
      <c r="C80" s="47" t="s">
        <v>192</v>
      </c>
      <c r="D80" s="37"/>
      <c r="E80" s="43"/>
      <c r="H80" s="13"/>
    </row>
    <row r="81" spans="1:9" hidden="1" x14ac:dyDescent="0.25">
      <c r="A81" s="13"/>
      <c r="B81" s="52" t="s">
        <v>113</v>
      </c>
      <c r="C81" s="47" t="s">
        <v>193</v>
      </c>
      <c r="D81" s="37"/>
      <c r="E81" s="43"/>
      <c r="H81" s="13"/>
    </row>
    <row r="82" spans="1:9" hidden="1" x14ac:dyDescent="0.25">
      <c r="A82" s="13"/>
      <c r="B82" s="52" t="s">
        <v>114</v>
      </c>
      <c r="C82" s="47" t="s">
        <v>194</v>
      </c>
      <c r="D82" s="37"/>
      <c r="E82" s="43"/>
      <c r="H82" s="13"/>
    </row>
    <row r="83" spans="1:9" hidden="1" x14ac:dyDescent="0.25">
      <c r="A83" s="13"/>
      <c r="B83" s="52" t="s">
        <v>147</v>
      </c>
      <c r="C83" s="47" t="s">
        <v>195</v>
      </c>
      <c r="D83" s="37"/>
      <c r="E83" s="43"/>
      <c r="H83" s="13"/>
    </row>
    <row r="84" spans="1:9" hidden="1" x14ac:dyDescent="0.25">
      <c r="A84" s="13"/>
      <c r="B84" s="52" t="s">
        <v>148</v>
      </c>
      <c r="C84" s="47" t="s">
        <v>196</v>
      </c>
      <c r="D84" s="37"/>
      <c r="E84" s="43"/>
      <c r="H84" s="13"/>
    </row>
    <row r="85" spans="1:9" hidden="1" x14ac:dyDescent="0.25">
      <c r="A85" s="13"/>
      <c r="B85" s="52" t="s">
        <v>115</v>
      </c>
      <c r="C85" s="52" t="s">
        <v>197</v>
      </c>
      <c r="D85" s="39"/>
      <c r="E85" s="43"/>
      <c r="H85" s="13"/>
    </row>
    <row r="86" spans="1:9" hidden="1" x14ac:dyDescent="0.25">
      <c r="A86" s="13"/>
      <c r="B86" s="52" t="s">
        <v>116</v>
      </c>
      <c r="C86" s="47" t="s">
        <v>198</v>
      </c>
      <c r="D86" s="37"/>
      <c r="E86" s="43"/>
      <c r="H86" s="13"/>
    </row>
    <row r="87" spans="1:9" hidden="1" x14ac:dyDescent="0.25">
      <c r="A87" s="13"/>
      <c r="B87" s="52" t="s">
        <v>149</v>
      </c>
      <c r="C87" s="47" t="s">
        <v>199</v>
      </c>
      <c r="D87" s="37"/>
      <c r="E87" s="43"/>
      <c r="H87" s="13"/>
    </row>
    <row r="88" spans="1:9" hidden="1" x14ac:dyDescent="0.25">
      <c r="A88" s="37"/>
      <c r="B88" s="47"/>
      <c r="C88" s="49"/>
      <c r="E88" s="43"/>
      <c r="H88" s="37"/>
      <c r="I88" s="37"/>
    </row>
    <row r="89" spans="1:9" hidden="1" x14ac:dyDescent="0.25">
      <c r="A89" s="36" t="s">
        <v>117</v>
      </c>
      <c r="B89" s="48" t="s">
        <v>88</v>
      </c>
      <c r="C89" s="53" t="s">
        <v>294</v>
      </c>
      <c r="D89" s="42"/>
      <c r="E89" s="43"/>
      <c r="H89" s="36"/>
      <c r="I89" s="37"/>
    </row>
    <row r="90" spans="1:9" hidden="1" x14ac:dyDescent="0.25">
      <c r="A90" s="13"/>
      <c r="B90" s="52" t="s">
        <v>51</v>
      </c>
      <c r="C90" s="47" t="s">
        <v>200</v>
      </c>
      <c r="D90" s="37"/>
      <c r="E90" s="43"/>
      <c r="H90" s="13"/>
    </row>
    <row r="91" spans="1:9" hidden="1" x14ac:dyDescent="0.25">
      <c r="A91" s="13"/>
      <c r="B91" s="52" t="s">
        <v>118</v>
      </c>
      <c r="C91" s="47" t="s">
        <v>201</v>
      </c>
      <c r="D91" s="37"/>
      <c r="E91" s="43"/>
      <c r="H91" s="13"/>
    </row>
    <row r="92" spans="1:9" hidden="1" x14ac:dyDescent="0.25">
      <c r="A92" s="13"/>
      <c r="B92" s="52" t="s">
        <v>150</v>
      </c>
      <c r="C92" s="47" t="s">
        <v>202</v>
      </c>
      <c r="D92" s="37"/>
      <c r="E92" s="43"/>
      <c r="H92" s="13"/>
    </row>
    <row r="93" spans="1:9" hidden="1" x14ac:dyDescent="0.25">
      <c r="A93" s="13"/>
      <c r="B93" s="52" t="s">
        <v>50</v>
      </c>
      <c r="C93" s="47" t="s">
        <v>203</v>
      </c>
      <c r="D93" s="37"/>
      <c r="E93" s="43"/>
      <c r="H93" s="13"/>
    </row>
    <row r="94" spans="1:9" hidden="1" x14ac:dyDescent="0.25">
      <c r="A94" s="37"/>
      <c r="B94" s="47"/>
      <c r="C94" s="47"/>
      <c r="D94" s="37"/>
      <c r="E94" s="43"/>
      <c r="H94" s="37"/>
    </row>
    <row r="95" spans="1:9" hidden="1" x14ac:dyDescent="0.25">
      <c r="A95" s="38" t="s">
        <v>105</v>
      </c>
      <c r="B95" s="48" t="s">
        <v>88</v>
      </c>
      <c r="C95" s="53" t="s">
        <v>294</v>
      </c>
      <c r="D95" s="42"/>
      <c r="E95" s="43"/>
      <c r="H95" s="38"/>
    </row>
    <row r="96" spans="1:9" hidden="1" x14ac:dyDescent="0.25">
      <c r="A96" s="13"/>
      <c r="B96" s="52" t="s">
        <v>46</v>
      </c>
      <c r="C96" s="47" t="s">
        <v>204</v>
      </c>
      <c r="D96" s="37"/>
      <c r="E96" s="43"/>
      <c r="H96" s="13"/>
    </row>
    <row r="97" spans="1:8" hidden="1" x14ac:dyDescent="0.25">
      <c r="A97" s="13"/>
      <c r="B97" s="52" t="s">
        <v>47</v>
      </c>
      <c r="C97" s="47" t="s">
        <v>205</v>
      </c>
      <c r="D97" s="37"/>
      <c r="E97" s="43"/>
      <c r="H97" s="13"/>
    </row>
    <row r="98" spans="1:8" hidden="1" x14ac:dyDescent="0.25">
      <c r="A98" s="13"/>
      <c r="B98" s="52" t="s">
        <v>49</v>
      </c>
      <c r="C98" s="47" t="s">
        <v>206</v>
      </c>
      <c r="D98" s="37"/>
      <c r="E98" s="43"/>
      <c r="H98" s="13"/>
    </row>
    <row r="99" spans="1:8" hidden="1" x14ac:dyDescent="0.25">
      <c r="A99" s="13"/>
      <c r="B99" s="52" t="s">
        <v>48</v>
      </c>
      <c r="C99" s="47" t="s">
        <v>207</v>
      </c>
      <c r="D99" s="37"/>
      <c r="E99" s="43"/>
      <c r="H99" s="13"/>
    </row>
    <row r="100" spans="1:8" hidden="1" x14ac:dyDescent="0.25">
      <c r="A100" s="13"/>
      <c r="B100" s="52" t="s">
        <v>119</v>
      </c>
      <c r="C100" s="47" t="s">
        <v>208</v>
      </c>
      <c r="D100" s="37"/>
      <c r="E100" s="43"/>
      <c r="H100" s="13"/>
    </row>
    <row r="101" spans="1:8" hidden="1" x14ac:dyDescent="0.25">
      <c r="A101" s="37"/>
      <c r="B101" s="47"/>
      <c r="C101" s="47"/>
      <c r="D101" s="37"/>
      <c r="E101" s="43"/>
      <c r="H101" s="37"/>
    </row>
    <row r="102" spans="1:8" hidden="1" x14ac:dyDescent="0.25">
      <c r="A102" s="38" t="s">
        <v>120</v>
      </c>
      <c r="B102" s="48" t="s">
        <v>88</v>
      </c>
      <c r="C102" s="53" t="s">
        <v>294</v>
      </c>
      <c r="D102" s="42"/>
      <c r="E102" s="43"/>
      <c r="H102" s="38"/>
    </row>
    <row r="103" spans="1:8" hidden="1" x14ac:dyDescent="0.25">
      <c r="A103" s="13"/>
      <c r="B103" s="52" t="s">
        <v>151</v>
      </c>
      <c r="C103" s="47" t="s">
        <v>209</v>
      </c>
      <c r="D103" s="37"/>
      <c r="E103" s="43"/>
      <c r="H103" s="13"/>
    </row>
    <row r="104" spans="1:8" hidden="1" x14ac:dyDescent="0.25">
      <c r="A104" s="13"/>
      <c r="B104" s="52" t="s">
        <v>121</v>
      </c>
      <c r="C104" s="47" t="s">
        <v>210</v>
      </c>
      <c r="D104" s="37"/>
      <c r="E104" s="43"/>
      <c r="H104" s="13"/>
    </row>
    <row r="105" spans="1:8" hidden="1" x14ac:dyDescent="0.25">
      <c r="A105" s="13"/>
      <c r="B105" s="52" t="s">
        <v>122</v>
      </c>
      <c r="C105" s="47" t="s">
        <v>211</v>
      </c>
      <c r="D105" s="37"/>
      <c r="E105" s="43"/>
      <c r="H105" s="13"/>
    </row>
    <row r="106" spans="1:8" hidden="1" x14ac:dyDescent="0.25">
      <c r="A106" s="13"/>
      <c r="B106" s="52" t="s">
        <v>123</v>
      </c>
      <c r="C106" s="47" t="s">
        <v>212</v>
      </c>
      <c r="D106" s="37"/>
      <c r="E106" s="43"/>
      <c r="H106" s="13"/>
    </row>
    <row r="107" spans="1:8" hidden="1" x14ac:dyDescent="0.25">
      <c r="A107" s="13"/>
      <c r="B107" s="52"/>
      <c r="C107" s="47"/>
      <c r="D107" s="37"/>
      <c r="E107" s="43"/>
      <c r="H107" s="13"/>
    </row>
    <row r="108" spans="1:8" hidden="1" x14ac:dyDescent="0.25">
      <c r="A108" s="38" t="s">
        <v>52</v>
      </c>
      <c r="B108" s="48" t="s">
        <v>88</v>
      </c>
      <c r="C108" s="53" t="s">
        <v>294</v>
      </c>
      <c r="D108" s="42"/>
      <c r="E108" s="43"/>
      <c r="H108" s="38"/>
    </row>
    <row r="109" spans="1:8" hidden="1" x14ac:dyDescent="0.25">
      <c r="A109" s="13"/>
      <c r="B109" s="52" t="s">
        <v>152</v>
      </c>
      <c r="C109" s="47" t="s">
        <v>213</v>
      </c>
      <c r="D109" s="37"/>
      <c r="E109" s="43"/>
      <c r="H109" s="13"/>
    </row>
    <row r="110" spans="1:8" hidden="1" x14ac:dyDescent="0.25">
      <c r="A110" s="13"/>
      <c r="B110" s="52" t="s">
        <v>124</v>
      </c>
      <c r="C110" s="47" t="s">
        <v>214</v>
      </c>
      <c r="D110" s="37"/>
      <c r="E110" s="43"/>
      <c r="H110" s="13"/>
    </row>
    <row r="111" spans="1:8" hidden="1" x14ac:dyDescent="0.25">
      <c r="A111" s="13"/>
      <c r="B111" s="52" t="s">
        <v>56</v>
      </c>
      <c r="C111" s="47" t="s">
        <v>215</v>
      </c>
      <c r="D111" s="37"/>
      <c r="E111" s="43"/>
      <c r="H111" s="13"/>
    </row>
    <row r="112" spans="1:8" hidden="1" x14ac:dyDescent="0.25">
      <c r="A112" s="13"/>
      <c r="B112" s="52" t="s">
        <v>55</v>
      </c>
      <c r="C112" s="47" t="s">
        <v>216</v>
      </c>
      <c r="D112" s="37"/>
      <c r="E112" s="43"/>
      <c r="H112" s="13"/>
    </row>
    <row r="113" spans="1:8" hidden="1" x14ac:dyDescent="0.25">
      <c r="A113" s="13"/>
      <c r="B113" s="52" t="s">
        <v>153</v>
      </c>
      <c r="C113" s="47" t="s">
        <v>217</v>
      </c>
      <c r="D113" s="37"/>
      <c r="E113" s="43"/>
      <c r="H113" s="13"/>
    </row>
    <row r="114" spans="1:8" hidden="1" x14ac:dyDescent="0.25">
      <c r="A114" s="13"/>
      <c r="B114" s="52" t="s">
        <v>53</v>
      </c>
      <c r="C114" s="47" t="s">
        <v>218</v>
      </c>
      <c r="D114" s="37"/>
      <c r="E114" s="43"/>
      <c r="H114" s="13"/>
    </row>
    <row r="115" spans="1:8" hidden="1" x14ac:dyDescent="0.25">
      <c r="A115" s="13"/>
      <c r="B115" s="52" t="s">
        <v>125</v>
      </c>
      <c r="C115" s="47" t="s">
        <v>219</v>
      </c>
      <c r="D115" s="37"/>
      <c r="E115" s="43"/>
      <c r="H115" s="13"/>
    </row>
    <row r="116" spans="1:8" hidden="1" x14ac:dyDescent="0.25">
      <c r="A116" s="13"/>
      <c r="B116" s="52" t="s">
        <v>54</v>
      </c>
      <c r="C116" s="47" t="s">
        <v>220</v>
      </c>
      <c r="D116" s="37"/>
      <c r="E116" s="43"/>
      <c r="H116" s="13"/>
    </row>
    <row r="117" spans="1:8" hidden="1" x14ac:dyDescent="0.25">
      <c r="A117" s="37"/>
      <c r="B117" s="47"/>
      <c r="C117" s="47"/>
      <c r="D117" s="37"/>
      <c r="E117" s="43"/>
      <c r="H117" s="37"/>
    </row>
    <row r="118" spans="1:8" hidden="1" x14ac:dyDescent="0.25">
      <c r="A118" s="38" t="s">
        <v>57</v>
      </c>
      <c r="B118" s="48" t="s">
        <v>88</v>
      </c>
      <c r="C118" s="53" t="s">
        <v>294</v>
      </c>
      <c r="D118" s="42"/>
      <c r="E118" s="43"/>
      <c r="H118" s="38"/>
    </row>
    <row r="119" spans="1:8" hidden="1" x14ac:dyDescent="0.25">
      <c r="A119" s="13"/>
      <c r="B119" s="52" t="s">
        <v>59</v>
      </c>
      <c r="C119" s="47" t="s">
        <v>221</v>
      </c>
      <c r="D119" s="37"/>
      <c r="E119" s="43"/>
      <c r="H119" s="13"/>
    </row>
    <row r="120" spans="1:8" hidden="1" x14ac:dyDescent="0.25">
      <c r="A120" s="13"/>
      <c r="B120" s="52" t="s">
        <v>58</v>
      </c>
      <c r="C120" s="47" t="s">
        <v>222</v>
      </c>
      <c r="D120" s="37"/>
      <c r="E120" s="43"/>
      <c r="H120" s="13"/>
    </row>
    <row r="121" spans="1:8" hidden="1" x14ac:dyDescent="0.25">
      <c r="A121" s="13"/>
      <c r="B121" s="52" t="s">
        <v>154</v>
      </c>
      <c r="C121" s="47" t="s">
        <v>223</v>
      </c>
      <c r="D121" s="37"/>
      <c r="E121" s="43"/>
      <c r="H121" s="13"/>
    </row>
    <row r="122" spans="1:8" hidden="1" x14ac:dyDescent="0.25">
      <c r="A122" s="13"/>
      <c r="B122" s="52" t="s">
        <v>155</v>
      </c>
      <c r="C122" s="47" t="s">
        <v>224</v>
      </c>
      <c r="D122" s="37"/>
      <c r="E122" s="43"/>
      <c r="H122" s="13"/>
    </row>
    <row r="123" spans="1:8" hidden="1" x14ac:dyDescent="0.25">
      <c r="A123" s="13"/>
      <c r="B123" s="52" t="s">
        <v>60</v>
      </c>
      <c r="C123" s="47" t="s">
        <v>225</v>
      </c>
      <c r="D123" s="37"/>
      <c r="E123" s="43"/>
      <c r="H123" s="13"/>
    </row>
    <row r="124" spans="1:8" hidden="1" x14ac:dyDescent="0.25">
      <c r="A124" s="37"/>
      <c r="B124" s="47"/>
      <c r="C124" s="47"/>
      <c r="D124" s="37"/>
      <c r="E124" s="43"/>
      <c r="H124" s="37"/>
    </row>
    <row r="125" spans="1:8" hidden="1" x14ac:dyDescent="0.25">
      <c r="A125" s="36" t="s">
        <v>126</v>
      </c>
      <c r="B125" s="48" t="s">
        <v>88</v>
      </c>
      <c r="C125" s="53" t="s">
        <v>294</v>
      </c>
      <c r="D125" s="42"/>
      <c r="E125" s="43"/>
      <c r="H125" s="36"/>
    </row>
    <row r="126" spans="1:8" hidden="1" x14ac:dyDescent="0.25">
      <c r="A126" s="13"/>
      <c r="B126" s="52" t="s">
        <v>156</v>
      </c>
      <c r="C126" s="47" t="s">
        <v>226</v>
      </c>
      <c r="D126" s="37"/>
      <c r="E126" s="43"/>
      <c r="H126" s="13"/>
    </row>
    <row r="127" spans="1:8" hidden="1" x14ac:dyDescent="0.25">
      <c r="A127" s="13"/>
      <c r="B127" s="52" t="s">
        <v>157</v>
      </c>
      <c r="C127" s="47" t="s">
        <v>227</v>
      </c>
      <c r="D127" s="37"/>
      <c r="E127" s="43"/>
      <c r="H127" s="13"/>
    </row>
    <row r="128" spans="1:8" hidden="1" x14ac:dyDescent="0.25">
      <c r="A128" s="13"/>
      <c r="B128" s="52" t="s">
        <v>158</v>
      </c>
      <c r="C128" s="47" t="s">
        <v>228</v>
      </c>
      <c r="D128" s="37"/>
      <c r="E128" s="43"/>
      <c r="H128" s="13"/>
    </row>
    <row r="129" spans="1:8" hidden="1" x14ac:dyDescent="0.25">
      <c r="A129" s="13"/>
      <c r="B129" s="52" t="s">
        <v>42</v>
      </c>
      <c r="C129" s="47" t="s">
        <v>229</v>
      </c>
      <c r="D129" s="37"/>
      <c r="E129" s="43"/>
      <c r="H129" s="13"/>
    </row>
    <row r="130" spans="1:8" hidden="1" x14ac:dyDescent="0.25">
      <c r="A130" s="13"/>
      <c r="B130" s="52" t="s">
        <v>127</v>
      </c>
      <c r="C130" s="47" t="s">
        <v>230</v>
      </c>
      <c r="D130" s="37"/>
      <c r="E130" s="43"/>
      <c r="H130" s="13"/>
    </row>
    <row r="131" spans="1:8" hidden="1" x14ac:dyDescent="0.25">
      <c r="A131" s="13"/>
      <c r="B131" s="52" t="s">
        <v>128</v>
      </c>
      <c r="C131" s="47" t="s">
        <v>231</v>
      </c>
      <c r="D131" s="37"/>
      <c r="E131" s="43"/>
      <c r="H131" s="13"/>
    </row>
    <row r="132" spans="1:8" hidden="1" x14ac:dyDescent="0.25">
      <c r="A132" s="13"/>
      <c r="B132" s="52" t="s">
        <v>41</v>
      </c>
      <c r="C132" s="47" t="s">
        <v>232</v>
      </c>
      <c r="D132" s="37"/>
      <c r="E132" s="43"/>
      <c r="H132" s="13"/>
    </row>
    <row r="133" spans="1:8" hidden="1" x14ac:dyDescent="0.25">
      <c r="A133" s="13"/>
      <c r="B133" s="52" t="s">
        <v>129</v>
      </c>
      <c r="C133" s="47" t="s">
        <v>233</v>
      </c>
      <c r="D133" s="37"/>
      <c r="E133" s="43"/>
      <c r="H133" s="13"/>
    </row>
    <row r="134" spans="1:8" hidden="1" x14ac:dyDescent="0.25">
      <c r="A134" s="37"/>
      <c r="B134" s="47"/>
      <c r="C134" s="47"/>
      <c r="D134" s="37"/>
      <c r="E134" s="43"/>
      <c r="H134" s="37"/>
    </row>
    <row r="135" spans="1:8" hidden="1" x14ac:dyDescent="0.25">
      <c r="A135" s="38" t="s">
        <v>130</v>
      </c>
      <c r="B135" s="48" t="s">
        <v>88</v>
      </c>
      <c r="C135" s="53" t="s">
        <v>294</v>
      </c>
      <c r="D135" s="42"/>
      <c r="E135" s="43"/>
      <c r="H135" s="38"/>
    </row>
    <row r="136" spans="1:8" hidden="1" x14ac:dyDescent="0.25">
      <c r="A136" s="13"/>
      <c r="B136" s="52" t="s">
        <v>131</v>
      </c>
      <c r="C136" s="47" t="s">
        <v>234</v>
      </c>
      <c r="D136" s="37"/>
      <c r="E136" s="43"/>
      <c r="H136" s="13"/>
    </row>
    <row r="137" spans="1:8" hidden="1" x14ac:dyDescent="0.25">
      <c r="A137" s="13"/>
      <c r="B137" s="52" t="s">
        <v>159</v>
      </c>
      <c r="C137" s="47" t="s">
        <v>235</v>
      </c>
      <c r="D137" s="37"/>
      <c r="E137" s="43"/>
      <c r="H137" s="13"/>
    </row>
    <row r="138" spans="1:8" hidden="1" x14ac:dyDescent="0.25">
      <c r="A138" s="13"/>
      <c r="B138" s="52" t="s">
        <v>160</v>
      </c>
      <c r="C138" s="47" t="s">
        <v>236</v>
      </c>
      <c r="D138" s="37"/>
      <c r="E138" s="43"/>
      <c r="H138" s="13"/>
    </row>
    <row r="139" spans="1:8" hidden="1" x14ac:dyDescent="0.25">
      <c r="A139" s="13"/>
      <c r="B139" s="52" t="s">
        <v>161</v>
      </c>
      <c r="C139" s="47" t="s">
        <v>237</v>
      </c>
      <c r="D139" s="37"/>
      <c r="E139" s="43"/>
      <c r="H139" s="13"/>
    </row>
    <row r="140" spans="1:8" hidden="1" x14ac:dyDescent="0.25">
      <c r="A140" s="13"/>
      <c r="B140" s="52" t="s">
        <v>162</v>
      </c>
      <c r="C140" s="47" t="s">
        <v>238</v>
      </c>
      <c r="D140" s="37"/>
      <c r="E140" s="43"/>
      <c r="H140" s="13"/>
    </row>
    <row r="141" spans="1:8" hidden="1" x14ac:dyDescent="0.25">
      <c r="A141" s="13"/>
      <c r="B141" s="52" t="s">
        <v>163</v>
      </c>
      <c r="C141" s="52" t="s">
        <v>239</v>
      </c>
      <c r="D141" s="39"/>
      <c r="E141" s="43"/>
      <c r="H141" s="13"/>
    </row>
    <row r="142" spans="1:8" hidden="1" x14ac:dyDescent="0.25">
      <c r="A142" s="13"/>
      <c r="B142" s="52" t="s">
        <v>164</v>
      </c>
      <c r="C142" s="52" t="s">
        <v>240</v>
      </c>
      <c r="D142" s="39"/>
      <c r="E142" s="43"/>
      <c r="H142" s="13"/>
    </row>
    <row r="143" spans="1:8" hidden="1" x14ac:dyDescent="0.25">
      <c r="A143" s="13"/>
      <c r="B143" s="52" t="s">
        <v>43</v>
      </c>
      <c r="C143" s="47" t="s">
        <v>241</v>
      </c>
      <c r="D143" s="37"/>
      <c r="E143" s="43"/>
      <c r="H143" s="13"/>
    </row>
    <row r="144" spans="1:8" hidden="1" x14ac:dyDescent="0.25">
      <c r="A144" s="13"/>
      <c r="B144" s="52" t="s">
        <v>165</v>
      </c>
      <c r="C144" s="52" t="s">
        <v>242</v>
      </c>
      <c r="D144" s="39"/>
      <c r="E144" s="43"/>
      <c r="H144" s="13"/>
    </row>
    <row r="145" spans="1:8" hidden="1" x14ac:dyDescent="0.25">
      <c r="A145" s="13"/>
      <c r="B145" s="52" t="s">
        <v>166</v>
      </c>
      <c r="C145" s="52" t="s">
        <v>243</v>
      </c>
      <c r="D145" s="39"/>
      <c r="E145" s="43"/>
      <c r="H145" s="13"/>
    </row>
    <row r="146" spans="1:8" hidden="1" x14ac:dyDescent="0.25">
      <c r="A146" s="13"/>
      <c r="B146" s="52" t="s">
        <v>44</v>
      </c>
      <c r="C146" s="47" t="s">
        <v>244</v>
      </c>
      <c r="D146" s="37"/>
      <c r="E146" s="43"/>
      <c r="H146" s="13"/>
    </row>
    <row r="147" spans="1:8" hidden="1" x14ac:dyDescent="0.25">
      <c r="A147" s="13"/>
      <c r="B147" s="52" t="s">
        <v>45</v>
      </c>
      <c r="C147" s="52" t="s">
        <v>245</v>
      </c>
      <c r="D147" s="39"/>
      <c r="E147" s="43"/>
      <c r="H147" s="13"/>
    </row>
    <row r="148" spans="1:8" hidden="1" x14ac:dyDescent="0.25">
      <c r="A148" s="37"/>
      <c r="B148" s="47"/>
      <c r="C148" s="47"/>
      <c r="D148" s="37"/>
      <c r="E148" s="43"/>
      <c r="H148" s="37"/>
    </row>
    <row r="149" spans="1:8" hidden="1" x14ac:dyDescent="0.25">
      <c r="A149" s="36" t="s">
        <v>20</v>
      </c>
      <c r="B149" s="48" t="s">
        <v>88</v>
      </c>
      <c r="C149" s="53" t="s">
        <v>294</v>
      </c>
      <c r="D149" s="42"/>
      <c r="E149" s="43"/>
      <c r="H149" s="36"/>
    </row>
    <row r="150" spans="1:8" hidden="1" x14ac:dyDescent="0.25">
      <c r="A150" s="13"/>
      <c r="B150" s="52" t="s">
        <v>64</v>
      </c>
      <c r="C150" s="47" t="s">
        <v>246</v>
      </c>
      <c r="D150" s="37"/>
      <c r="E150" s="43"/>
      <c r="H150" s="13"/>
    </row>
    <row r="151" spans="1:8" hidden="1" x14ac:dyDescent="0.25">
      <c r="A151" s="13"/>
      <c r="B151" s="52" t="s">
        <v>167</v>
      </c>
      <c r="C151" s="47" t="s">
        <v>247</v>
      </c>
      <c r="D151" s="37"/>
      <c r="E151" s="43"/>
      <c r="H151" s="13"/>
    </row>
    <row r="152" spans="1:8" hidden="1" x14ac:dyDescent="0.25">
      <c r="A152" s="13"/>
      <c r="B152" s="52" t="s">
        <v>168</v>
      </c>
      <c r="C152" s="47" t="s">
        <v>248</v>
      </c>
      <c r="D152" s="37"/>
      <c r="E152" s="43"/>
      <c r="H152" s="13"/>
    </row>
    <row r="153" spans="1:8" hidden="1" x14ac:dyDescent="0.25">
      <c r="A153" s="13"/>
      <c r="B153" s="52" t="s">
        <v>65</v>
      </c>
      <c r="C153" s="47" t="s">
        <v>249</v>
      </c>
      <c r="D153" s="37"/>
      <c r="E153" s="43"/>
      <c r="H153" s="13"/>
    </row>
    <row r="154" spans="1:8" hidden="1" x14ac:dyDescent="0.25">
      <c r="A154" s="13"/>
      <c r="B154" s="52" t="s">
        <v>132</v>
      </c>
      <c r="C154" s="47" t="s">
        <v>250</v>
      </c>
      <c r="D154" s="37"/>
      <c r="E154" s="43"/>
      <c r="H154" s="13"/>
    </row>
    <row r="155" spans="1:8" hidden="1" x14ac:dyDescent="0.25">
      <c r="A155" s="13"/>
      <c r="B155" s="52" t="s">
        <v>68</v>
      </c>
      <c r="C155" s="47" t="s">
        <v>251</v>
      </c>
      <c r="D155" s="37"/>
      <c r="E155" s="43"/>
      <c r="H155" s="13"/>
    </row>
    <row r="156" spans="1:8" hidden="1" x14ac:dyDescent="0.25">
      <c r="A156" s="13"/>
      <c r="B156" s="52" t="s">
        <v>169</v>
      </c>
      <c r="C156" s="47" t="s">
        <v>252</v>
      </c>
      <c r="D156" s="37"/>
      <c r="E156" s="43"/>
      <c r="H156" s="13"/>
    </row>
    <row r="157" spans="1:8" hidden="1" x14ac:dyDescent="0.25">
      <c r="A157" s="13"/>
      <c r="B157" s="52"/>
      <c r="C157" s="47"/>
      <c r="D157" s="37"/>
      <c r="E157" s="43"/>
      <c r="H157" s="13"/>
    </row>
    <row r="158" spans="1:8" hidden="1" x14ac:dyDescent="0.25">
      <c r="A158" s="38" t="s">
        <v>108</v>
      </c>
      <c r="B158" s="48" t="s">
        <v>88</v>
      </c>
      <c r="C158" s="53" t="s">
        <v>294</v>
      </c>
      <c r="D158" s="42"/>
      <c r="E158" s="43"/>
      <c r="H158" s="38"/>
    </row>
    <row r="159" spans="1:8" hidden="1" x14ac:dyDescent="0.25">
      <c r="A159" s="13"/>
      <c r="B159" s="52" t="s">
        <v>66</v>
      </c>
      <c r="C159" s="47" t="s">
        <v>253</v>
      </c>
      <c r="D159" s="37"/>
      <c r="E159" s="43"/>
      <c r="H159" s="13"/>
    </row>
    <row r="160" spans="1:8" hidden="1" x14ac:dyDescent="0.25">
      <c r="A160" s="13"/>
      <c r="B160" s="52" t="s">
        <v>67</v>
      </c>
      <c r="C160" s="47" t="s">
        <v>254</v>
      </c>
      <c r="D160" s="37"/>
      <c r="E160" s="43"/>
      <c r="H160" s="13"/>
    </row>
    <row r="161" spans="1:8" hidden="1" x14ac:dyDescent="0.25">
      <c r="A161" s="13"/>
      <c r="B161" s="52" t="s">
        <v>133</v>
      </c>
      <c r="C161" s="47" t="s">
        <v>255</v>
      </c>
      <c r="D161" s="37"/>
      <c r="E161" s="43"/>
      <c r="H161" s="13"/>
    </row>
    <row r="162" spans="1:8" hidden="1" x14ac:dyDescent="0.25">
      <c r="A162" s="13"/>
      <c r="B162" s="52" t="s">
        <v>170</v>
      </c>
      <c r="C162" s="47" t="s">
        <v>256</v>
      </c>
      <c r="D162" s="37"/>
      <c r="E162" s="43"/>
      <c r="H162" s="13"/>
    </row>
    <row r="163" spans="1:8" hidden="1" x14ac:dyDescent="0.25">
      <c r="A163" s="13"/>
      <c r="B163" s="52" t="s">
        <v>70</v>
      </c>
      <c r="C163" s="47" t="s">
        <v>257</v>
      </c>
      <c r="D163" s="37"/>
      <c r="E163" s="43"/>
      <c r="H163" s="13"/>
    </row>
    <row r="164" spans="1:8" hidden="1" x14ac:dyDescent="0.25">
      <c r="A164" s="13"/>
      <c r="B164" s="52" t="s">
        <v>69</v>
      </c>
      <c r="C164" s="47" t="s">
        <v>258</v>
      </c>
      <c r="D164" s="37"/>
      <c r="E164" s="43"/>
      <c r="H164" s="13"/>
    </row>
    <row r="165" spans="1:8" hidden="1" x14ac:dyDescent="0.25">
      <c r="A165" s="13"/>
      <c r="B165" s="52" t="s">
        <v>134</v>
      </c>
      <c r="C165" s="47" t="s">
        <v>259</v>
      </c>
      <c r="D165" s="37"/>
      <c r="E165" s="43"/>
      <c r="H165" s="13"/>
    </row>
    <row r="166" spans="1:8" hidden="1" x14ac:dyDescent="0.25">
      <c r="A166" s="13"/>
      <c r="B166" s="52" t="s">
        <v>171</v>
      </c>
      <c r="C166" s="47" t="s">
        <v>260</v>
      </c>
      <c r="D166" s="37"/>
      <c r="E166" s="43"/>
      <c r="H166" s="13"/>
    </row>
    <row r="167" spans="1:8" hidden="1" x14ac:dyDescent="0.25">
      <c r="A167" s="37"/>
      <c r="B167" s="47"/>
      <c r="C167" s="47"/>
      <c r="D167" s="37"/>
      <c r="E167" s="43"/>
      <c r="H167" s="37"/>
    </row>
    <row r="168" spans="1:8" hidden="1" x14ac:dyDescent="0.25">
      <c r="A168" s="38" t="s">
        <v>107</v>
      </c>
      <c r="B168" s="48" t="s">
        <v>88</v>
      </c>
      <c r="C168" s="53" t="s">
        <v>294</v>
      </c>
      <c r="D168" s="42"/>
      <c r="E168" s="43"/>
      <c r="H168" s="38"/>
    </row>
    <row r="169" spans="1:8" hidden="1" x14ac:dyDescent="0.25">
      <c r="A169" s="13"/>
      <c r="B169" s="52" t="s">
        <v>135</v>
      </c>
      <c r="C169" s="47" t="s">
        <v>261</v>
      </c>
      <c r="D169" s="37"/>
      <c r="E169" s="43"/>
      <c r="H169" s="13"/>
    </row>
    <row r="170" spans="1:8" hidden="1" x14ac:dyDescent="0.25">
      <c r="A170" s="13"/>
      <c r="B170" s="52" t="s">
        <v>71</v>
      </c>
      <c r="C170" s="47" t="s">
        <v>262</v>
      </c>
      <c r="D170" s="37"/>
      <c r="E170" s="43"/>
      <c r="H170" s="13"/>
    </row>
    <row r="171" spans="1:8" hidden="1" x14ac:dyDescent="0.25">
      <c r="A171" s="13"/>
      <c r="B171" s="52" t="s">
        <v>72</v>
      </c>
      <c r="C171" s="47" t="s">
        <v>263</v>
      </c>
      <c r="D171" s="37"/>
      <c r="E171" s="43"/>
      <c r="H171" s="13"/>
    </row>
    <row r="172" spans="1:8" hidden="1" x14ac:dyDescent="0.25">
      <c r="A172" s="13"/>
      <c r="B172" s="52" t="s">
        <v>136</v>
      </c>
      <c r="C172" s="47" t="s">
        <v>264</v>
      </c>
      <c r="D172" s="37"/>
      <c r="E172" s="43"/>
      <c r="H172" s="13"/>
    </row>
    <row r="173" spans="1:8" hidden="1" x14ac:dyDescent="0.25">
      <c r="A173" s="13"/>
      <c r="B173" s="47"/>
      <c r="C173" s="47"/>
      <c r="D173" s="37"/>
      <c r="E173" s="43"/>
      <c r="H173" s="13"/>
    </row>
    <row r="174" spans="1:8" hidden="1" x14ac:dyDescent="0.25">
      <c r="A174" s="38" t="s">
        <v>106</v>
      </c>
      <c r="B174" s="48" t="s">
        <v>88</v>
      </c>
      <c r="C174" s="53" t="s">
        <v>294</v>
      </c>
      <c r="D174" s="42"/>
      <c r="E174" s="43"/>
      <c r="H174" s="38"/>
    </row>
    <row r="175" spans="1:8" hidden="1" x14ac:dyDescent="0.25">
      <c r="A175" s="13"/>
      <c r="B175" s="52" t="s">
        <v>172</v>
      </c>
      <c r="C175" s="47" t="s">
        <v>265</v>
      </c>
      <c r="D175" s="37"/>
      <c r="E175" s="43"/>
      <c r="H175" s="13"/>
    </row>
    <row r="176" spans="1:8" hidden="1" x14ac:dyDescent="0.25">
      <c r="A176" s="13"/>
      <c r="B176" s="52" t="s">
        <v>73</v>
      </c>
      <c r="C176" s="47" t="s">
        <v>266</v>
      </c>
      <c r="D176" s="37"/>
      <c r="E176" s="43"/>
      <c r="H176" s="13"/>
    </row>
    <row r="177" spans="1:8" hidden="1" x14ac:dyDescent="0.25">
      <c r="A177" s="13"/>
      <c r="B177" s="52" t="s">
        <v>137</v>
      </c>
      <c r="C177" s="47" t="s">
        <v>267</v>
      </c>
      <c r="D177" s="37"/>
      <c r="E177" s="43"/>
      <c r="H177" s="13"/>
    </row>
    <row r="178" spans="1:8" hidden="1" x14ac:dyDescent="0.25">
      <c r="A178" s="37"/>
      <c r="B178" s="47"/>
      <c r="C178" s="47"/>
      <c r="D178" s="37"/>
      <c r="E178" s="43"/>
      <c r="H178" s="37"/>
    </row>
    <row r="179" spans="1:8" hidden="1" x14ac:dyDescent="0.25">
      <c r="A179" s="38" t="s">
        <v>37</v>
      </c>
      <c r="B179" s="48" t="s">
        <v>88</v>
      </c>
      <c r="C179" s="53" t="s">
        <v>294</v>
      </c>
      <c r="D179" s="42"/>
      <c r="E179" s="43"/>
      <c r="H179" s="38"/>
    </row>
    <row r="180" spans="1:8" hidden="1" x14ac:dyDescent="0.25">
      <c r="A180" s="13"/>
      <c r="B180" s="52" t="s">
        <v>138</v>
      </c>
      <c r="C180" s="47" t="s">
        <v>268</v>
      </c>
      <c r="D180" s="37"/>
      <c r="E180" s="43"/>
      <c r="H180" s="13"/>
    </row>
    <row r="181" spans="1:8" hidden="1" x14ac:dyDescent="0.25">
      <c r="A181" s="13"/>
      <c r="B181" s="52" t="s">
        <v>38</v>
      </c>
      <c r="C181" s="47" t="s">
        <v>269</v>
      </c>
      <c r="D181" s="37"/>
      <c r="E181" s="43"/>
      <c r="H181" s="13"/>
    </row>
    <row r="182" spans="1:8" hidden="1" x14ac:dyDescent="0.25">
      <c r="A182" s="13"/>
      <c r="B182" s="52" t="s">
        <v>39</v>
      </c>
      <c r="C182" s="47" t="s">
        <v>270</v>
      </c>
      <c r="D182" s="37"/>
      <c r="E182" s="43"/>
      <c r="H182" s="13"/>
    </row>
    <row r="183" spans="1:8" hidden="1" x14ac:dyDescent="0.25">
      <c r="A183" s="13"/>
      <c r="B183" s="52" t="s">
        <v>139</v>
      </c>
      <c r="C183" s="47" t="s">
        <v>271</v>
      </c>
      <c r="D183" s="37"/>
      <c r="E183" s="43"/>
      <c r="H183" s="13"/>
    </row>
    <row r="184" spans="1:8" hidden="1" x14ac:dyDescent="0.25">
      <c r="A184" s="13"/>
      <c r="B184" s="52" t="s">
        <v>40</v>
      </c>
      <c r="C184" s="47" t="s">
        <v>272</v>
      </c>
      <c r="D184" s="37"/>
      <c r="E184" s="43"/>
      <c r="H184" s="13"/>
    </row>
    <row r="185" spans="1:8" hidden="1" x14ac:dyDescent="0.25">
      <c r="A185" s="13"/>
      <c r="B185" s="52" t="s">
        <v>140</v>
      </c>
      <c r="C185" s="47" t="s">
        <v>273</v>
      </c>
      <c r="D185" s="37"/>
      <c r="E185" s="43"/>
      <c r="H185" s="13"/>
    </row>
    <row r="186" spans="1:8" hidden="1" x14ac:dyDescent="0.25">
      <c r="A186" s="13"/>
      <c r="B186" s="52" t="s">
        <v>141</v>
      </c>
      <c r="C186" s="47" t="s">
        <v>274</v>
      </c>
      <c r="D186" s="37"/>
      <c r="E186" s="43"/>
      <c r="H186" s="13"/>
    </row>
    <row r="187" spans="1:8" hidden="1" x14ac:dyDescent="0.25">
      <c r="A187" s="37"/>
      <c r="B187" s="47"/>
      <c r="C187" s="47"/>
      <c r="D187" s="37"/>
      <c r="E187" s="43"/>
      <c r="H187" s="37"/>
    </row>
    <row r="188" spans="1:8" hidden="1" x14ac:dyDescent="0.25">
      <c r="A188" s="38" t="s">
        <v>22</v>
      </c>
      <c r="B188" s="48" t="s">
        <v>88</v>
      </c>
      <c r="C188" s="53" t="s">
        <v>294</v>
      </c>
      <c r="D188" s="42"/>
      <c r="E188" s="43"/>
      <c r="H188" s="38"/>
    </row>
    <row r="189" spans="1:8" hidden="1" x14ac:dyDescent="0.25">
      <c r="A189" s="13"/>
      <c r="B189" s="52" t="s">
        <v>23</v>
      </c>
      <c r="C189" s="47" t="s">
        <v>275</v>
      </c>
      <c r="D189" s="37"/>
      <c r="E189" s="43"/>
      <c r="H189" s="13"/>
    </row>
    <row r="190" spans="1:8" hidden="1" x14ac:dyDescent="0.25">
      <c r="A190" s="13"/>
      <c r="B190" s="52" t="s">
        <v>25</v>
      </c>
      <c r="C190" s="47" t="s">
        <v>276</v>
      </c>
      <c r="D190" s="37"/>
      <c r="E190" s="43"/>
      <c r="H190" s="13"/>
    </row>
    <row r="191" spans="1:8" hidden="1" x14ac:dyDescent="0.25">
      <c r="A191" s="13"/>
      <c r="B191" s="52" t="s">
        <v>142</v>
      </c>
      <c r="C191" s="47" t="s">
        <v>277</v>
      </c>
      <c r="D191" s="37"/>
      <c r="E191" s="43"/>
      <c r="H191" s="13"/>
    </row>
    <row r="192" spans="1:8" hidden="1" x14ac:dyDescent="0.25">
      <c r="A192" s="13"/>
      <c r="B192" s="52" t="s">
        <v>24</v>
      </c>
      <c r="C192" s="47" t="s">
        <v>278</v>
      </c>
      <c r="D192" s="37"/>
      <c r="E192" s="43"/>
      <c r="H192" s="13"/>
    </row>
    <row r="193" spans="1:8" hidden="1" x14ac:dyDescent="0.25">
      <c r="A193" s="13"/>
      <c r="B193" s="54" t="s">
        <v>173</v>
      </c>
      <c r="C193" s="50" t="s">
        <v>279</v>
      </c>
      <c r="D193" s="13"/>
      <c r="E193" s="43"/>
      <c r="H193" s="13"/>
    </row>
    <row r="194" spans="1:8" hidden="1" x14ac:dyDescent="0.25">
      <c r="A194" s="13"/>
      <c r="B194" s="52" t="s">
        <v>26</v>
      </c>
      <c r="C194" s="47" t="s">
        <v>280</v>
      </c>
      <c r="D194" s="37"/>
      <c r="E194" s="43"/>
      <c r="H194" s="13"/>
    </row>
    <row r="195" spans="1:8" hidden="1" x14ac:dyDescent="0.25">
      <c r="A195" s="13"/>
      <c r="B195" s="52" t="s">
        <v>27</v>
      </c>
      <c r="C195" s="47" t="s">
        <v>281</v>
      </c>
      <c r="D195" s="37"/>
      <c r="E195" s="43"/>
      <c r="H195" s="13"/>
    </row>
    <row r="196" spans="1:8" hidden="1" x14ac:dyDescent="0.25">
      <c r="A196" s="37"/>
      <c r="B196" s="47"/>
      <c r="C196" s="47"/>
      <c r="D196" s="37"/>
      <c r="E196" s="43"/>
      <c r="H196" s="37"/>
    </row>
    <row r="197" spans="1:8" hidden="1" x14ac:dyDescent="0.25">
      <c r="A197" s="38" t="s">
        <v>143</v>
      </c>
      <c r="B197" s="48" t="s">
        <v>88</v>
      </c>
      <c r="C197" s="53" t="s">
        <v>294</v>
      </c>
      <c r="D197" s="42"/>
      <c r="E197" s="43"/>
      <c r="H197" s="38"/>
    </row>
    <row r="198" spans="1:8" hidden="1" x14ac:dyDescent="0.25">
      <c r="A198" s="13"/>
      <c r="B198" s="52" t="s">
        <v>29</v>
      </c>
      <c r="C198" s="52" t="s">
        <v>282</v>
      </c>
      <c r="D198" s="39"/>
      <c r="E198" s="43"/>
      <c r="H198" s="13"/>
    </row>
    <row r="199" spans="1:8" hidden="1" x14ac:dyDescent="0.25">
      <c r="A199" s="13"/>
      <c r="B199" s="52" t="s">
        <v>31</v>
      </c>
      <c r="C199" s="47" t="s">
        <v>283</v>
      </c>
      <c r="D199" s="37"/>
      <c r="E199" s="43"/>
      <c r="H199" s="13"/>
    </row>
    <row r="200" spans="1:8" hidden="1" x14ac:dyDescent="0.25">
      <c r="A200" s="13"/>
      <c r="B200" s="52" t="s">
        <v>28</v>
      </c>
      <c r="C200" s="47" t="s">
        <v>284</v>
      </c>
      <c r="D200" s="37"/>
      <c r="E200" s="43"/>
      <c r="H200" s="13"/>
    </row>
    <row r="201" spans="1:8" hidden="1" x14ac:dyDescent="0.25">
      <c r="A201" s="13"/>
      <c r="B201" s="52" t="s">
        <v>36</v>
      </c>
      <c r="C201" s="47" t="s">
        <v>285</v>
      </c>
      <c r="D201" s="37"/>
      <c r="E201" s="43"/>
      <c r="H201" s="13"/>
    </row>
    <row r="202" spans="1:8" hidden="1" x14ac:dyDescent="0.25">
      <c r="A202" s="13"/>
      <c r="B202" s="52" t="s">
        <v>30</v>
      </c>
      <c r="C202" s="47" t="s">
        <v>286</v>
      </c>
      <c r="D202" s="37"/>
      <c r="E202" s="43"/>
      <c r="H202" s="13"/>
    </row>
    <row r="203" spans="1:8" hidden="1" x14ac:dyDescent="0.25">
      <c r="A203" s="13"/>
      <c r="B203" s="54" t="s">
        <v>144</v>
      </c>
      <c r="C203" s="50" t="s">
        <v>287</v>
      </c>
      <c r="D203" s="13"/>
      <c r="E203" s="43"/>
      <c r="H203" s="13"/>
    </row>
    <row r="204" spans="1:8" hidden="1" x14ac:dyDescent="0.25">
      <c r="A204" s="13"/>
      <c r="B204" s="52"/>
      <c r="C204" s="47"/>
      <c r="D204" s="37"/>
      <c r="E204" s="43"/>
      <c r="H204" s="13"/>
    </row>
    <row r="205" spans="1:8" hidden="1" x14ac:dyDescent="0.25">
      <c r="A205" s="38" t="s">
        <v>104</v>
      </c>
      <c r="B205" s="48" t="s">
        <v>88</v>
      </c>
      <c r="C205" s="53" t="s">
        <v>294</v>
      </c>
      <c r="D205" s="42"/>
      <c r="E205" s="43"/>
      <c r="H205" s="38"/>
    </row>
    <row r="206" spans="1:8" hidden="1" x14ac:dyDescent="0.25">
      <c r="A206" s="13"/>
      <c r="B206" s="52" t="s">
        <v>32</v>
      </c>
      <c r="C206" s="47" t="s">
        <v>288</v>
      </c>
      <c r="D206" s="37"/>
      <c r="E206" s="43"/>
      <c r="H206" s="13"/>
    </row>
    <row r="207" spans="1:8" hidden="1" x14ac:dyDescent="0.25">
      <c r="A207" s="13"/>
      <c r="B207" s="52" t="s">
        <v>34</v>
      </c>
      <c r="C207" s="47" t="s">
        <v>289</v>
      </c>
      <c r="D207" s="37"/>
      <c r="E207" s="43"/>
      <c r="H207" s="13"/>
    </row>
    <row r="208" spans="1:8" hidden="1" x14ac:dyDescent="0.25">
      <c r="A208" s="13"/>
      <c r="B208" s="52" t="s">
        <v>35</v>
      </c>
      <c r="C208" s="47" t="s">
        <v>290</v>
      </c>
      <c r="D208" s="37"/>
      <c r="E208" s="43"/>
      <c r="H208" s="13"/>
    </row>
    <row r="209" spans="1:11" hidden="1" x14ac:dyDescent="0.25">
      <c r="A209" s="13"/>
      <c r="B209" s="52" t="s">
        <v>174</v>
      </c>
      <c r="C209" s="47" t="s">
        <v>291</v>
      </c>
      <c r="D209" s="37"/>
      <c r="E209" s="43"/>
      <c r="H209" s="13"/>
    </row>
    <row r="210" spans="1:11" hidden="1" x14ac:dyDescent="0.25">
      <c r="A210" s="13"/>
      <c r="B210" s="54" t="s">
        <v>145</v>
      </c>
      <c r="C210" s="50" t="s">
        <v>292</v>
      </c>
      <c r="D210" s="13"/>
      <c r="E210" s="43"/>
      <c r="H210" s="13"/>
    </row>
    <row r="211" spans="1:11" hidden="1" x14ac:dyDescent="0.25">
      <c r="A211" s="13"/>
      <c r="B211" s="52" t="s">
        <v>33</v>
      </c>
      <c r="C211" s="47" t="s">
        <v>293</v>
      </c>
      <c r="D211" s="37"/>
      <c r="E211" s="43"/>
      <c r="H211" s="13"/>
    </row>
    <row r="212" spans="1:11" hidden="1" x14ac:dyDescent="0.25">
      <c r="B212" s="49"/>
      <c r="C212" s="49"/>
      <c r="E212" s="43"/>
    </row>
    <row r="213" spans="1:11" hidden="1" x14ac:dyDescent="0.25">
      <c r="B213" s="49"/>
      <c r="C213" s="49"/>
      <c r="E213" s="43"/>
    </row>
    <row r="214" spans="1:11" hidden="1" x14ac:dyDescent="0.25">
      <c r="A214" s="38" t="s">
        <v>17</v>
      </c>
      <c r="B214" s="48" t="s">
        <v>88</v>
      </c>
      <c r="C214" s="53" t="s">
        <v>294</v>
      </c>
      <c r="D214" s="42"/>
      <c r="E214" s="43"/>
    </row>
    <row r="215" spans="1:11" hidden="1" x14ac:dyDescent="0.25">
      <c r="B215" s="52" t="s">
        <v>152</v>
      </c>
      <c r="C215" s="47" t="s">
        <v>213</v>
      </c>
      <c r="D215" s="37"/>
      <c r="E215" s="43"/>
      <c r="I215" s="39"/>
    </row>
    <row r="216" spans="1:11" hidden="1" x14ac:dyDescent="0.25">
      <c r="B216" s="52" t="s">
        <v>59</v>
      </c>
      <c r="C216" s="47" t="s">
        <v>221</v>
      </c>
      <c r="D216" s="37"/>
      <c r="E216" s="43"/>
      <c r="I216" s="39"/>
    </row>
    <row r="217" spans="1:11" hidden="1" x14ac:dyDescent="0.25">
      <c r="B217" s="52" t="s">
        <v>124</v>
      </c>
      <c r="C217" s="47" t="s">
        <v>214</v>
      </c>
      <c r="D217" s="37"/>
      <c r="E217" s="43"/>
      <c r="I217" s="39"/>
    </row>
    <row r="218" spans="1:11" hidden="1" x14ac:dyDescent="0.25">
      <c r="B218" s="52" t="s">
        <v>58</v>
      </c>
      <c r="C218" s="47" t="s">
        <v>222</v>
      </c>
      <c r="D218" s="37"/>
      <c r="E218" s="43"/>
      <c r="I218" s="39"/>
    </row>
    <row r="219" spans="1:11" hidden="1" x14ac:dyDescent="0.25">
      <c r="B219" s="52" t="s">
        <v>56</v>
      </c>
      <c r="C219" s="47" t="s">
        <v>215</v>
      </c>
      <c r="D219" s="37"/>
      <c r="E219" s="43"/>
      <c r="I219" s="39"/>
    </row>
    <row r="220" spans="1:11" hidden="1" x14ac:dyDescent="0.25">
      <c r="B220" s="52" t="s">
        <v>154</v>
      </c>
      <c r="C220" s="47" t="s">
        <v>223</v>
      </c>
      <c r="D220" s="37"/>
      <c r="E220" s="43"/>
      <c r="I220" s="39"/>
    </row>
    <row r="221" spans="1:11" hidden="1" x14ac:dyDescent="0.25">
      <c r="B221" s="52" t="s">
        <v>55</v>
      </c>
      <c r="C221" s="47" t="s">
        <v>216</v>
      </c>
      <c r="D221" s="37"/>
      <c r="E221" s="43"/>
      <c r="I221" s="39"/>
    </row>
    <row r="222" spans="1:11" hidden="1" x14ac:dyDescent="0.25">
      <c r="B222" s="52" t="s">
        <v>155</v>
      </c>
      <c r="C222" s="47" t="s">
        <v>224</v>
      </c>
      <c r="D222" s="37"/>
      <c r="E222" s="43"/>
      <c r="I222" s="39"/>
    </row>
    <row r="223" spans="1:11" hidden="1" x14ac:dyDescent="0.25">
      <c r="B223" s="52" t="s">
        <v>153</v>
      </c>
      <c r="C223" s="47" t="s">
        <v>217</v>
      </c>
      <c r="D223" s="37"/>
      <c r="E223" s="43"/>
      <c r="I223" s="37"/>
      <c r="K223" s="37"/>
    </row>
    <row r="224" spans="1:11" hidden="1" x14ac:dyDescent="0.25">
      <c r="B224" s="52" t="s">
        <v>60</v>
      </c>
      <c r="C224" s="47" t="s">
        <v>225</v>
      </c>
      <c r="D224" s="37"/>
      <c r="E224" s="43"/>
      <c r="I224" s="37"/>
      <c r="K224" s="37"/>
    </row>
    <row r="225" spans="1:11" hidden="1" x14ac:dyDescent="0.25">
      <c r="B225" s="52" t="s">
        <v>53</v>
      </c>
      <c r="C225" s="47" t="s">
        <v>218</v>
      </c>
      <c r="D225" s="37"/>
      <c r="E225" s="43"/>
      <c r="I225" s="39"/>
    </row>
    <row r="226" spans="1:11" hidden="1" x14ac:dyDescent="0.25">
      <c r="B226" s="52" t="s">
        <v>125</v>
      </c>
      <c r="C226" s="47" t="s">
        <v>219</v>
      </c>
      <c r="D226" s="37"/>
      <c r="E226" s="43"/>
      <c r="I226" s="39"/>
    </row>
    <row r="227" spans="1:11" hidden="1" x14ac:dyDescent="0.25">
      <c r="B227" s="52" t="s">
        <v>54</v>
      </c>
      <c r="C227" s="47" t="s">
        <v>220</v>
      </c>
      <c r="D227" s="37"/>
      <c r="E227" s="43"/>
      <c r="I227" s="39"/>
    </row>
    <row r="228" spans="1:11" hidden="1" x14ac:dyDescent="0.25">
      <c r="B228" s="48" t="s">
        <v>88</v>
      </c>
      <c r="C228" s="53" t="s">
        <v>294</v>
      </c>
      <c r="D228" s="42"/>
      <c r="E228" s="43"/>
      <c r="I228" s="39"/>
    </row>
    <row r="229" spans="1:11" hidden="1" x14ac:dyDescent="0.25">
      <c r="A229" s="38" t="s">
        <v>176</v>
      </c>
      <c r="B229" s="52" t="s">
        <v>29</v>
      </c>
      <c r="C229" s="52" t="s">
        <v>282</v>
      </c>
      <c r="D229" s="39"/>
      <c r="E229" s="43"/>
      <c r="I229" s="39"/>
    </row>
    <row r="230" spans="1:11" hidden="1" x14ac:dyDescent="0.25">
      <c r="B230" s="52" t="s">
        <v>32</v>
      </c>
      <c r="C230" s="47" t="s">
        <v>288</v>
      </c>
      <c r="D230" s="37"/>
      <c r="E230" s="43"/>
      <c r="I230" s="39"/>
    </row>
    <row r="231" spans="1:11" hidden="1" x14ac:dyDescent="0.25">
      <c r="B231" s="52" t="s">
        <v>31</v>
      </c>
      <c r="C231" s="47" t="s">
        <v>283</v>
      </c>
      <c r="D231" s="37"/>
      <c r="E231" s="43"/>
      <c r="I231" s="39"/>
    </row>
    <row r="232" spans="1:11" hidden="1" x14ac:dyDescent="0.25">
      <c r="B232" s="52" t="s">
        <v>34</v>
      </c>
      <c r="C232" s="47" t="s">
        <v>289</v>
      </c>
      <c r="D232" s="37"/>
      <c r="E232" s="44"/>
      <c r="I232" s="39"/>
    </row>
    <row r="233" spans="1:11" hidden="1" x14ac:dyDescent="0.25">
      <c r="B233" s="52" t="s">
        <v>28</v>
      </c>
      <c r="C233" s="47" t="s">
        <v>284</v>
      </c>
      <c r="D233" s="37"/>
      <c r="E233" s="45"/>
      <c r="I233" s="39"/>
    </row>
    <row r="234" spans="1:11" hidden="1" x14ac:dyDescent="0.25">
      <c r="B234" s="52" t="s">
        <v>35</v>
      </c>
      <c r="C234" s="47" t="s">
        <v>290</v>
      </c>
      <c r="D234" s="37"/>
      <c r="E234" s="44"/>
      <c r="I234" s="40"/>
    </row>
    <row r="235" spans="1:11" hidden="1" x14ac:dyDescent="0.25">
      <c r="B235" s="52" t="s">
        <v>36</v>
      </c>
      <c r="C235" s="47" t="s">
        <v>285</v>
      </c>
      <c r="D235" s="37"/>
      <c r="E235" s="45"/>
      <c r="I235" s="39"/>
      <c r="K235" s="37"/>
    </row>
    <row r="236" spans="1:11" hidden="1" x14ac:dyDescent="0.25">
      <c r="B236" s="52" t="s">
        <v>174</v>
      </c>
      <c r="C236" s="47" t="s">
        <v>291</v>
      </c>
      <c r="D236" s="37"/>
      <c r="E236" s="43"/>
      <c r="I236" s="37"/>
      <c r="K236" s="37"/>
    </row>
    <row r="237" spans="1:11" hidden="1" x14ac:dyDescent="0.25">
      <c r="B237" s="52" t="s">
        <v>30</v>
      </c>
      <c r="C237" s="47" t="s">
        <v>286</v>
      </c>
      <c r="D237" s="37"/>
      <c r="E237" s="45"/>
      <c r="I237" s="39"/>
    </row>
    <row r="238" spans="1:11" hidden="1" x14ac:dyDescent="0.25">
      <c r="B238" s="54" t="s">
        <v>145</v>
      </c>
      <c r="C238" s="50" t="s">
        <v>292</v>
      </c>
      <c r="D238" s="13"/>
      <c r="E238" s="46"/>
      <c r="I238" s="39"/>
    </row>
    <row r="239" spans="1:11" hidden="1" x14ac:dyDescent="0.25">
      <c r="B239" s="54" t="s">
        <v>144</v>
      </c>
      <c r="C239" s="50" t="s">
        <v>287</v>
      </c>
      <c r="D239" s="13"/>
      <c r="E239" s="45"/>
      <c r="I239" s="39"/>
    </row>
    <row r="240" spans="1:11" hidden="1" x14ac:dyDescent="0.25">
      <c r="B240" s="52" t="s">
        <v>33</v>
      </c>
      <c r="C240" s="47" t="s">
        <v>293</v>
      </c>
      <c r="D240" s="37"/>
      <c r="E240" s="46"/>
      <c r="I240" s="39"/>
    </row>
    <row r="241" spans="1:9" hidden="1" x14ac:dyDescent="0.25">
      <c r="B241" s="48" t="s">
        <v>88</v>
      </c>
      <c r="C241" s="53" t="s">
        <v>294</v>
      </c>
      <c r="D241" s="42"/>
      <c r="E241" s="45"/>
      <c r="I241" s="40"/>
    </row>
    <row r="242" spans="1:9" hidden="1" x14ac:dyDescent="0.25">
      <c r="A242" s="38" t="s">
        <v>175</v>
      </c>
      <c r="B242" s="52" t="s">
        <v>138</v>
      </c>
      <c r="C242" s="47" t="s">
        <v>268</v>
      </c>
      <c r="D242" s="37"/>
      <c r="E242" s="46"/>
      <c r="I242" s="39"/>
    </row>
    <row r="243" spans="1:9" hidden="1" x14ac:dyDescent="0.25">
      <c r="B243" s="52" t="s">
        <v>152</v>
      </c>
      <c r="C243" s="47" t="s">
        <v>213</v>
      </c>
      <c r="D243" s="37"/>
      <c r="E243" s="45"/>
      <c r="I243" s="39"/>
    </row>
    <row r="244" spans="1:9" hidden="1" x14ac:dyDescent="0.25">
      <c r="B244" s="52" t="s">
        <v>38</v>
      </c>
      <c r="C244" s="47" t="s">
        <v>269</v>
      </c>
      <c r="D244" s="37"/>
      <c r="E244" s="46"/>
      <c r="I244" s="39"/>
    </row>
    <row r="245" spans="1:9" hidden="1" x14ac:dyDescent="0.25">
      <c r="B245" s="52" t="s">
        <v>59</v>
      </c>
      <c r="C245" s="47" t="s">
        <v>221</v>
      </c>
      <c r="D245" s="37"/>
      <c r="E245" s="45"/>
      <c r="I245" s="39"/>
    </row>
    <row r="246" spans="1:9" hidden="1" x14ac:dyDescent="0.25">
      <c r="B246" s="52" t="s">
        <v>39</v>
      </c>
      <c r="C246" s="47" t="s">
        <v>270</v>
      </c>
      <c r="D246" s="37"/>
      <c r="E246" s="46"/>
      <c r="I246" s="39"/>
    </row>
    <row r="247" spans="1:9" hidden="1" x14ac:dyDescent="0.25">
      <c r="B247" s="52" t="s">
        <v>124</v>
      </c>
      <c r="C247" s="47" t="s">
        <v>214</v>
      </c>
      <c r="D247" s="37"/>
      <c r="E247" s="45"/>
      <c r="I247" s="39"/>
    </row>
    <row r="248" spans="1:9" hidden="1" x14ac:dyDescent="0.25">
      <c r="B248" s="52" t="s">
        <v>139</v>
      </c>
      <c r="C248" s="47" t="s">
        <v>271</v>
      </c>
      <c r="D248" s="37"/>
      <c r="E248" s="46"/>
      <c r="I248" s="39"/>
    </row>
    <row r="249" spans="1:9" hidden="1" x14ac:dyDescent="0.25">
      <c r="B249" s="52" t="s">
        <v>58</v>
      </c>
      <c r="C249" s="47" t="s">
        <v>222</v>
      </c>
      <c r="D249" s="37"/>
      <c r="E249" s="45"/>
    </row>
    <row r="250" spans="1:9" hidden="1" x14ac:dyDescent="0.25">
      <c r="B250" s="52" t="s">
        <v>40</v>
      </c>
      <c r="C250" s="47" t="s">
        <v>272</v>
      </c>
      <c r="D250" s="37"/>
      <c r="E250" s="46"/>
    </row>
    <row r="251" spans="1:9" hidden="1" x14ac:dyDescent="0.25">
      <c r="B251" s="52" t="s">
        <v>56</v>
      </c>
      <c r="C251" s="47" t="s">
        <v>215</v>
      </c>
      <c r="D251" s="37"/>
      <c r="E251" s="45"/>
      <c r="I251" s="39"/>
    </row>
    <row r="252" spans="1:9" hidden="1" x14ac:dyDescent="0.25">
      <c r="B252" s="52" t="s">
        <v>140</v>
      </c>
      <c r="C252" s="47" t="s">
        <v>273</v>
      </c>
      <c r="D252" s="37"/>
      <c r="E252" s="46"/>
      <c r="I252" s="39"/>
    </row>
    <row r="253" spans="1:9" hidden="1" x14ac:dyDescent="0.25">
      <c r="B253" s="52" t="s">
        <v>154</v>
      </c>
      <c r="C253" s="47" t="s">
        <v>223</v>
      </c>
      <c r="D253" s="37"/>
      <c r="E253" s="45"/>
      <c r="I253" s="39"/>
    </row>
    <row r="254" spans="1:9" hidden="1" x14ac:dyDescent="0.25">
      <c r="B254" s="52" t="s">
        <v>141</v>
      </c>
      <c r="C254" s="47" t="s">
        <v>274</v>
      </c>
      <c r="D254" s="37"/>
      <c r="E254" s="46"/>
      <c r="I254" s="39"/>
    </row>
    <row r="255" spans="1:9" hidden="1" x14ac:dyDescent="0.25">
      <c r="B255" s="52" t="s">
        <v>55</v>
      </c>
      <c r="C255" s="47" t="s">
        <v>216</v>
      </c>
      <c r="D255" s="37"/>
      <c r="E255" s="45"/>
      <c r="I255" s="39"/>
    </row>
    <row r="256" spans="1:9" hidden="1" x14ac:dyDescent="0.25">
      <c r="B256" s="52" t="s">
        <v>155</v>
      </c>
      <c r="C256" s="47" t="s">
        <v>224</v>
      </c>
      <c r="D256" s="37"/>
      <c r="E256" s="46"/>
      <c r="I256" s="39"/>
    </row>
    <row r="257" spans="1:11" hidden="1" x14ac:dyDescent="0.25">
      <c r="B257" s="52" t="s">
        <v>153</v>
      </c>
      <c r="C257" s="47" t="s">
        <v>217</v>
      </c>
      <c r="D257" s="37"/>
      <c r="E257" s="45"/>
      <c r="I257" s="39"/>
    </row>
    <row r="258" spans="1:11" hidden="1" x14ac:dyDescent="0.25">
      <c r="B258" s="52" t="s">
        <v>60</v>
      </c>
      <c r="C258" s="47" t="s">
        <v>225</v>
      </c>
      <c r="D258" s="37"/>
      <c r="E258" s="46"/>
      <c r="I258" s="39"/>
    </row>
    <row r="259" spans="1:11" hidden="1" x14ac:dyDescent="0.25">
      <c r="B259" s="52" t="s">
        <v>53</v>
      </c>
      <c r="C259" s="47" t="s">
        <v>218</v>
      </c>
      <c r="D259" s="37"/>
      <c r="E259" s="45"/>
      <c r="I259" s="39"/>
    </row>
    <row r="260" spans="1:11" hidden="1" x14ac:dyDescent="0.25">
      <c r="B260" s="52" t="s">
        <v>125</v>
      </c>
      <c r="C260" s="47" t="s">
        <v>219</v>
      </c>
      <c r="D260" s="37"/>
      <c r="E260" s="46"/>
      <c r="I260" s="39"/>
    </row>
    <row r="261" spans="1:11" hidden="1" x14ac:dyDescent="0.25">
      <c r="B261" s="52" t="s">
        <v>54</v>
      </c>
      <c r="C261" s="47" t="s">
        <v>220</v>
      </c>
      <c r="D261" s="37"/>
      <c r="E261" s="45"/>
      <c r="I261" s="39"/>
    </row>
    <row r="262" spans="1:11" hidden="1" x14ac:dyDescent="0.25">
      <c r="B262" s="52"/>
      <c r="C262" s="47"/>
      <c r="D262" s="37"/>
      <c r="E262" s="45"/>
      <c r="I262" s="39"/>
    </row>
    <row r="263" spans="1:11" hidden="1" x14ac:dyDescent="0.25">
      <c r="B263" s="48" t="s">
        <v>88</v>
      </c>
      <c r="C263" s="53" t="s">
        <v>294</v>
      </c>
      <c r="D263" s="42"/>
      <c r="E263" s="46"/>
      <c r="I263" s="39"/>
    </row>
    <row r="264" spans="1:11" hidden="1" x14ac:dyDescent="0.25">
      <c r="A264" s="38" t="s">
        <v>177</v>
      </c>
      <c r="B264" s="52" t="s">
        <v>51</v>
      </c>
      <c r="C264" s="47" t="s">
        <v>200</v>
      </c>
      <c r="D264" s="37"/>
      <c r="E264" s="45"/>
      <c r="I264" s="37"/>
    </row>
    <row r="265" spans="1:11" hidden="1" x14ac:dyDescent="0.25">
      <c r="B265" s="52" t="s">
        <v>46</v>
      </c>
      <c r="C265" s="47" t="s">
        <v>204</v>
      </c>
      <c r="D265" s="37"/>
      <c r="E265" s="46"/>
      <c r="I265" s="39"/>
    </row>
    <row r="266" spans="1:11" hidden="1" x14ac:dyDescent="0.25">
      <c r="B266" s="52" t="s">
        <v>118</v>
      </c>
      <c r="C266" s="47" t="s">
        <v>201</v>
      </c>
      <c r="D266" s="37"/>
      <c r="E266" s="45"/>
      <c r="I266" s="39"/>
    </row>
    <row r="267" spans="1:11" hidden="1" x14ac:dyDescent="0.25">
      <c r="B267" s="52" t="s">
        <v>47</v>
      </c>
      <c r="C267" s="47" t="s">
        <v>205</v>
      </c>
      <c r="D267" s="37"/>
      <c r="E267" s="43"/>
      <c r="I267" s="39"/>
    </row>
    <row r="268" spans="1:11" hidden="1" x14ac:dyDescent="0.25">
      <c r="B268" s="52" t="s">
        <v>150</v>
      </c>
      <c r="C268" s="47" t="s">
        <v>202</v>
      </c>
      <c r="D268" s="37"/>
      <c r="E268" s="43"/>
      <c r="I268" s="39"/>
    </row>
    <row r="269" spans="1:11" hidden="1" x14ac:dyDescent="0.25">
      <c r="B269" s="52" t="s">
        <v>49</v>
      </c>
      <c r="C269" s="47" t="s">
        <v>206</v>
      </c>
      <c r="D269" s="37"/>
      <c r="E269" s="45"/>
      <c r="I269" s="37"/>
      <c r="K269" s="37"/>
    </row>
    <row r="270" spans="1:11" hidden="1" x14ac:dyDescent="0.25">
      <c r="B270" s="52" t="s">
        <v>50</v>
      </c>
      <c r="C270" s="47" t="s">
        <v>203</v>
      </c>
      <c r="D270" s="37"/>
      <c r="E270" s="45"/>
      <c r="I270" s="39"/>
      <c r="K270" s="37"/>
    </row>
    <row r="271" spans="1:11" hidden="1" x14ac:dyDescent="0.25">
      <c r="B271" s="52" t="s">
        <v>48</v>
      </c>
      <c r="C271" s="47" t="s">
        <v>207</v>
      </c>
      <c r="D271" s="37"/>
      <c r="E271" s="45"/>
      <c r="I271" s="39"/>
    </row>
    <row r="272" spans="1:11" hidden="1" x14ac:dyDescent="0.25">
      <c r="B272" s="52" t="s">
        <v>119</v>
      </c>
      <c r="C272" s="47" t="s">
        <v>208</v>
      </c>
      <c r="D272" s="37"/>
      <c r="E272" s="45"/>
      <c r="I272" s="39"/>
    </row>
    <row r="273" spans="2:5" hidden="1" x14ac:dyDescent="0.25"/>
    <row r="274" spans="2:5" hidden="1" x14ac:dyDescent="0.25">
      <c r="B274" t="s">
        <v>295</v>
      </c>
      <c r="C274" t="s">
        <v>296</v>
      </c>
      <c r="D274" t="s">
        <v>333</v>
      </c>
      <c r="E274" t="s">
        <v>335</v>
      </c>
    </row>
    <row r="275" spans="2:5" hidden="1" x14ac:dyDescent="0.25">
      <c r="B275" t="s">
        <v>77</v>
      </c>
      <c r="C275" s="37" t="s">
        <v>77</v>
      </c>
      <c r="D275" s="37" t="s">
        <v>312</v>
      </c>
      <c r="E275" s="37" t="str">
        <f>CONCATENATE(Table_Name52[[#This Row],[Table name]],"[Link]")</f>
        <v>Abs[Link]</v>
      </c>
    </row>
    <row r="276" spans="2:5" hidden="1" x14ac:dyDescent="0.25">
      <c r="B276" t="s">
        <v>19</v>
      </c>
      <c r="C276" s="37" t="s">
        <v>19</v>
      </c>
      <c r="D276" s="37" t="s">
        <v>313</v>
      </c>
      <c r="E276" s="37" t="str">
        <f>CONCATENATE(Table_Name52[[#This Row],[Table name]],"[Link]")</f>
        <v>Calves[Link]</v>
      </c>
    </row>
    <row r="277" spans="2:5" hidden="1" x14ac:dyDescent="0.25">
      <c r="B277" t="s">
        <v>18</v>
      </c>
      <c r="C277" s="37" t="s">
        <v>18</v>
      </c>
      <c r="D277" s="37" t="s">
        <v>314</v>
      </c>
      <c r="E277" s="37" t="str">
        <f>CONCATENATE(Table_Name52[[#This Row],[Table name]],"[Link]")</f>
        <v>Biceps[Link]</v>
      </c>
    </row>
    <row r="278" spans="2:5" hidden="1" x14ac:dyDescent="0.25">
      <c r="B278" t="s">
        <v>117</v>
      </c>
      <c r="C278" s="37" t="s">
        <v>297</v>
      </c>
      <c r="D278" s="37" t="s">
        <v>315</v>
      </c>
      <c r="E278" s="37" t="str">
        <f>CONCATENATE(Table_Name52[[#This Row],[Table name]],"[Link]")</f>
        <v>Rear_Delts[Link]</v>
      </c>
    </row>
    <row r="279" spans="2:5" hidden="1" x14ac:dyDescent="0.25">
      <c r="B279" t="s">
        <v>105</v>
      </c>
      <c r="C279" s="37" t="s">
        <v>298</v>
      </c>
      <c r="D279" s="37" t="s">
        <v>316</v>
      </c>
      <c r="E279" s="37" t="str">
        <f>CONCATENATE(Table_Name52[[#This Row],[Table name]],"[Link]")</f>
        <v>Side_Delts[Link]</v>
      </c>
    </row>
    <row r="280" spans="2:5" hidden="1" x14ac:dyDescent="0.25">
      <c r="B280" t="s">
        <v>120</v>
      </c>
      <c r="C280" s="37" t="s">
        <v>120</v>
      </c>
      <c r="D280" s="37" t="s">
        <v>317</v>
      </c>
      <c r="E280" s="37" t="str">
        <f>CONCATENATE(Table_Name52[[#This Row],[Table name]],"[Link]")</f>
        <v>Traps[Link]</v>
      </c>
    </row>
    <row r="281" spans="2:5" hidden="1" x14ac:dyDescent="0.25">
      <c r="B281" t="s">
        <v>52</v>
      </c>
      <c r="C281" s="37" t="s">
        <v>299</v>
      </c>
      <c r="D281" s="37" t="s">
        <v>318</v>
      </c>
      <c r="E281" s="37" t="str">
        <f>CONCATENATE(Table_Name52[[#This Row],[Table name]],"[Link]")</f>
        <v>Horizontal_Triceps[Link]</v>
      </c>
    </row>
    <row r="282" spans="2:5" hidden="1" x14ac:dyDescent="0.25">
      <c r="B282" t="s">
        <v>57</v>
      </c>
      <c r="C282" s="37" t="s">
        <v>300</v>
      </c>
      <c r="D282" s="37" t="s">
        <v>319</v>
      </c>
      <c r="E282" s="37" t="str">
        <f>CONCATENATE(Table_Name52[[#This Row],[Table name]],"[Link]")</f>
        <v>Vertical_Triceps[Link]</v>
      </c>
    </row>
    <row r="283" spans="2:5" hidden="1" x14ac:dyDescent="0.25">
      <c r="B283" t="s">
        <v>338</v>
      </c>
      <c r="C283" s="37" t="s">
        <v>301</v>
      </c>
      <c r="D283" s="37" t="s">
        <v>334</v>
      </c>
      <c r="E283" s="37" t="str">
        <f>CONCATENATE(Table_Name52[[#This Row],[Table name]],"[Link]")</f>
        <v>Horizonal_Back[Link]</v>
      </c>
    </row>
    <row r="284" spans="2:5" hidden="1" x14ac:dyDescent="0.25">
      <c r="B284" t="s">
        <v>339</v>
      </c>
      <c r="C284" s="37" t="s">
        <v>302</v>
      </c>
      <c r="D284" s="37" t="s">
        <v>320</v>
      </c>
      <c r="E284" s="37" t="str">
        <f>CONCATENATE(Table_Name52[[#This Row],[Table name]],"[Link]")</f>
        <v>Vertical_Back[Link]</v>
      </c>
    </row>
    <row r="285" spans="2:5" hidden="1" x14ac:dyDescent="0.25">
      <c r="B285" t="s">
        <v>20</v>
      </c>
      <c r="C285" s="37" t="s">
        <v>20</v>
      </c>
      <c r="D285" s="37" t="s">
        <v>321</v>
      </c>
      <c r="E285" s="37" t="str">
        <f>CONCATENATE(Table_Name52[[#This Row],[Table name]],"[Link]")</f>
        <v>Quads[Link]</v>
      </c>
    </row>
    <row r="286" spans="2:5" hidden="1" x14ac:dyDescent="0.25">
      <c r="B286" t="s">
        <v>108</v>
      </c>
      <c r="C286" s="37" t="s">
        <v>108</v>
      </c>
      <c r="D286" s="37" t="s">
        <v>322</v>
      </c>
      <c r="E286" s="37" t="str">
        <f>CONCATENATE(Table_Name52[[#This Row],[Table name]],"[Link]")</f>
        <v>Glutes[Link]</v>
      </c>
    </row>
    <row r="287" spans="2:5" hidden="1" x14ac:dyDescent="0.25">
      <c r="B287" t="s">
        <v>107</v>
      </c>
      <c r="C287" s="37" t="s">
        <v>303</v>
      </c>
      <c r="D287" s="37" t="s">
        <v>323</v>
      </c>
      <c r="E287" s="37" t="str">
        <f>CONCATENATE(Table_Name52[[#This Row],[Table name]],"[Link]")</f>
        <v>Hamstrings_Hip_Hinge[Link]</v>
      </c>
    </row>
    <row r="288" spans="2:5" hidden="1" x14ac:dyDescent="0.25">
      <c r="B288" t="s">
        <v>106</v>
      </c>
      <c r="C288" s="37" t="s">
        <v>304</v>
      </c>
      <c r="D288" s="37" t="s">
        <v>324</v>
      </c>
      <c r="E288" s="37" t="str">
        <f>CONCATENATE(Table_Name52[[#This Row],[Table name]],"[Link]")</f>
        <v>Hamstrings_Isolation[Link]</v>
      </c>
    </row>
    <row r="289" spans="2:5" hidden="1" x14ac:dyDescent="0.25">
      <c r="B289" t="s">
        <v>37</v>
      </c>
      <c r="C289" s="37" t="s">
        <v>305</v>
      </c>
      <c r="D289" s="37" t="s">
        <v>325</v>
      </c>
      <c r="E289" s="37" t="str">
        <f>CONCATENATE(Table_Name52[[#This Row],[Table name]],"[Link]")</f>
        <v>Chest_Isolation[Link]</v>
      </c>
    </row>
    <row r="290" spans="2:5" hidden="1" x14ac:dyDescent="0.25">
      <c r="B290" t="s">
        <v>344</v>
      </c>
      <c r="C290" s="37" t="s">
        <v>306</v>
      </c>
      <c r="D290" s="37" t="s">
        <v>326</v>
      </c>
      <c r="E290" s="37" t="str">
        <f>CONCATENATE(Table_Name52[[#This Row],[Table name]],"[Link]")</f>
        <v>Horizontal_Push[Link]</v>
      </c>
    </row>
    <row r="291" spans="2:5" hidden="1" x14ac:dyDescent="0.25">
      <c r="B291" t="s">
        <v>343</v>
      </c>
      <c r="C291" s="37" t="s">
        <v>307</v>
      </c>
      <c r="D291" s="37" t="s">
        <v>327</v>
      </c>
      <c r="E291" s="37" t="str">
        <f>CONCATENATE(Table_Name52[[#This Row],[Table name]],"[Link]")</f>
        <v>Incline_Push[Link]</v>
      </c>
    </row>
    <row r="292" spans="2:5" hidden="1" x14ac:dyDescent="0.25">
      <c r="B292" t="s">
        <v>104</v>
      </c>
      <c r="C292" s="37" t="s">
        <v>308</v>
      </c>
      <c r="D292" s="37" t="s">
        <v>328</v>
      </c>
      <c r="E292" s="37" t="str">
        <f>CONCATENATE(Table_Name52[[#This Row],[Table name]],"[Link]")</f>
        <v>Front_Delts[Link]</v>
      </c>
    </row>
    <row r="293" spans="2:5" hidden="1" x14ac:dyDescent="0.25">
      <c r="B293" t="s">
        <v>17</v>
      </c>
      <c r="C293" s="37" t="s">
        <v>17</v>
      </c>
      <c r="D293" s="37" t="s">
        <v>329</v>
      </c>
      <c r="E293" s="37" t="str">
        <f>CONCATENATE(Table_Name52[[#This Row],[Table name]],"[Link]")</f>
        <v>Triceps[Link]</v>
      </c>
    </row>
    <row r="294" spans="2:5" hidden="1" x14ac:dyDescent="0.25">
      <c r="B294" t="s">
        <v>176</v>
      </c>
      <c r="C294" s="37" t="s">
        <v>309</v>
      </c>
      <c r="D294" s="37" t="s">
        <v>330</v>
      </c>
      <c r="E294" s="37" t="str">
        <f>CONCATENATE(Table_Name52[[#This Row],[Table name]],"[Link]")</f>
        <v>Incline_Push_or_Front_Delts[Link]</v>
      </c>
    </row>
    <row r="295" spans="2:5" hidden="1" x14ac:dyDescent="0.25">
      <c r="B295" t="s">
        <v>175</v>
      </c>
      <c r="C295" s="37" t="s">
        <v>310</v>
      </c>
      <c r="D295" s="37" t="s">
        <v>331</v>
      </c>
      <c r="E295" s="37" t="str">
        <f>CONCATENATE(Table_Name52[[#This Row],[Table name]],"[Link]")</f>
        <v>Chest_Isolation_or_Triceps[Link]</v>
      </c>
    </row>
    <row r="296" spans="2:5" hidden="1" x14ac:dyDescent="0.25">
      <c r="B296" t="s">
        <v>340</v>
      </c>
      <c r="C296" s="37" t="s">
        <v>311</v>
      </c>
      <c r="D296" s="37" t="s">
        <v>332</v>
      </c>
      <c r="E296" s="37" t="str">
        <f>CONCATENATE(Table_Name52[[#This Row],[Table name]],"[Link]")</f>
        <v>Rear_or_Side_Delts[Link]</v>
      </c>
    </row>
    <row r="297" spans="2:5" hidden="1" x14ac:dyDescent="0.25"/>
    <row r="298" spans="2:5" hidden="1" x14ac:dyDescent="0.25">
      <c r="B298" s="9" t="s">
        <v>88</v>
      </c>
      <c r="C298" t="s">
        <v>294</v>
      </c>
      <c r="D298" s="9" t="s">
        <v>295</v>
      </c>
    </row>
    <row r="299" spans="2:5" hidden="1" x14ac:dyDescent="0.25">
      <c r="B299" s="37" t="s">
        <v>109</v>
      </c>
      <c r="C299" t="s">
        <v>178</v>
      </c>
      <c r="D299" t="s">
        <v>77</v>
      </c>
    </row>
    <row r="300" spans="2:5" hidden="1" x14ac:dyDescent="0.25">
      <c r="B300" s="37" t="s">
        <v>79</v>
      </c>
      <c r="C300" t="s">
        <v>179</v>
      </c>
      <c r="D300" t="s">
        <v>77</v>
      </c>
    </row>
    <row r="301" spans="2:5" hidden="1" x14ac:dyDescent="0.25">
      <c r="B301" s="37" t="s">
        <v>80</v>
      </c>
      <c r="C301" t="s">
        <v>180</v>
      </c>
      <c r="D301" t="s">
        <v>77</v>
      </c>
    </row>
    <row r="302" spans="2:5" hidden="1" x14ac:dyDescent="0.25">
      <c r="B302" s="37" t="s">
        <v>78</v>
      </c>
      <c r="C302" t="s">
        <v>181</v>
      </c>
      <c r="D302" t="s">
        <v>77</v>
      </c>
    </row>
    <row r="303" spans="2:5" hidden="1" x14ac:dyDescent="0.25">
      <c r="B303" s="39" t="s">
        <v>110</v>
      </c>
      <c r="C303" t="s">
        <v>182</v>
      </c>
      <c r="D303" t="s">
        <v>77</v>
      </c>
    </row>
    <row r="304" spans="2:5" hidden="1" x14ac:dyDescent="0.25">
      <c r="B304" s="37" t="s">
        <v>81</v>
      </c>
      <c r="C304" t="s">
        <v>183</v>
      </c>
      <c r="D304" t="s">
        <v>77</v>
      </c>
    </row>
    <row r="305" spans="2:4" hidden="1" x14ac:dyDescent="0.25">
      <c r="B305" s="37" t="s">
        <v>146</v>
      </c>
      <c r="C305" t="s">
        <v>184</v>
      </c>
      <c r="D305" t="s">
        <v>77</v>
      </c>
    </row>
    <row r="306" spans="2:4" hidden="1" x14ac:dyDescent="0.25">
      <c r="B306" s="37" t="s">
        <v>61</v>
      </c>
      <c r="C306" t="s">
        <v>189</v>
      </c>
      <c r="D306" t="s">
        <v>18</v>
      </c>
    </row>
    <row r="307" spans="2:4" hidden="1" x14ac:dyDescent="0.25">
      <c r="B307" s="37" t="s">
        <v>62</v>
      </c>
      <c r="C307" t="s">
        <v>190</v>
      </c>
      <c r="D307" t="s">
        <v>18</v>
      </c>
    </row>
    <row r="308" spans="2:4" hidden="1" x14ac:dyDescent="0.25">
      <c r="B308" s="37" t="s">
        <v>112</v>
      </c>
      <c r="C308" t="s">
        <v>191</v>
      </c>
      <c r="D308" t="s">
        <v>18</v>
      </c>
    </row>
    <row r="309" spans="2:4" hidden="1" x14ac:dyDescent="0.25">
      <c r="B309" s="37" t="s">
        <v>63</v>
      </c>
      <c r="C309" t="s">
        <v>192</v>
      </c>
      <c r="D309" t="s">
        <v>18</v>
      </c>
    </row>
    <row r="310" spans="2:4" hidden="1" x14ac:dyDescent="0.25">
      <c r="B310" s="37" t="s">
        <v>113</v>
      </c>
      <c r="C310" t="s">
        <v>193</v>
      </c>
      <c r="D310" t="s">
        <v>18</v>
      </c>
    </row>
    <row r="311" spans="2:4" hidden="1" x14ac:dyDescent="0.25">
      <c r="B311" s="37" t="s">
        <v>114</v>
      </c>
      <c r="C311" t="s">
        <v>194</v>
      </c>
      <c r="D311" t="s">
        <v>18</v>
      </c>
    </row>
    <row r="312" spans="2:4" hidden="1" x14ac:dyDescent="0.25">
      <c r="B312" s="37" t="s">
        <v>147</v>
      </c>
      <c r="C312" t="s">
        <v>195</v>
      </c>
      <c r="D312" t="s">
        <v>18</v>
      </c>
    </row>
    <row r="313" spans="2:4" hidden="1" x14ac:dyDescent="0.25">
      <c r="B313" s="37" t="s">
        <v>148</v>
      </c>
      <c r="C313" t="s">
        <v>196</v>
      </c>
      <c r="D313" t="s">
        <v>18</v>
      </c>
    </row>
    <row r="314" spans="2:4" hidden="1" x14ac:dyDescent="0.25">
      <c r="B314" s="39" t="s">
        <v>115</v>
      </c>
      <c r="C314" t="s">
        <v>197</v>
      </c>
      <c r="D314" t="s">
        <v>18</v>
      </c>
    </row>
    <row r="315" spans="2:4" hidden="1" x14ac:dyDescent="0.25">
      <c r="B315" s="37" t="s">
        <v>116</v>
      </c>
      <c r="C315" t="s">
        <v>198</v>
      </c>
      <c r="D315" t="s">
        <v>18</v>
      </c>
    </row>
    <row r="316" spans="2:4" hidden="1" x14ac:dyDescent="0.25">
      <c r="B316" s="37" t="s">
        <v>149</v>
      </c>
      <c r="C316" t="s">
        <v>199</v>
      </c>
      <c r="D316" t="s">
        <v>18</v>
      </c>
    </row>
    <row r="317" spans="2:4" hidden="1" x14ac:dyDescent="0.25">
      <c r="B317" s="37" t="s">
        <v>111</v>
      </c>
      <c r="C317" t="s">
        <v>185</v>
      </c>
      <c r="D317" t="s">
        <v>19</v>
      </c>
    </row>
    <row r="318" spans="2:4" hidden="1" x14ac:dyDescent="0.25">
      <c r="B318" s="37" t="s">
        <v>75</v>
      </c>
      <c r="C318" t="s">
        <v>186</v>
      </c>
      <c r="D318" t="s">
        <v>19</v>
      </c>
    </row>
    <row r="319" spans="2:4" hidden="1" x14ac:dyDescent="0.25">
      <c r="B319" s="37" t="s">
        <v>74</v>
      </c>
      <c r="C319" t="s">
        <v>187</v>
      </c>
      <c r="D319" t="s">
        <v>19</v>
      </c>
    </row>
    <row r="320" spans="2:4" hidden="1" x14ac:dyDescent="0.25">
      <c r="B320" s="37" t="s">
        <v>76</v>
      </c>
      <c r="C320" t="s">
        <v>188</v>
      </c>
      <c r="D320" t="s">
        <v>19</v>
      </c>
    </row>
    <row r="321" spans="2:4" hidden="1" x14ac:dyDescent="0.25">
      <c r="B321" s="37" t="s">
        <v>138</v>
      </c>
      <c r="C321" t="s">
        <v>268</v>
      </c>
      <c r="D321" t="s">
        <v>37</v>
      </c>
    </row>
    <row r="322" spans="2:4" hidden="1" x14ac:dyDescent="0.25">
      <c r="B322" s="37" t="s">
        <v>38</v>
      </c>
      <c r="C322" t="s">
        <v>269</v>
      </c>
      <c r="D322" t="s">
        <v>37</v>
      </c>
    </row>
    <row r="323" spans="2:4" hidden="1" x14ac:dyDescent="0.25">
      <c r="B323" s="37" t="s">
        <v>39</v>
      </c>
      <c r="C323" t="s">
        <v>270</v>
      </c>
      <c r="D323" t="s">
        <v>37</v>
      </c>
    </row>
    <row r="324" spans="2:4" hidden="1" x14ac:dyDescent="0.25">
      <c r="B324" s="37" t="s">
        <v>139</v>
      </c>
      <c r="C324" t="s">
        <v>271</v>
      </c>
      <c r="D324" t="s">
        <v>37</v>
      </c>
    </row>
    <row r="325" spans="2:4" hidden="1" x14ac:dyDescent="0.25">
      <c r="B325" s="37" t="s">
        <v>40</v>
      </c>
      <c r="C325" t="s">
        <v>272</v>
      </c>
      <c r="D325" t="s">
        <v>37</v>
      </c>
    </row>
    <row r="326" spans="2:4" hidden="1" x14ac:dyDescent="0.25">
      <c r="B326" s="37" t="s">
        <v>140</v>
      </c>
      <c r="C326" t="s">
        <v>273</v>
      </c>
      <c r="D326" t="s">
        <v>37</v>
      </c>
    </row>
    <row r="327" spans="2:4" hidden="1" x14ac:dyDescent="0.25">
      <c r="B327" s="37" t="s">
        <v>141</v>
      </c>
      <c r="C327" t="s">
        <v>274</v>
      </c>
      <c r="D327" t="s">
        <v>37</v>
      </c>
    </row>
    <row r="328" spans="2:4" hidden="1" x14ac:dyDescent="0.25">
      <c r="B328" s="37" t="s">
        <v>138</v>
      </c>
      <c r="C328" t="s">
        <v>268</v>
      </c>
      <c r="D328" t="s">
        <v>175</v>
      </c>
    </row>
    <row r="329" spans="2:4" hidden="1" x14ac:dyDescent="0.25">
      <c r="B329" s="37" t="s">
        <v>152</v>
      </c>
      <c r="C329" t="s">
        <v>213</v>
      </c>
      <c r="D329" t="s">
        <v>175</v>
      </c>
    </row>
    <row r="330" spans="2:4" hidden="1" x14ac:dyDescent="0.25">
      <c r="B330" s="37" t="s">
        <v>38</v>
      </c>
      <c r="C330" t="s">
        <v>269</v>
      </c>
      <c r="D330" t="s">
        <v>175</v>
      </c>
    </row>
    <row r="331" spans="2:4" hidden="1" x14ac:dyDescent="0.25">
      <c r="B331" s="37" t="s">
        <v>59</v>
      </c>
      <c r="C331" t="s">
        <v>221</v>
      </c>
      <c r="D331" t="s">
        <v>175</v>
      </c>
    </row>
    <row r="332" spans="2:4" hidden="1" x14ac:dyDescent="0.25">
      <c r="B332" s="37" t="s">
        <v>39</v>
      </c>
      <c r="C332" t="s">
        <v>270</v>
      </c>
      <c r="D332" t="s">
        <v>175</v>
      </c>
    </row>
    <row r="333" spans="2:4" hidden="1" x14ac:dyDescent="0.25">
      <c r="B333" s="37" t="s">
        <v>124</v>
      </c>
      <c r="C333" t="s">
        <v>214</v>
      </c>
      <c r="D333" t="s">
        <v>175</v>
      </c>
    </row>
    <row r="334" spans="2:4" hidden="1" x14ac:dyDescent="0.25">
      <c r="B334" s="37" t="s">
        <v>139</v>
      </c>
      <c r="C334" t="s">
        <v>271</v>
      </c>
      <c r="D334" t="s">
        <v>175</v>
      </c>
    </row>
    <row r="335" spans="2:4" hidden="1" x14ac:dyDescent="0.25">
      <c r="B335" s="37" t="s">
        <v>58</v>
      </c>
      <c r="C335" t="s">
        <v>222</v>
      </c>
      <c r="D335" t="s">
        <v>175</v>
      </c>
    </row>
    <row r="336" spans="2:4" hidden="1" x14ac:dyDescent="0.25">
      <c r="B336" s="37" t="s">
        <v>40</v>
      </c>
      <c r="C336" t="s">
        <v>272</v>
      </c>
      <c r="D336" t="s">
        <v>175</v>
      </c>
    </row>
    <row r="337" spans="2:4" hidden="1" x14ac:dyDescent="0.25">
      <c r="B337" s="37" t="s">
        <v>56</v>
      </c>
      <c r="C337" t="s">
        <v>215</v>
      </c>
      <c r="D337" t="s">
        <v>175</v>
      </c>
    </row>
    <row r="338" spans="2:4" hidden="1" x14ac:dyDescent="0.25">
      <c r="B338" s="37" t="s">
        <v>140</v>
      </c>
      <c r="C338" t="s">
        <v>273</v>
      </c>
      <c r="D338" t="s">
        <v>175</v>
      </c>
    </row>
    <row r="339" spans="2:4" hidden="1" x14ac:dyDescent="0.25">
      <c r="B339" s="37" t="s">
        <v>154</v>
      </c>
      <c r="C339" t="s">
        <v>223</v>
      </c>
      <c r="D339" t="s">
        <v>175</v>
      </c>
    </row>
    <row r="340" spans="2:4" hidden="1" x14ac:dyDescent="0.25">
      <c r="B340" s="37" t="s">
        <v>141</v>
      </c>
      <c r="C340" t="s">
        <v>274</v>
      </c>
      <c r="D340" t="s">
        <v>175</v>
      </c>
    </row>
    <row r="341" spans="2:4" hidden="1" x14ac:dyDescent="0.25">
      <c r="B341" s="37" t="s">
        <v>55</v>
      </c>
      <c r="C341" t="s">
        <v>216</v>
      </c>
      <c r="D341" t="s">
        <v>175</v>
      </c>
    </row>
    <row r="342" spans="2:4" hidden="1" x14ac:dyDescent="0.25">
      <c r="B342" s="37" t="s">
        <v>155</v>
      </c>
      <c r="C342" t="s">
        <v>224</v>
      </c>
      <c r="D342" t="s">
        <v>175</v>
      </c>
    </row>
    <row r="343" spans="2:4" hidden="1" x14ac:dyDescent="0.25">
      <c r="B343" s="37" t="s">
        <v>153</v>
      </c>
      <c r="C343" t="s">
        <v>217</v>
      </c>
      <c r="D343" t="s">
        <v>175</v>
      </c>
    </row>
    <row r="344" spans="2:4" hidden="1" x14ac:dyDescent="0.25">
      <c r="B344" s="37" t="s">
        <v>60</v>
      </c>
      <c r="C344" t="s">
        <v>225</v>
      </c>
      <c r="D344" t="s">
        <v>175</v>
      </c>
    </row>
    <row r="345" spans="2:4" hidden="1" x14ac:dyDescent="0.25">
      <c r="B345" s="37" t="s">
        <v>53</v>
      </c>
      <c r="C345" t="s">
        <v>218</v>
      </c>
      <c r="D345" t="s">
        <v>175</v>
      </c>
    </row>
    <row r="346" spans="2:4" hidden="1" x14ac:dyDescent="0.25">
      <c r="B346" s="37" t="s">
        <v>125</v>
      </c>
      <c r="C346" t="s">
        <v>219</v>
      </c>
      <c r="D346" t="s">
        <v>175</v>
      </c>
    </row>
    <row r="347" spans="2:4" hidden="1" x14ac:dyDescent="0.25">
      <c r="B347" s="37" t="s">
        <v>54</v>
      </c>
      <c r="C347" t="s">
        <v>220</v>
      </c>
      <c r="D347" t="s">
        <v>175</v>
      </c>
    </row>
    <row r="348" spans="2:4" hidden="1" x14ac:dyDescent="0.25">
      <c r="B348" s="37" t="s">
        <v>32</v>
      </c>
      <c r="C348" t="s">
        <v>288</v>
      </c>
      <c r="D348" t="s">
        <v>104</v>
      </c>
    </row>
    <row r="349" spans="2:4" hidden="1" x14ac:dyDescent="0.25">
      <c r="B349" s="37" t="s">
        <v>34</v>
      </c>
      <c r="C349" t="s">
        <v>289</v>
      </c>
      <c r="D349" t="s">
        <v>104</v>
      </c>
    </row>
    <row r="350" spans="2:4" hidden="1" x14ac:dyDescent="0.25">
      <c r="B350" s="37" t="s">
        <v>35</v>
      </c>
      <c r="C350" t="s">
        <v>290</v>
      </c>
      <c r="D350" t="s">
        <v>104</v>
      </c>
    </row>
    <row r="351" spans="2:4" hidden="1" x14ac:dyDescent="0.25">
      <c r="B351" s="37" t="s">
        <v>174</v>
      </c>
      <c r="C351" t="s">
        <v>291</v>
      </c>
      <c r="D351" t="s">
        <v>104</v>
      </c>
    </row>
    <row r="352" spans="2:4" hidden="1" x14ac:dyDescent="0.25">
      <c r="B352" s="13" t="s">
        <v>145</v>
      </c>
      <c r="C352" t="s">
        <v>292</v>
      </c>
      <c r="D352" t="s">
        <v>104</v>
      </c>
    </row>
    <row r="353" spans="2:4" hidden="1" x14ac:dyDescent="0.25">
      <c r="B353" s="37" t="s">
        <v>33</v>
      </c>
      <c r="C353" t="s">
        <v>293</v>
      </c>
      <c r="D353" t="s">
        <v>104</v>
      </c>
    </row>
    <row r="354" spans="2:4" hidden="1" x14ac:dyDescent="0.25">
      <c r="B354" s="37" t="s">
        <v>66</v>
      </c>
      <c r="C354" t="s">
        <v>253</v>
      </c>
      <c r="D354" t="s">
        <v>108</v>
      </c>
    </row>
    <row r="355" spans="2:4" hidden="1" x14ac:dyDescent="0.25">
      <c r="B355" s="37" t="s">
        <v>67</v>
      </c>
      <c r="C355" t="s">
        <v>254</v>
      </c>
      <c r="D355" t="s">
        <v>108</v>
      </c>
    </row>
    <row r="356" spans="2:4" hidden="1" x14ac:dyDescent="0.25">
      <c r="B356" s="37" t="s">
        <v>133</v>
      </c>
      <c r="C356" t="s">
        <v>255</v>
      </c>
      <c r="D356" t="s">
        <v>108</v>
      </c>
    </row>
    <row r="357" spans="2:4" hidden="1" x14ac:dyDescent="0.25">
      <c r="B357" s="37" t="s">
        <v>170</v>
      </c>
      <c r="C357" t="s">
        <v>256</v>
      </c>
      <c r="D357" t="s">
        <v>108</v>
      </c>
    </row>
    <row r="358" spans="2:4" hidden="1" x14ac:dyDescent="0.25">
      <c r="B358" s="37" t="s">
        <v>70</v>
      </c>
      <c r="C358" t="s">
        <v>257</v>
      </c>
      <c r="D358" t="s">
        <v>108</v>
      </c>
    </row>
    <row r="359" spans="2:4" hidden="1" x14ac:dyDescent="0.25">
      <c r="B359" s="37" t="s">
        <v>69</v>
      </c>
      <c r="C359" t="s">
        <v>258</v>
      </c>
      <c r="D359" t="s">
        <v>108</v>
      </c>
    </row>
    <row r="360" spans="2:4" hidden="1" x14ac:dyDescent="0.25">
      <c r="B360" s="37" t="s">
        <v>134</v>
      </c>
      <c r="C360" t="s">
        <v>259</v>
      </c>
      <c r="D360" t="s">
        <v>108</v>
      </c>
    </row>
    <row r="361" spans="2:4" hidden="1" x14ac:dyDescent="0.25">
      <c r="B361" s="37" t="s">
        <v>171</v>
      </c>
      <c r="C361" t="s">
        <v>260</v>
      </c>
      <c r="D361" t="s">
        <v>108</v>
      </c>
    </row>
    <row r="362" spans="2:4" hidden="1" x14ac:dyDescent="0.25">
      <c r="B362" s="37" t="s">
        <v>135</v>
      </c>
      <c r="C362" t="s">
        <v>261</v>
      </c>
      <c r="D362" t="s">
        <v>107</v>
      </c>
    </row>
    <row r="363" spans="2:4" hidden="1" x14ac:dyDescent="0.25">
      <c r="B363" s="37" t="s">
        <v>71</v>
      </c>
      <c r="C363" t="s">
        <v>262</v>
      </c>
      <c r="D363" t="s">
        <v>107</v>
      </c>
    </row>
    <row r="364" spans="2:4" hidden="1" x14ac:dyDescent="0.25">
      <c r="B364" s="37" t="s">
        <v>72</v>
      </c>
      <c r="C364" t="s">
        <v>263</v>
      </c>
      <c r="D364" t="s">
        <v>107</v>
      </c>
    </row>
    <row r="365" spans="2:4" hidden="1" x14ac:dyDescent="0.25">
      <c r="B365" s="37" t="s">
        <v>136</v>
      </c>
      <c r="C365" t="s">
        <v>264</v>
      </c>
      <c r="D365" t="s">
        <v>107</v>
      </c>
    </row>
    <row r="366" spans="2:4" hidden="1" x14ac:dyDescent="0.25">
      <c r="B366" s="37" t="s">
        <v>172</v>
      </c>
      <c r="C366" t="s">
        <v>265</v>
      </c>
      <c r="D366" t="s">
        <v>106</v>
      </c>
    </row>
    <row r="367" spans="2:4" hidden="1" x14ac:dyDescent="0.25">
      <c r="B367" s="37" t="s">
        <v>73</v>
      </c>
      <c r="C367" t="s">
        <v>266</v>
      </c>
      <c r="D367" t="s">
        <v>106</v>
      </c>
    </row>
    <row r="368" spans="2:4" hidden="1" x14ac:dyDescent="0.25">
      <c r="B368" s="37" t="s">
        <v>137</v>
      </c>
      <c r="C368" t="s">
        <v>267</v>
      </c>
      <c r="D368" t="s">
        <v>106</v>
      </c>
    </row>
    <row r="369" spans="2:4" hidden="1" x14ac:dyDescent="0.25">
      <c r="B369" s="37" t="s">
        <v>156</v>
      </c>
      <c r="C369" t="s">
        <v>226</v>
      </c>
      <c r="D369" t="s">
        <v>126</v>
      </c>
    </row>
    <row r="370" spans="2:4" hidden="1" x14ac:dyDescent="0.25">
      <c r="B370" s="37" t="s">
        <v>157</v>
      </c>
      <c r="C370" t="s">
        <v>227</v>
      </c>
      <c r="D370" t="s">
        <v>126</v>
      </c>
    </row>
    <row r="371" spans="2:4" hidden="1" x14ac:dyDescent="0.25">
      <c r="B371" s="37" t="s">
        <v>158</v>
      </c>
      <c r="C371" t="s">
        <v>228</v>
      </c>
      <c r="D371" t="s">
        <v>126</v>
      </c>
    </row>
    <row r="372" spans="2:4" hidden="1" x14ac:dyDescent="0.25">
      <c r="B372" s="37" t="s">
        <v>42</v>
      </c>
      <c r="C372" t="s">
        <v>229</v>
      </c>
      <c r="D372" t="s">
        <v>126</v>
      </c>
    </row>
    <row r="373" spans="2:4" hidden="1" x14ac:dyDescent="0.25">
      <c r="B373" s="37" t="s">
        <v>127</v>
      </c>
      <c r="C373" t="s">
        <v>230</v>
      </c>
      <c r="D373" t="s">
        <v>126</v>
      </c>
    </row>
    <row r="374" spans="2:4" hidden="1" x14ac:dyDescent="0.25">
      <c r="B374" s="37" t="s">
        <v>128</v>
      </c>
      <c r="C374" t="s">
        <v>231</v>
      </c>
      <c r="D374" t="s">
        <v>126</v>
      </c>
    </row>
    <row r="375" spans="2:4" hidden="1" x14ac:dyDescent="0.25">
      <c r="B375" s="37" t="s">
        <v>41</v>
      </c>
      <c r="C375" t="s">
        <v>232</v>
      </c>
      <c r="D375" t="s">
        <v>126</v>
      </c>
    </row>
    <row r="376" spans="2:4" hidden="1" x14ac:dyDescent="0.25">
      <c r="B376" s="37" t="s">
        <v>129</v>
      </c>
      <c r="C376" t="s">
        <v>233</v>
      </c>
      <c r="D376" t="s">
        <v>126</v>
      </c>
    </row>
    <row r="377" spans="2:4" hidden="1" x14ac:dyDescent="0.25">
      <c r="B377" s="37" t="s">
        <v>23</v>
      </c>
      <c r="C377" t="s">
        <v>275</v>
      </c>
      <c r="D377" t="s">
        <v>22</v>
      </c>
    </row>
    <row r="378" spans="2:4" hidden="1" x14ac:dyDescent="0.25">
      <c r="B378" s="37" t="s">
        <v>25</v>
      </c>
      <c r="C378" t="s">
        <v>276</v>
      </c>
      <c r="D378" t="s">
        <v>22</v>
      </c>
    </row>
    <row r="379" spans="2:4" hidden="1" x14ac:dyDescent="0.25">
      <c r="B379" s="37" t="s">
        <v>142</v>
      </c>
      <c r="C379" t="s">
        <v>277</v>
      </c>
      <c r="D379" t="s">
        <v>22</v>
      </c>
    </row>
    <row r="380" spans="2:4" hidden="1" x14ac:dyDescent="0.25">
      <c r="B380" s="37" t="s">
        <v>24</v>
      </c>
      <c r="C380" t="s">
        <v>278</v>
      </c>
      <c r="D380" t="s">
        <v>22</v>
      </c>
    </row>
    <row r="381" spans="2:4" hidden="1" x14ac:dyDescent="0.25">
      <c r="B381" s="13" t="s">
        <v>173</v>
      </c>
      <c r="C381" t="s">
        <v>279</v>
      </c>
      <c r="D381" t="s">
        <v>22</v>
      </c>
    </row>
    <row r="382" spans="2:4" hidden="1" x14ac:dyDescent="0.25">
      <c r="B382" s="37" t="s">
        <v>26</v>
      </c>
      <c r="C382" t="s">
        <v>280</v>
      </c>
      <c r="D382" t="s">
        <v>22</v>
      </c>
    </row>
    <row r="383" spans="2:4" hidden="1" x14ac:dyDescent="0.25">
      <c r="B383" s="37" t="s">
        <v>27</v>
      </c>
      <c r="C383" t="s">
        <v>281</v>
      </c>
      <c r="D383" t="s">
        <v>22</v>
      </c>
    </row>
    <row r="384" spans="2:4" hidden="1" x14ac:dyDescent="0.25">
      <c r="B384" s="37" t="s">
        <v>152</v>
      </c>
      <c r="C384" t="s">
        <v>213</v>
      </c>
      <c r="D384" t="s">
        <v>52</v>
      </c>
    </row>
    <row r="385" spans="2:4" hidden="1" x14ac:dyDescent="0.25">
      <c r="B385" s="37" t="s">
        <v>124</v>
      </c>
      <c r="C385" t="s">
        <v>214</v>
      </c>
      <c r="D385" t="s">
        <v>52</v>
      </c>
    </row>
    <row r="386" spans="2:4" hidden="1" x14ac:dyDescent="0.25">
      <c r="B386" s="37" t="s">
        <v>56</v>
      </c>
      <c r="C386" t="s">
        <v>215</v>
      </c>
      <c r="D386" t="s">
        <v>52</v>
      </c>
    </row>
    <row r="387" spans="2:4" hidden="1" x14ac:dyDescent="0.25">
      <c r="B387" s="37" t="s">
        <v>55</v>
      </c>
      <c r="C387" t="s">
        <v>216</v>
      </c>
      <c r="D387" t="s">
        <v>52</v>
      </c>
    </row>
    <row r="388" spans="2:4" hidden="1" x14ac:dyDescent="0.25">
      <c r="B388" s="37" t="s">
        <v>153</v>
      </c>
      <c r="C388" t="s">
        <v>217</v>
      </c>
      <c r="D388" t="s">
        <v>52</v>
      </c>
    </row>
    <row r="389" spans="2:4" hidden="1" x14ac:dyDescent="0.25">
      <c r="B389" s="37" t="s">
        <v>53</v>
      </c>
      <c r="C389" t="s">
        <v>218</v>
      </c>
      <c r="D389" t="s">
        <v>52</v>
      </c>
    </row>
    <row r="390" spans="2:4" hidden="1" x14ac:dyDescent="0.25">
      <c r="B390" s="37" t="s">
        <v>125</v>
      </c>
      <c r="C390" t="s">
        <v>219</v>
      </c>
      <c r="D390" t="s">
        <v>52</v>
      </c>
    </row>
    <row r="391" spans="2:4" hidden="1" x14ac:dyDescent="0.25">
      <c r="B391" s="37" t="s">
        <v>54</v>
      </c>
      <c r="C391" t="s">
        <v>220</v>
      </c>
      <c r="D391" t="s">
        <v>52</v>
      </c>
    </row>
    <row r="392" spans="2:4" hidden="1" x14ac:dyDescent="0.25">
      <c r="B392" s="39" t="s">
        <v>29</v>
      </c>
      <c r="C392" t="s">
        <v>282</v>
      </c>
      <c r="D392" t="s">
        <v>143</v>
      </c>
    </row>
    <row r="393" spans="2:4" hidden="1" x14ac:dyDescent="0.25">
      <c r="B393" s="37" t="s">
        <v>31</v>
      </c>
      <c r="C393" t="s">
        <v>283</v>
      </c>
      <c r="D393" t="s">
        <v>143</v>
      </c>
    </row>
    <row r="394" spans="2:4" hidden="1" x14ac:dyDescent="0.25">
      <c r="B394" s="37" t="s">
        <v>28</v>
      </c>
      <c r="C394" t="s">
        <v>284</v>
      </c>
      <c r="D394" t="s">
        <v>143</v>
      </c>
    </row>
    <row r="395" spans="2:4" hidden="1" x14ac:dyDescent="0.25">
      <c r="B395" s="37" t="s">
        <v>36</v>
      </c>
      <c r="C395" t="s">
        <v>285</v>
      </c>
      <c r="D395" t="s">
        <v>143</v>
      </c>
    </row>
    <row r="396" spans="2:4" hidden="1" x14ac:dyDescent="0.25">
      <c r="B396" s="37" t="s">
        <v>30</v>
      </c>
      <c r="C396" t="s">
        <v>286</v>
      </c>
      <c r="D396" t="s">
        <v>143</v>
      </c>
    </row>
    <row r="397" spans="2:4" hidden="1" x14ac:dyDescent="0.25">
      <c r="B397" s="13" t="s">
        <v>144</v>
      </c>
      <c r="C397" t="s">
        <v>287</v>
      </c>
      <c r="D397" t="s">
        <v>143</v>
      </c>
    </row>
    <row r="398" spans="2:4" hidden="1" x14ac:dyDescent="0.25">
      <c r="B398" s="39" t="s">
        <v>29</v>
      </c>
      <c r="C398" t="s">
        <v>282</v>
      </c>
      <c r="D398" t="s">
        <v>176</v>
      </c>
    </row>
    <row r="399" spans="2:4" hidden="1" x14ac:dyDescent="0.25">
      <c r="B399" s="37" t="s">
        <v>32</v>
      </c>
      <c r="C399" t="s">
        <v>288</v>
      </c>
      <c r="D399" t="s">
        <v>176</v>
      </c>
    </row>
    <row r="400" spans="2:4" hidden="1" x14ac:dyDescent="0.25">
      <c r="B400" s="37" t="s">
        <v>31</v>
      </c>
      <c r="C400" t="s">
        <v>283</v>
      </c>
      <c r="D400" t="s">
        <v>176</v>
      </c>
    </row>
    <row r="401" spans="2:4" hidden="1" x14ac:dyDescent="0.25">
      <c r="B401" s="37" t="s">
        <v>34</v>
      </c>
      <c r="C401" t="s">
        <v>289</v>
      </c>
      <c r="D401" t="s">
        <v>176</v>
      </c>
    </row>
    <row r="402" spans="2:4" hidden="1" x14ac:dyDescent="0.25">
      <c r="B402" s="37" t="s">
        <v>28</v>
      </c>
      <c r="C402" t="s">
        <v>284</v>
      </c>
      <c r="D402" t="s">
        <v>176</v>
      </c>
    </row>
    <row r="403" spans="2:4" hidden="1" x14ac:dyDescent="0.25">
      <c r="B403" s="37" t="s">
        <v>35</v>
      </c>
      <c r="C403" t="s">
        <v>290</v>
      </c>
      <c r="D403" t="s">
        <v>176</v>
      </c>
    </row>
    <row r="404" spans="2:4" hidden="1" x14ac:dyDescent="0.25">
      <c r="B404" s="37" t="s">
        <v>36</v>
      </c>
      <c r="C404" t="s">
        <v>285</v>
      </c>
      <c r="D404" t="s">
        <v>176</v>
      </c>
    </row>
    <row r="405" spans="2:4" hidden="1" x14ac:dyDescent="0.25">
      <c r="B405" s="37" t="s">
        <v>174</v>
      </c>
      <c r="C405" t="s">
        <v>291</v>
      </c>
      <c r="D405" t="s">
        <v>176</v>
      </c>
    </row>
    <row r="406" spans="2:4" hidden="1" x14ac:dyDescent="0.25">
      <c r="B406" s="37" t="s">
        <v>30</v>
      </c>
      <c r="C406" t="s">
        <v>286</v>
      </c>
      <c r="D406" t="s">
        <v>176</v>
      </c>
    </row>
    <row r="407" spans="2:4" hidden="1" x14ac:dyDescent="0.25">
      <c r="B407" s="13" t="s">
        <v>145</v>
      </c>
      <c r="C407" t="s">
        <v>292</v>
      </c>
      <c r="D407" t="s">
        <v>176</v>
      </c>
    </row>
    <row r="408" spans="2:4" hidden="1" x14ac:dyDescent="0.25">
      <c r="B408" s="13" t="s">
        <v>144</v>
      </c>
      <c r="C408" t="s">
        <v>287</v>
      </c>
      <c r="D408" t="s">
        <v>176</v>
      </c>
    </row>
    <row r="409" spans="2:4" hidden="1" x14ac:dyDescent="0.25">
      <c r="B409" s="37" t="s">
        <v>33</v>
      </c>
      <c r="C409" t="s">
        <v>293</v>
      </c>
      <c r="D409" t="s">
        <v>176</v>
      </c>
    </row>
    <row r="410" spans="2:4" hidden="1" x14ac:dyDescent="0.25">
      <c r="B410" s="37" t="s">
        <v>64</v>
      </c>
      <c r="C410" t="s">
        <v>246</v>
      </c>
      <c r="D410" t="s">
        <v>20</v>
      </c>
    </row>
    <row r="411" spans="2:4" hidden="1" x14ac:dyDescent="0.25">
      <c r="B411" s="37" t="s">
        <v>167</v>
      </c>
      <c r="C411" t="s">
        <v>247</v>
      </c>
      <c r="D411" t="s">
        <v>20</v>
      </c>
    </row>
    <row r="412" spans="2:4" hidden="1" x14ac:dyDescent="0.25">
      <c r="B412" s="37" t="s">
        <v>168</v>
      </c>
      <c r="C412" t="s">
        <v>248</v>
      </c>
      <c r="D412" t="s">
        <v>20</v>
      </c>
    </row>
    <row r="413" spans="2:4" hidden="1" x14ac:dyDescent="0.25">
      <c r="B413" s="37" t="s">
        <v>65</v>
      </c>
      <c r="C413" t="s">
        <v>249</v>
      </c>
      <c r="D413" t="s">
        <v>20</v>
      </c>
    </row>
    <row r="414" spans="2:4" hidden="1" x14ac:dyDescent="0.25">
      <c r="B414" s="37" t="s">
        <v>132</v>
      </c>
      <c r="C414" t="s">
        <v>250</v>
      </c>
      <c r="D414" t="s">
        <v>20</v>
      </c>
    </row>
    <row r="415" spans="2:4" hidden="1" x14ac:dyDescent="0.25">
      <c r="B415" s="37" t="s">
        <v>68</v>
      </c>
      <c r="C415" t="s">
        <v>251</v>
      </c>
      <c r="D415" t="s">
        <v>20</v>
      </c>
    </row>
    <row r="416" spans="2:4" hidden="1" x14ac:dyDescent="0.25">
      <c r="B416" s="37" t="s">
        <v>169</v>
      </c>
      <c r="C416" t="s">
        <v>252</v>
      </c>
      <c r="D416" t="s">
        <v>20</v>
      </c>
    </row>
    <row r="417" spans="2:4" hidden="1" x14ac:dyDescent="0.25">
      <c r="B417" s="37" t="s">
        <v>51</v>
      </c>
      <c r="C417" t="s">
        <v>200</v>
      </c>
      <c r="D417" t="s">
        <v>117</v>
      </c>
    </row>
    <row r="418" spans="2:4" hidden="1" x14ac:dyDescent="0.25">
      <c r="B418" s="37" t="s">
        <v>118</v>
      </c>
      <c r="C418" t="s">
        <v>201</v>
      </c>
      <c r="D418" t="s">
        <v>117</v>
      </c>
    </row>
    <row r="419" spans="2:4" hidden="1" x14ac:dyDescent="0.25">
      <c r="B419" s="37" t="s">
        <v>150</v>
      </c>
      <c r="C419" t="s">
        <v>202</v>
      </c>
      <c r="D419" t="s">
        <v>117</v>
      </c>
    </row>
    <row r="420" spans="2:4" hidden="1" x14ac:dyDescent="0.25">
      <c r="B420" s="37" t="s">
        <v>50</v>
      </c>
      <c r="C420" t="s">
        <v>203</v>
      </c>
      <c r="D420" t="s">
        <v>117</v>
      </c>
    </row>
    <row r="421" spans="2:4" hidden="1" x14ac:dyDescent="0.25">
      <c r="B421" s="37" t="s">
        <v>51</v>
      </c>
      <c r="C421" t="s">
        <v>200</v>
      </c>
      <c r="D421" t="s">
        <v>177</v>
      </c>
    </row>
    <row r="422" spans="2:4" hidden="1" x14ac:dyDescent="0.25">
      <c r="B422" s="37" t="s">
        <v>46</v>
      </c>
      <c r="C422" t="s">
        <v>204</v>
      </c>
      <c r="D422" t="s">
        <v>177</v>
      </c>
    </row>
    <row r="423" spans="2:4" hidden="1" x14ac:dyDescent="0.25">
      <c r="B423" s="37" t="s">
        <v>118</v>
      </c>
      <c r="C423" t="s">
        <v>201</v>
      </c>
      <c r="D423" t="s">
        <v>177</v>
      </c>
    </row>
    <row r="424" spans="2:4" hidden="1" x14ac:dyDescent="0.25">
      <c r="B424" s="37" t="s">
        <v>47</v>
      </c>
      <c r="C424" t="s">
        <v>205</v>
      </c>
      <c r="D424" t="s">
        <v>177</v>
      </c>
    </row>
    <row r="425" spans="2:4" hidden="1" x14ac:dyDescent="0.25">
      <c r="B425" s="37" t="s">
        <v>150</v>
      </c>
      <c r="C425" t="s">
        <v>202</v>
      </c>
      <c r="D425" t="s">
        <v>177</v>
      </c>
    </row>
    <row r="426" spans="2:4" hidden="1" x14ac:dyDescent="0.25">
      <c r="B426" s="37" t="s">
        <v>49</v>
      </c>
      <c r="C426" t="s">
        <v>206</v>
      </c>
      <c r="D426" t="s">
        <v>177</v>
      </c>
    </row>
    <row r="427" spans="2:4" hidden="1" x14ac:dyDescent="0.25">
      <c r="B427" s="37" t="s">
        <v>50</v>
      </c>
      <c r="C427" t="s">
        <v>203</v>
      </c>
      <c r="D427" t="s">
        <v>177</v>
      </c>
    </row>
    <row r="428" spans="2:4" hidden="1" x14ac:dyDescent="0.25">
      <c r="B428" s="37" t="s">
        <v>48</v>
      </c>
      <c r="C428" t="s">
        <v>207</v>
      </c>
      <c r="D428" t="s">
        <v>177</v>
      </c>
    </row>
    <row r="429" spans="2:4" hidden="1" x14ac:dyDescent="0.25">
      <c r="B429" s="37" t="s">
        <v>119</v>
      </c>
      <c r="C429" t="s">
        <v>208</v>
      </c>
      <c r="D429" t="s">
        <v>177</v>
      </c>
    </row>
    <row r="430" spans="2:4" hidden="1" x14ac:dyDescent="0.25">
      <c r="B430" s="37" t="s">
        <v>46</v>
      </c>
      <c r="C430" t="s">
        <v>204</v>
      </c>
      <c r="D430" s="38" t="s">
        <v>105</v>
      </c>
    </row>
    <row r="431" spans="2:4" hidden="1" x14ac:dyDescent="0.25">
      <c r="B431" s="37" t="s">
        <v>47</v>
      </c>
      <c r="C431" t="s">
        <v>205</v>
      </c>
      <c r="D431" s="38" t="s">
        <v>105</v>
      </c>
    </row>
    <row r="432" spans="2:4" hidden="1" x14ac:dyDescent="0.25">
      <c r="B432" s="37" t="s">
        <v>49</v>
      </c>
      <c r="C432" t="s">
        <v>206</v>
      </c>
      <c r="D432" s="38" t="s">
        <v>105</v>
      </c>
    </row>
    <row r="433" spans="2:4" hidden="1" x14ac:dyDescent="0.25">
      <c r="B433" s="37" t="s">
        <v>48</v>
      </c>
      <c r="C433" t="s">
        <v>207</v>
      </c>
      <c r="D433" s="38" t="s">
        <v>105</v>
      </c>
    </row>
    <row r="434" spans="2:4" hidden="1" x14ac:dyDescent="0.25">
      <c r="B434" s="37" t="s">
        <v>119</v>
      </c>
      <c r="C434" t="s">
        <v>208</v>
      </c>
      <c r="D434" s="38" t="s">
        <v>105</v>
      </c>
    </row>
    <row r="435" spans="2:4" hidden="1" x14ac:dyDescent="0.25">
      <c r="B435" s="37" t="s">
        <v>151</v>
      </c>
      <c r="C435" t="s">
        <v>209</v>
      </c>
      <c r="D435" t="s">
        <v>120</v>
      </c>
    </row>
    <row r="436" spans="2:4" hidden="1" x14ac:dyDescent="0.25">
      <c r="B436" s="37" t="s">
        <v>121</v>
      </c>
      <c r="C436" t="s">
        <v>210</v>
      </c>
      <c r="D436" t="s">
        <v>120</v>
      </c>
    </row>
    <row r="437" spans="2:4" hidden="1" x14ac:dyDescent="0.25">
      <c r="B437" s="37" t="s">
        <v>122</v>
      </c>
      <c r="C437" t="s">
        <v>211</v>
      </c>
      <c r="D437" t="s">
        <v>120</v>
      </c>
    </row>
    <row r="438" spans="2:4" hidden="1" x14ac:dyDescent="0.25">
      <c r="B438" s="37" t="s">
        <v>123</v>
      </c>
      <c r="C438" t="s">
        <v>212</v>
      </c>
      <c r="D438" t="s">
        <v>120</v>
      </c>
    </row>
    <row r="439" spans="2:4" hidden="1" x14ac:dyDescent="0.25">
      <c r="B439" s="37" t="s">
        <v>152</v>
      </c>
      <c r="C439" t="s">
        <v>213</v>
      </c>
      <c r="D439" t="s">
        <v>17</v>
      </c>
    </row>
    <row r="440" spans="2:4" hidden="1" x14ac:dyDescent="0.25">
      <c r="B440" s="37" t="s">
        <v>59</v>
      </c>
      <c r="C440" t="s">
        <v>221</v>
      </c>
      <c r="D440" t="s">
        <v>17</v>
      </c>
    </row>
    <row r="441" spans="2:4" hidden="1" x14ac:dyDescent="0.25">
      <c r="B441" s="37" t="s">
        <v>124</v>
      </c>
      <c r="C441" t="s">
        <v>214</v>
      </c>
      <c r="D441" t="s">
        <v>17</v>
      </c>
    </row>
    <row r="442" spans="2:4" hidden="1" x14ac:dyDescent="0.25">
      <c r="B442" s="37" t="s">
        <v>58</v>
      </c>
      <c r="C442" t="s">
        <v>222</v>
      </c>
      <c r="D442" t="s">
        <v>17</v>
      </c>
    </row>
    <row r="443" spans="2:4" hidden="1" x14ac:dyDescent="0.25">
      <c r="B443" s="37" t="s">
        <v>56</v>
      </c>
      <c r="C443" t="s">
        <v>215</v>
      </c>
      <c r="D443" t="s">
        <v>17</v>
      </c>
    </row>
    <row r="444" spans="2:4" hidden="1" x14ac:dyDescent="0.25">
      <c r="B444" s="37" t="s">
        <v>154</v>
      </c>
      <c r="C444" t="s">
        <v>223</v>
      </c>
      <c r="D444" t="s">
        <v>17</v>
      </c>
    </row>
    <row r="445" spans="2:4" hidden="1" x14ac:dyDescent="0.25">
      <c r="B445" s="37" t="s">
        <v>55</v>
      </c>
      <c r="C445" t="s">
        <v>216</v>
      </c>
      <c r="D445" t="s">
        <v>17</v>
      </c>
    </row>
    <row r="446" spans="2:4" hidden="1" x14ac:dyDescent="0.25">
      <c r="B446" s="37" t="s">
        <v>155</v>
      </c>
      <c r="C446" t="s">
        <v>224</v>
      </c>
      <c r="D446" t="s">
        <v>17</v>
      </c>
    </row>
    <row r="447" spans="2:4" hidden="1" x14ac:dyDescent="0.25">
      <c r="B447" s="37" t="s">
        <v>153</v>
      </c>
      <c r="C447" t="s">
        <v>217</v>
      </c>
      <c r="D447" t="s">
        <v>17</v>
      </c>
    </row>
    <row r="448" spans="2:4" hidden="1" x14ac:dyDescent="0.25">
      <c r="B448" s="37" t="s">
        <v>60</v>
      </c>
      <c r="C448" t="s">
        <v>225</v>
      </c>
      <c r="D448" t="s">
        <v>17</v>
      </c>
    </row>
    <row r="449" spans="2:4" hidden="1" x14ac:dyDescent="0.25">
      <c r="B449" s="37" t="s">
        <v>53</v>
      </c>
      <c r="C449" t="s">
        <v>218</v>
      </c>
      <c r="D449" t="s">
        <v>17</v>
      </c>
    </row>
    <row r="450" spans="2:4" hidden="1" x14ac:dyDescent="0.25">
      <c r="B450" s="37" t="s">
        <v>125</v>
      </c>
      <c r="C450" t="s">
        <v>219</v>
      </c>
      <c r="D450" t="s">
        <v>17</v>
      </c>
    </row>
    <row r="451" spans="2:4" hidden="1" x14ac:dyDescent="0.25">
      <c r="B451" s="37" t="s">
        <v>54</v>
      </c>
      <c r="C451" t="s">
        <v>220</v>
      </c>
      <c r="D451" t="s">
        <v>17</v>
      </c>
    </row>
    <row r="452" spans="2:4" hidden="1" x14ac:dyDescent="0.25">
      <c r="B452" s="37" t="s">
        <v>131</v>
      </c>
      <c r="C452" t="s">
        <v>234</v>
      </c>
      <c r="D452" t="s">
        <v>130</v>
      </c>
    </row>
    <row r="453" spans="2:4" hidden="1" x14ac:dyDescent="0.25">
      <c r="B453" s="37" t="s">
        <v>159</v>
      </c>
      <c r="C453" t="s">
        <v>235</v>
      </c>
      <c r="D453" t="s">
        <v>130</v>
      </c>
    </row>
    <row r="454" spans="2:4" hidden="1" x14ac:dyDescent="0.25">
      <c r="B454" s="37" t="s">
        <v>160</v>
      </c>
      <c r="C454" t="s">
        <v>236</v>
      </c>
      <c r="D454" t="s">
        <v>130</v>
      </c>
    </row>
    <row r="455" spans="2:4" hidden="1" x14ac:dyDescent="0.25">
      <c r="B455" s="37" t="s">
        <v>161</v>
      </c>
      <c r="C455" t="s">
        <v>237</v>
      </c>
      <c r="D455" t="s">
        <v>130</v>
      </c>
    </row>
    <row r="456" spans="2:4" hidden="1" x14ac:dyDescent="0.25">
      <c r="B456" s="37" t="s">
        <v>162</v>
      </c>
      <c r="C456" t="s">
        <v>238</v>
      </c>
      <c r="D456" t="s">
        <v>130</v>
      </c>
    </row>
    <row r="457" spans="2:4" hidden="1" x14ac:dyDescent="0.25">
      <c r="B457" s="39" t="s">
        <v>163</v>
      </c>
      <c r="C457" t="s">
        <v>239</v>
      </c>
      <c r="D457" t="s">
        <v>130</v>
      </c>
    </row>
    <row r="458" spans="2:4" hidden="1" x14ac:dyDescent="0.25">
      <c r="B458" s="39" t="s">
        <v>164</v>
      </c>
      <c r="C458" t="s">
        <v>240</v>
      </c>
      <c r="D458" t="s">
        <v>130</v>
      </c>
    </row>
    <row r="459" spans="2:4" hidden="1" x14ac:dyDescent="0.25">
      <c r="B459" s="37" t="s">
        <v>43</v>
      </c>
      <c r="C459" t="s">
        <v>241</v>
      </c>
      <c r="D459" t="s">
        <v>130</v>
      </c>
    </row>
    <row r="460" spans="2:4" hidden="1" x14ac:dyDescent="0.25">
      <c r="B460" s="39" t="s">
        <v>165</v>
      </c>
      <c r="C460" t="s">
        <v>242</v>
      </c>
      <c r="D460" t="s">
        <v>130</v>
      </c>
    </row>
    <row r="461" spans="2:4" hidden="1" x14ac:dyDescent="0.25">
      <c r="B461" s="39" t="s">
        <v>166</v>
      </c>
      <c r="C461" t="s">
        <v>243</v>
      </c>
      <c r="D461" t="s">
        <v>130</v>
      </c>
    </row>
    <row r="462" spans="2:4" hidden="1" x14ac:dyDescent="0.25">
      <c r="B462" s="37" t="s">
        <v>44</v>
      </c>
      <c r="C462" t="s">
        <v>244</v>
      </c>
      <c r="D462" t="s">
        <v>130</v>
      </c>
    </row>
    <row r="463" spans="2:4" hidden="1" x14ac:dyDescent="0.25">
      <c r="B463" s="39" t="s">
        <v>45</v>
      </c>
      <c r="C463" t="s">
        <v>245</v>
      </c>
      <c r="D463" t="s">
        <v>130</v>
      </c>
    </row>
    <row r="464" spans="2:4" hidden="1" x14ac:dyDescent="0.25">
      <c r="B464" s="37" t="s">
        <v>59</v>
      </c>
      <c r="C464" t="s">
        <v>221</v>
      </c>
      <c r="D464" t="s">
        <v>57</v>
      </c>
    </row>
    <row r="465" spans="2:4" hidden="1" x14ac:dyDescent="0.25">
      <c r="B465" s="37" t="s">
        <v>58</v>
      </c>
      <c r="C465" t="s">
        <v>222</v>
      </c>
      <c r="D465" t="s">
        <v>57</v>
      </c>
    </row>
    <row r="466" spans="2:4" hidden="1" x14ac:dyDescent="0.25">
      <c r="B466" s="37" t="s">
        <v>154</v>
      </c>
      <c r="C466" t="s">
        <v>223</v>
      </c>
      <c r="D466" t="s">
        <v>57</v>
      </c>
    </row>
    <row r="467" spans="2:4" hidden="1" x14ac:dyDescent="0.25">
      <c r="B467" s="37" t="s">
        <v>155</v>
      </c>
      <c r="C467" t="s">
        <v>224</v>
      </c>
      <c r="D467" t="s">
        <v>57</v>
      </c>
    </row>
    <row r="468" spans="2:4" hidden="1" x14ac:dyDescent="0.25">
      <c r="B468" s="37" t="s">
        <v>60</v>
      </c>
      <c r="C468" t="s">
        <v>225</v>
      </c>
      <c r="D468" t="s">
        <v>57</v>
      </c>
    </row>
  </sheetData>
  <dataConsolidate/>
  <mergeCells count="15">
    <mergeCell ref="H8:M8"/>
    <mergeCell ref="N8:S8"/>
    <mergeCell ref="T8:W8"/>
    <mergeCell ref="H16:M16"/>
    <mergeCell ref="H22:M22"/>
    <mergeCell ref="T16:W16"/>
    <mergeCell ref="T22:W22"/>
    <mergeCell ref="T30:W30"/>
    <mergeCell ref="T37:W37"/>
    <mergeCell ref="H30:M30"/>
    <mergeCell ref="H37:M37"/>
    <mergeCell ref="N16:S16"/>
    <mergeCell ref="N22:S22"/>
    <mergeCell ref="N30:S30"/>
    <mergeCell ref="N37:S37"/>
  </mergeCells>
  <dataValidations count="2">
    <dataValidation type="list" allowBlank="1" showInputMessage="1" showErrorMessage="1" sqref="S11:S15 M25:M29 M33:M36 M40:M46 S25:S29 S33:S36 S40:S46 S19:S21" xr:uid="{00000000-0002-0000-0200-000000000000}">
      <formula1>$C$54:$C$56</formula1>
    </dataValidation>
    <dataValidation type="list" allowBlank="1" showInputMessage="1" showErrorMessage="1" sqref="C40:C46 C11:C17 C19:C23 C25:C31 C33:C38" xr:uid="{00000000-0002-0000-0200-000001000000}">
      <formula1>INDIRECT(D11)</formula1>
    </dataValidation>
  </dataValidations>
  <hyperlinks>
    <hyperlink ref="B198" r:id="rId1" xr:uid="{00000000-0004-0000-0200-000000000000}"/>
    <hyperlink ref="B147" r:id="rId2" xr:uid="{00000000-0004-0000-0200-000001000000}"/>
    <hyperlink ref="B145" r:id="rId3" xr:uid="{00000000-0004-0000-0200-000002000000}"/>
    <hyperlink ref="B144" r:id="rId4" xr:uid="{00000000-0004-0000-0200-000003000000}"/>
    <hyperlink ref="B141" r:id="rId5" xr:uid="{00000000-0004-0000-0200-000004000000}"/>
    <hyperlink ref="B142" r:id="rId6" xr:uid="{00000000-0004-0000-0200-000005000000}"/>
    <hyperlink ref="B85" r:id="rId7" xr:uid="{00000000-0004-0000-0200-000006000000}"/>
    <hyperlink ref="B66" r:id="rId8" xr:uid="{00000000-0004-0000-0200-000007000000}"/>
    <hyperlink ref="B65" r:id="rId9" xr:uid="{00000000-0004-0000-0200-000008000000}"/>
    <hyperlink ref="B63" r:id="rId10" xr:uid="{00000000-0004-0000-0200-000009000000}"/>
    <hyperlink ref="B64" r:id="rId11" xr:uid="{00000000-0004-0000-0200-00000A000000}"/>
    <hyperlink ref="B67" r:id="rId12" xr:uid="{00000000-0004-0000-0200-00000B000000}"/>
    <hyperlink ref="B68" r:id="rId13" xr:uid="{00000000-0004-0000-0200-00000C000000}"/>
    <hyperlink ref="B62" r:id="rId14" xr:uid="{00000000-0004-0000-0200-00000D000000}"/>
    <hyperlink ref="B73" r:id="rId15" xr:uid="{00000000-0004-0000-0200-00000E000000}"/>
    <hyperlink ref="B71" r:id="rId16" xr:uid="{00000000-0004-0000-0200-00000F000000}"/>
    <hyperlink ref="B72" r:id="rId17" xr:uid="{00000000-0004-0000-0200-000010000000}"/>
    <hyperlink ref="B74" r:id="rId18" xr:uid="{00000000-0004-0000-0200-000011000000}"/>
    <hyperlink ref="B77" r:id="rId19" xr:uid="{00000000-0004-0000-0200-000012000000}"/>
    <hyperlink ref="B78" r:id="rId20" xr:uid="{00000000-0004-0000-0200-000013000000}"/>
    <hyperlink ref="B80" r:id="rId21" xr:uid="{00000000-0004-0000-0200-000014000000}"/>
    <hyperlink ref="B79" r:id="rId22" xr:uid="{00000000-0004-0000-0200-000015000000}"/>
    <hyperlink ref="B81" r:id="rId23" xr:uid="{00000000-0004-0000-0200-000016000000}"/>
    <hyperlink ref="B82" r:id="rId24" xr:uid="{00000000-0004-0000-0200-000017000000}"/>
    <hyperlink ref="B83" r:id="rId25" xr:uid="{00000000-0004-0000-0200-000018000000}"/>
    <hyperlink ref="B84" r:id="rId26" xr:uid="{00000000-0004-0000-0200-000019000000}"/>
    <hyperlink ref="B87" r:id="rId27" xr:uid="{00000000-0004-0000-0200-00001A000000}"/>
    <hyperlink ref="B86" r:id="rId28" xr:uid="{00000000-0004-0000-0200-00001B000000}"/>
    <hyperlink ref="B96" r:id="rId29" xr:uid="{00000000-0004-0000-0200-00001C000000}"/>
    <hyperlink ref="B99" r:id="rId30" xr:uid="{00000000-0004-0000-0200-00001D000000}"/>
    <hyperlink ref="B100" r:id="rId31" xr:uid="{00000000-0004-0000-0200-00001E000000}"/>
    <hyperlink ref="B98" r:id="rId32" xr:uid="{00000000-0004-0000-0200-00001F000000}"/>
    <hyperlink ref="B97" r:id="rId33" xr:uid="{00000000-0004-0000-0200-000020000000}"/>
    <hyperlink ref="B92" r:id="rId34" xr:uid="{00000000-0004-0000-0200-000021000000}"/>
    <hyperlink ref="B93" r:id="rId35" xr:uid="{00000000-0004-0000-0200-000022000000}"/>
    <hyperlink ref="B91" r:id="rId36" xr:uid="{00000000-0004-0000-0200-000023000000}"/>
    <hyperlink ref="B90" r:id="rId37" xr:uid="{00000000-0004-0000-0200-000024000000}"/>
    <hyperlink ref="B127" r:id="rId38" xr:uid="{00000000-0004-0000-0200-000025000000}"/>
    <hyperlink ref="B126" r:id="rId39" xr:uid="{00000000-0004-0000-0200-000026000000}"/>
    <hyperlink ref="B129" r:id="rId40" xr:uid="{00000000-0004-0000-0200-000027000000}"/>
    <hyperlink ref="B132" r:id="rId41" xr:uid="{00000000-0004-0000-0200-000028000000}"/>
    <hyperlink ref="B139" r:id="rId42" xr:uid="{00000000-0004-0000-0200-000029000000}"/>
    <hyperlink ref="B136" r:id="rId43" xr:uid="{00000000-0004-0000-0200-00002A000000}"/>
    <hyperlink ref="B137" r:id="rId44" xr:uid="{00000000-0004-0000-0200-00002B000000}"/>
    <hyperlink ref="B138" r:id="rId45" xr:uid="{00000000-0004-0000-0200-00002C000000}"/>
    <hyperlink ref="B146" r:id="rId46" xr:uid="{00000000-0004-0000-0200-00002D000000}"/>
    <hyperlink ref="B140" r:id="rId47" xr:uid="{00000000-0004-0000-0200-00002E000000}"/>
    <hyperlink ref="B143" r:id="rId48" xr:uid="{00000000-0004-0000-0200-00002F000000}"/>
    <hyperlink ref="B130" r:id="rId49" xr:uid="{00000000-0004-0000-0200-000030000000}"/>
    <hyperlink ref="B128" r:id="rId50" xr:uid="{00000000-0004-0000-0200-000031000000}"/>
    <hyperlink ref="B104" r:id="rId51" xr:uid="{00000000-0004-0000-0200-000032000000}"/>
    <hyperlink ref="B103" r:id="rId52" xr:uid="{00000000-0004-0000-0200-000033000000}"/>
    <hyperlink ref="B105" r:id="rId53" xr:uid="{00000000-0004-0000-0200-000034000000}"/>
    <hyperlink ref="B131" r:id="rId54" xr:uid="{00000000-0004-0000-0200-000035000000}"/>
    <hyperlink ref="B106" r:id="rId55" xr:uid="{00000000-0004-0000-0200-000036000000}"/>
    <hyperlink ref="B133" r:id="rId56" xr:uid="{00000000-0004-0000-0200-000037000000}"/>
    <hyperlink ref="B150" r:id="rId57" xr:uid="{00000000-0004-0000-0200-000038000000}"/>
    <hyperlink ref="B155" r:id="rId58" xr:uid="{00000000-0004-0000-0200-000039000000}"/>
    <hyperlink ref="B156" r:id="rId59" xr:uid="{00000000-0004-0000-0200-00003A000000}"/>
    <hyperlink ref="B152" r:id="rId60" xr:uid="{00000000-0004-0000-0200-00003B000000}"/>
    <hyperlink ref="B161" r:id="rId61" xr:uid="{00000000-0004-0000-0200-00003C000000}"/>
    <hyperlink ref="B151" r:id="rId62" xr:uid="{00000000-0004-0000-0200-00003D000000}"/>
    <hyperlink ref="B162" r:id="rId63" xr:uid="{00000000-0004-0000-0200-00003E000000}"/>
    <hyperlink ref="B169" r:id="rId64" xr:uid="{00000000-0004-0000-0200-00003F000000}"/>
    <hyperlink ref="B165" r:id="rId65" xr:uid="{00000000-0004-0000-0200-000040000000}"/>
    <hyperlink ref="B163" r:id="rId66" xr:uid="{00000000-0004-0000-0200-000041000000}"/>
    <hyperlink ref="B164" r:id="rId67" xr:uid="{00000000-0004-0000-0200-000042000000}"/>
    <hyperlink ref="B153" r:id="rId68" xr:uid="{00000000-0004-0000-0200-000043000000}"/>
    <hyperlink ref="B154" r:id="rId69" xr:uid="{00000000-0004-0000-0200-000044000000}"/>
    <hyperlink ref="B159" r:id="rId70" xr:uid="{00000000-0004-0000-0200-000045000000}"/>
    <hyperlink ref="B160" r:id="rId71" xr:uid="{00000000-0004-0000-0200-000046000000}"/>
    <hyperlink ref="B170" r:id="rId72" xr:uid="{00000000-0004-0000-0200-000047000000}"/>
    <hyperlink ref="B171" r:id="rId73" xr:uid="{00000000-0004-0000-0200-000048000000}"/>
    <hyperlink ref="B172" r:id="rId74" xr:uid="{00000000-0004-0000-0200-000049000000}"/>
    <hyperlink ref="B166" r:id="rId75" xr:uid="{00000000-0004-0000-0200-00004A000000}"/>
    <hyperlink ref="B176" r:id="rId76" xr:uid="{00000000-0004-0000-0200-00004B000000}"/>
    <hyperlink ref="B175" r:id="rId77" xr:uid="{00000000-0004-0000-0200-00004C000000}"/>
    <hyperlink ref="B177" r:id="rId78" xr:uid="{00000000-0004-0000-0200-00004D000000}"/>
    <hyperlink ref="B189" r:id="rId79" xr:uid="{00000000-0004-0000-0200-00004E000000}"/>
    <hyperlink ref="B192" r:id="rId80" xr:uid="{00000000-0004-0000-0200-00004F000000}"/>
    <hyperlink ref="B190" r:id="rId81" xr:uid="{00000000-0004-0000-0200-000050000000}"/>
    <hyperlink ref="B202" r:id="rId82" xr:uid="{00000000-0004-0000-0200-000051000000}"/>
    <hyperlink ref="B199" r:id="rId83" xr:uid="{00000000-0004-0000-0200-000052000000}"/>
    <hyperlink ref="B206" r:id="rId84" xr:uid="{00000000-0004-0000-0200-000053000000}"/>
    <hyperlink ref="B211" r:id="rId85" xr:uid="{00000000-0004-0000-0200-000054000000}"/>
    <hyperlink ref="B194" r:id="rId86" xr:uid="{00000000-0004-0000-0200-000055000000}"/>
    <hyperlink ref="B195" r:id="rId87" xr:uid="{00000000-0004-0000-0200-000056000000}"/>
    <hyperlink ref="B200" r:id="rId88" xr:uid="{00000000-0004-0000-0200-000057000000}"/>
    <hyperlink ref="B201" r:id="rId89" xr:uid="{00000000-0004-0000-0200-000058000000}"/>
    <hyperlink ref="B209" r:id="rId90" xr:uid="{00000000-0004-0000-0200-000059000000}"/>
    <hyperlink ref="B191" r:id="rId91" xr:uid="{00000000-0004-0000-0200-00005A000000}"/>
    <hyperlink ref="B181" r:id="rId92" xr:uid="{00000000-0004-0000-0200-00005B000000}"/>
    <hyperlink ref="B180" r:id="rId93" xr:uid="{00000000-0004-0000-0200-00005C000000}"/>
    <hyperlink ref="B184" r:id="rId94" xr:uid="{00000000-0004-0000-0200-00005D000000}"/>
    <hyperlink ref="B182" r:id="rId95" xr:uid="{00000000-0004-0000-0200-00005E000000}"/>
    <hyperlink ref="B183" r:id="rId96" xr:uid="{00000000-0004-0000-0200-00005F000000}"/>
    <hyperlink ref="B185" r:id="rId97" xr:uid="{00000000-0004-0000-0200-000060000000}"/>
    <hyperlink ref="B186" r:id="rId98" xr:uid="{00000000-0004-0000-0200-000061000000}"/>
    <hyperlink ref="B111" r:id="rId99" xr:uid="{00000000-0004-0000-0200-000062000000}"/>
    <hyperlink ref="B112" r:id="rId100" xr:uid="{00000000-0004-0000-0200-000063000000}"/>
    <hyperlink ref="B207" r:id="rId101" xr:uid="{00000000-0004-0000-0200-000064000000}"/>
    <hyperlink ref="B208" r:id="rId102" xr:uid="{00000000-0004-0000-0200-000065000000}"/>
    <hyperlink ref="B193" r:id="rId103" xr:uid="{00000000-0004-0000-0200-000066000000}"/>
    <hyperlink ref="B210" r:id="rId104" xr:uid="{00000000-0004-0000-0200-000067000000}"/>
    <hyperlink ref="B203" r:id="rId105" xr:uid="{00000000-0004-0000-0200-000068000000}"/>
    <hyperlink ref="B114" r:id="rId106" xr:uid="{00000000-0004-0000-0200-000069000000}"/>
    <hyperlink ref="B115" r:id="rId107" xr:uid="{00000000-0004-0000-0200-00006A000000}"/>
    <hyperlink ref="B116" r:id="rId108" xr:uid="{00000000-0004-0000-0200-00006B000000}"/>
    <hyperlink ref="B109" r:id="rId109" xr:uid="{00000000-0004-0000-0200-00006C000000}"/>
    <hyperlink ref="B113" r:id="rId110" xr:uid="{00000000-0004-0000-0200-00006D000000}"/>
    <hyperlink ref="B123" r:id="rId111" xr:uid="{00000000-0004-0000-0200-00006E000000}"/>
    <hyperlink ref="B119" r:id="rId112" xr:uid="{00000000-0004-0000-0200-00006F000000}"/>
    <hyperlink ref="B120" r:id="rId113" xr:uid="{00000000-0004-0000-0200-000070000000}"/>
    <hyperlink ref="B121" r:id="rId114" xr:uid="{00000000-0004-0000-0200-000071000000}"/>
    <hyperlink ref="B122" r:id="rId115" xr:uid="{00000000-0004-0000-0200-000072000000}"/>
    <hyperlink ref="B110" r:id="rId116" xr:uid="{00000000-0004-0000-0200-000073000000}"/>
    <hyperlink ref="B219" r:id="rId117" xr:uid="{00000000-0004-0000-0200-000074000000}"/>
    <hyperlink ref="B221" r:id="rId118" xr:uid="{00000000-0004-0000-0200-000075000000}"/>
    <hyperlink ref="B225" r:id="rId119" xr:uid="{00000000-0004-0000-0200-000076000000}"/>
    <hyperlink ref="B226" r:id="rId120" xr:uid="{00000000-0004-0000-0200-000077000000}"/>
    <hyperlink ref="B227" r:id="rId121" xr:uid="{00000000-0004-0000-0200-000078000000}"/>
    <hyperlink ref="B215" r:id="rId122" xr:uid="{00000000-0004-0000-0200-000079000000}"/>
    <hyperlink ref="B223" r:id="rId123" xr:uid="{00000000-0004-0000-0200-00007A000000}"/>
    <hyperlink ref="B224" r:id="rId124" xr:uid="{00000000-0004-0000-0200-00007B000000}"/>
    <hyperlink ref="B216" r:id="rId125" xr:uid="{00000000-0004-0000-0200-00007C000000}"/>
    <hyperlink ref="B218" r:id="rId126" xr:uid="{00000000-0004-0000-0200-00007D000000}"/>
    <hyperlink ref="B220" r:id="rId127" xr:uid="{00000000-0004-0000-0200-00007E000000}"/>
    <hyperlink ref="B222" r:id="rId128" xr:uid="{00000000-0004-0000-0200-00007F000000}"/>
    <hyperlink ref="B217" r:id="rId129" xr:uid="{00000000-0004-0000-0200-000080000000}"/>
    <hyperlink ref="B229" r:id="rId130" xr:uid="{00000000-0004-0000-0200-000081000000}"/>
    <hyperlink ref="B237" r:id="rId131" xr:uid="{00000000-0004-0000-0200-000082000000}"/>
    <hyperlink ref="B231" r:id="rId132" xr:uid="{00000000-0004-0000-0200-000083000000}"/>
    <hyperlink ref="B233" r:id="rId133" xr:uid="{00000000-0004-0000-0200-000084000000}"/>
    <hyperlink ref="B235" r:id="rId134" xr:uid="{00000000-0004-0000-0200-000085000000}"/>
    <hyperlink ref="B239" r:id="rId135" xr:uid="{00000000-0004-0000-0200-000086000000}"/>
    <hyperlink ref="B230" r:id="rId136" xr:uid="{00000000-0004-0000-0200-000087000000}"/>
    <hyperlink ref="B240" r:id="rId137" xr:uid="{00000000-0004-0000-0200-000088000000}"/>
    <hyperlink ref="B236" r:id="rId138" xr:uid="{00000000-0004-0000-0200-000089000000}"/>
    <hyperlink ref="B232" r:id="rId139" xr:uid="{00000000-0004-0000-0200-00008A000000}"/>
    <hyperlink ref="B234" r:id="rId140" xr:uid="{00000000-0004-0000-0200-00008B000000}"/>
    <hyperlink ref="B238" r:id="rId141" xr:uid="{00000000-0004-0000-0200-00008C000000}"/>
    <hyperlink ref="B251" r:id="rId142" xr:uid="{00000000-0004-0000-0200-00008D000000}"/>
    <hyperlink ref="B255" r:id="rId143" xr:uid="{00000000-0004-0000-0200-00008E000000}"/>
    <hyperlink ref="B259" r:id="rId144" xr:uid="{00000000-0004-0000-0200-00008F000000}"/>
    <hyperlink ref="B260" r:id="rId145" xr:uid="{00000000-0004-0000-0200-000090000000}"/>
    <hyperlink ref="B261" r:id="rId146" xr:uid="{00000000-0004-0000-0200-000091000000}"/>
    <hyperlink ref="B243" r:id="rId147" xr:uid="{00000000-0004-0000-0200-000092000000}"/>
    <hyperlink ref="B257" r:id="rId148" xr:uid="{00000000-0004-0000-0200-000093000000}"/>
    <hyperlink ref="B258" r:id="rId149" xr:uid="{00000000-0004-0000-0200-000094000000}"/>
    <hyperlink ref="B245" r:id="rId150" xr:uid="{00000000-0004-0000-0200-000095000000}"/>
    <hyperlink ref="B249" r:id="rId151" xr:uid="{00000000-0004-0000-0200-000096000000}"/>
    <hyperlink ref="B253" r:id="rId152" xr:uid="{00000000-0004-0000-0200-000097000000}"/>
    <hyperlink ref="B256" r:id="rId153" xr:uid="{00000000-0004-0000-0200-000098000000}"/>
    <hyperlink ref="B247" r:id="rId154" xr:uid="{00000000-0004-0000-0200-000099000000}"/>
    <hyperlink ref="B244" r:id="rId155" xr:uid="{00000000-0004-0000-0200-00009A000000}"/>
    <hyperlink ref="B242" r:id="rId156" xr:uid="{00000000-0004-0000-0200-00009B000000}"/>
    <hyperlink ref="B250" r:id="rId157" xr:uid="{00000000-0004-0000-0200-00009C000000}"/>
    <hyperlink ref="B246" r:id="rId158" xr:uid="{00000000-0004-0000-0200-00009D000000}"/>
    <hyperlink ref="B248" r:id="rId159" xr:uid="{00000000-0004-0000-0200-00009E000000}"/>
    <hyperlink ref="B252" r:id="rId160" xr:uid="{00000000-0004-0000-0200-00009F000000}"/>
    <hyperlink ref="B254" r:id="rId161" xr:uid="{00000000-0004-0000-0200-0000A0000000}"/>
    <hyperlink ref="B265" r:id="rId162" xr:uid="{00000000-0004-0000-0200-0000A1000000}"/>
    <hyperlink ref="B271" r:id="rId163" xr:uid="{00000000-0004-0000-0200-0000A2000000}"/>
    <hyperlink ref="B272" r:id="rId164" xr:uid="{00000000-0004-0000-0200-0000A3000000}"/>
    <hyperlink ref="B269" r:id="rId165" xr:uid="{00000000-0004-0000-0200-0000A4000000}"/>
    <hyperlink ref="B267" r:id="rId166" xr:uid="{00000000-0004-0000-0200-0000A5000000}"/>
    <hyperlink ref="B268" r:id="rId167" xr:uid="{00000000-0004-0000-0200-0000A6000000}"/>
    <hyperlink ref="B270" r:id="rId168" xr:uid="{00000000-0004-0000-0200-0000A7000000}"/>
    <hyperlink ref="B266" r:id="rId169" xr:uid="{00000000-0004-0000-0200-0000A8000000}"/>
    <hyperlink ref="B264" r:id="rId170" xr:uid="{00000000-0004-0000-0200-0000A9000000}"/>
    <hyperlink ref="C198" r:id="rId171" xr:uid="{00000000-0004-0000-0200-0000AA000000}"/>
    <hyperlink ref="C147" r:id="rId172" xr:uid="{00000000-0004-0000-0200-0000AB000000}"/>
    <hyperlink ref="C145" r:id="rId173" xr:uid="{00000000-0004-0000-0200-0000AC000000}"/>
    <hyperlink ref="C144" r:id="rId174" xr:uid="{00000000-0004-0000-0200-0000AD000000}"/>
    <hyperlink ref="C141" r:id="rId175" xr:uid="{00000000-0004-0000-0200-0000AE000000}"/>
    <hyperlink ref="C142" r:id="rId176" xr:uid="{00000000-0004-0000-0200-0000AF000000}"/>
    <hyperlink ref="C85" r:id="rId177" xr:uid="{00000000-0004-0000-0200-0000B0000000}"/>
    <hyperlink ref="C66" r:id="rId178" xr:uid="{00000000-0004-0000-0200-0000B1000000}"/>
    <hyperlink ref="C229" r:id="rId179" xr:uid="{00000000-0004-0000-0200-0000B2000000}"/>
  </hyperlinks>
  <pageMargins left="0.7" right="0.7" top="0.75" bottom="0.75" header="0.3" footer="0.3"/>
  <pageSetup scale="50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Mesocycle 1 Basic Hypertrophy</vt:lpstr>
      <vt:lpstr>Mesocycle 2 Basic Hypertrophy</vt:lpstr>
      <vt:lpstr>Mesocycle 3 Metabolite Focus</vt:lpstr>
      <vt:lpstr>Mesocycle 4 Resensitization</vt:lpstr>
      <vt:lpstr>'Mesocycle 1 Basic Hypertrophy'!Print_Area</vt:lpstr>
      <vt:lpstr>'Mesocycle 2 Basic Hypertrophy'!Print_Area</vt:lpstr>
      <vt:lpstr>'Mesocycle 3 Metabolite Focus'!Print_Area</vt:lpstr>
      <vt:lpstr>'Mesocycle 4 Resensitization'!Print_Area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2021-05-03T02:53:34Z</dcterms:modified>
</cp:coreProperties>
</file>