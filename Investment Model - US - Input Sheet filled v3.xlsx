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https://wyndenstark-my.sharepoint.com/personal/bryan_blair_gqr_com/Documents/"/>
    </mc:Choice>
  </mc:AlternateContent>
  <xr:revisionPtr revIDLastSave="0" documentId="8_{937FCE26-C4B9-4699-999A-CB435B9CE152}" xr6:coauthVersionLast="47" xr6:coauthVersionMax="47" xr10:uidLastSave="{00000000-0000-0000-0000-000000000000}"/>
  <bookViews>
    <workbookView xWindow="28680" yWindow="15" windowWidth="29040" windowHeight="15720" tabRatio="756" firstSheet="3" activeTab="3" xr2:uid="{00000000-000D-0000-FFFF-FFFF00000000}"/>
  </bookViews>
  <sheets>
    <sheet name="Potential model changes" sheetId="1" state="hidden" r:id="rId1"/>
    <sheet name="Sales forecast by person" sheetId="2" state="hidden" r:id="rId2"/>
    <sheet name="Assumptions - Sales" sheetId="3" state="hidden" r:id="rId3"/>
    <sheet name="Business Modelling Plan" sheetId="4" r:id="rId4"/>
    <sheet name="Input Sheet" sheetId="5" r:id="rId5"/>
    <sheet name="Analysis1" sheetId="6" r:id="rId6"/>
  </sheets>
  <externalReferences>
    <externalReference r:id="rId7"/>
  </externalReferences>
  <definedNames>
    <definedName name="_1st_Biller">'Input Sheet'!$A$26</definedName>
    <definedName name="_2nd_Biller">'Input Sheet'!#REF!</definedName>
    <definedName name="_3rd_Biller">'Input Sheet'!#REF!</definedName>
    <definedName name="_4th_biller">'Input Sheet'!#REF!</definedName>
    <definedName name="_5th_Biller">'Input Sheet'!#REF!</definedName>
    <definedName name="_6th_Biller">'Input Sheet'!#REF!</definedName>
    <definedName name="Capex_Per_New_Starter">'Input Sheet'!$S$9</definedName>
    <definedName name="Cash_collection" localSheetId="4">'Input Sheet'!#REF!</definedName>
    <definedName name="Cash_collection">'[1]Input Sheet'!#REF!</definedName>
    <definedName name="Credit_Control___cash_collection">'Input Sheet'!$P$9</definedName>
    <definedName name="Equipment" localSheetId="4">'Input Sheet'!#REF!</definedName>
    <definedName name="Equipment">'[1]Input Sheet'!#REF!</definedName>
    <definedName name="Future_Hires" localSheetId="4">'Input Sheet'!#REF!</definedName>
    <definedName name="Future_Hires">'[1]Input Sheet'!#REF!</definedName>
    <definedName name="_xlnm.Print_Area" localSheetId="4">'Input Sheet'!$A$1:$T$80</definedName>
    <definedName name="Salaries_StartDates_Commission_Licences">'Input Sheet'!$B$4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7" i="5" l="1"/>
  <c r="Q66" i="5"/>
  <c r="Q65" i="5"/>
  <c r="T61" i="5"/>
  <c r="S61" i="5"/>
  <c r="R61" i="5"/>
  <c r="P61" i="5"/>
  <c r="O61" i="5"/>
  <c r="N61" i="5"/>
  <c r="M61" i="5"/>
  <c r="L61" i="5"/>
  <c r="K61" i="5"/>
  <c r="J61" i="5"/>
  <c r="I61" i="5"/>
  <c r="H61" i="5"/>
  <c r="G61" i="5"/>
  <c r="F61" i="5"/>
  <c r="E61" i="5"/>
  <c r="D61" i="5"/>
  <c r="D59" i="5"/>
  <c r="D58" i="5"/>
  <c r="D57" i="5"/>
  <c r="D52" i="5"/>
  <c r="W52" i="5" s="1"/>
  <c r="U49" i="5"/>
  <c r="D49" i="5"/>
  <c r="D47" i="5"/>
  <c r="T42" i="5"/>
  <c r="S42" i="5"/>
  <c r="R42" i="5"/>
  <c r="P42" i="5"/>
  <c r="O42" i="5"/>
  <c r="N42" i="5"/>
  <c r="M42" i="5"/>
  <c r="L42" i="5"/>
  <c r="K42" i="5"/>
  <c r="J42" i="5"/>
  <c r="I42" i="5"/>
  <c r="H42" i="5"/>
  <c r="G42" i="5"/>
  <c r="F42" i="5"/>
  <c r="E42" i="5"/>
  <c r="D42" i="5"/>
  <c r="Q33" i="5"/>
  <c r="D33" i="5"/>
  <c r="W32" i="5"/>
  <c r="D32" i="5"/>
  <c r="D31" i="5"/>
  <c r="U30" i="5"/>
  <c r="D30" i="5"/>
  <c r="AL29" i="5"/>
  <c r="D29" i="5"/>
  <c r="AL28" i="5"/>
  <c r="U28" i="5"/>
  <c r="D28" i="5"/>
  <c r="D27" i="5"/>
  <c r="V26" i="5"/>
  <c r="U26" i="5"/>
  <c r="D26" i="5"/>
  <c r="AF23" i="5"/>
  <c r="AE23" i="5"/>
  <c r="AD23" i="5"/>
  <c r="AC23" i="5"/>
  <c r="AB23" i="5"/>
  <c r="AA23" i="5"/>
  <c r="Z23" i="5"/>
  <c r="N21" i="5"/>
  <c r="N20" i="5"/>
  <c r="N19" i="5"/>
  <c r="N18" i="5"/>
  <c r="N17" i="5"/>
  <c r="N16" i="5"/>
  <c r="N15" i="5"/>
  <c r="S14" i="5"/>
  <c r="R14" i="5"/>
  <c r="N14" i="5"/>
  <c r="N13" i="5"/>
  <c r="N12" i="5"/>
  <c r="N11" i="5"/>
  <c r="N10" i="5"/>
  <c r="N9" i="5"/>
  <c r="D8" i="5"/>
  <c r="N8" i="5" s="1"/>
  <c r="N7" i="5"/>
  <c r="D7" i="5"/>
  <c r="N6" i="5"/>
  <c r="D6" i="5"/>
  <c r="N5" i="5"/>
  <c r="O2" i="5"/>
  <c r="D56" i="5" s="1"/>
  <c r="U105" i="3"/>
  <c r="G33" i="3"/>
  <c r="AZ32" i="3"/>
  <c r="P32" i="3"/>
  <c r="BB31" i="3"/>
  <c r="BA31" i="3"/>
  <c r="AZ31" i="3"/>
  <c r="AO31" i="3"/>
  <c r="AE31" i="3"/>
  <c r="AB31" i="3"/>
  <c r="U31" i="3"/>
  <c r="S31" i="3"/>
  <c r="BH30" i="3"/>
  <c r="BD30" i="3"/>
  <c r="AT30" i="3"/>
  <c r="AS30" i="3"/>
  <c r="AR30" i="3"/>
  <c r="AG30" i="3"/>
  <c r="X30" i="3"/>
  <c r="T30" i="3"/>
  <c r="S30" i="3"/>
  <c r="H28" i="3"/>
  <c r="BC27" i="3"/>
  <c r="BB27" i="3"/>
  <c r="BA27" i="3"/>
  <c r="AP27" i="3"/>
  <c r="AG27" i="3"/>
  <c r="AC27" i="3"/>
  <c r="AB27" i="3"/>
  <c r="U27" i="3"/>
  <c r="P27" i="3"/>
  <c r="G25" i="3"/>
  <c r="BK24" i="3"/>
  <c r="BJ24" i="3"/>
  <c r="I24" i="3"/>
  <c r="J23" i="3"/>
  <c r="BI18" i="3"/>
  <c r="BG18" i="3"/>
  <c r="BF18" i="3"/>
  <c r="BE18" i="3"/>
  <c r="BD18" i="3"/>
  <c r="AW18" i="3"/>
  <c r="AU18" i="3"/>
  <c r="AT18" i="3"/>
  <c r="AS18" i="3"/>
  <c r="AR18" i="3"/>
  <c r="AK18" i="3"/>
  <c r="AI18" i="3"/>
  <c r="AH18" i="3"/>
  <c r="AG18" i="3"/>
  <c r="AF18" i="3"/>
  <c r="Y18" i="3"/>
  <c r="W18" i="3"/>
  <c r="V18" i="3"/>
  <c r="U18" i="3"/>
  <c r="T18" i="3"/>
  <c r="Q18" i="3"/>
  <c r="I18" i="3"/>
  <c r="I35" i="3" s="1"/>
  <c r="H18" i="3"/>
  <c r="H35" i="3" s="1"/>
  <c r="G18" i="3"/>
  <c r="G35" i="3" s="1"/>
  <c r="BJ17" i="3"/>
  <c r="BI17" i="3"/>
  <c r="BF17" i="3"/>
  <c r="BD17" i="3"/>
  <c r="BB17" i="3"/>
  <c r="BA17" i="3"/>
  <c r="AZ17" i="3"/>
  <c r="AX17" i="3"/>
  <c r="AW17" i="3"/>
  <c r="AV17" i="3"/>
  <c r="AU17" i="3"/>
  <c r="AR17" i="3"/>
  <c r="AO17" i="3"/>
  <c r="AN17" i="3"/>
  <c r="AL17" i="3"/>
  <c r="AK17" i="3"/>
  <c r="AJ17" i="3"/>
  <c r="AI17" i="3"/>
  <c r="AH17" i="3"/>
  <c r="AG17" i="3"/>
  <c r="AC17" i="3"/>
  <c r="Z17" i="3"/>
  <c r="Y17" i="3"/>
  <c r="X17" i="3"/>
  <c r="W17" i="3"/>
  <c r="V17" i="3"/>
  <c r="U17" i="3"/>
  <c r="T17" i="3"/>
  <c r="S17" i="3"/>
  <c r="P17" i="3"/>
  <c r="I17" i="3"/>
  <c r="H17" i="3"/>
  <c r="H34" i="3" s="1"/>
  <c r="G17" i="3"/>
  <c r="G34" i="3" s="1"/>
  <c r="BK16" i="3"/>
  <c r="AH16" i="3"/>
  <c r="I16" i="3"/>
  <c r="BC16" i="3" s="1"/>
  <c r="H16" i="3"/>
  <c r="H33" i="3" s="1"/>
  <c r="G16" i="3"/>
  <c r="BJ15" i="3"/>
  <c r="BI15" i="3"/>
  <c r="BF15" i="3"/>
  <c r="BC15" i="3"/>
  <c r="BB15" i="3"/>
  <c r="BA15" i="3"/>
  <c r="AX15" i="3"/>
  <c r="AW15" i="3"/>
  <c r="AT15" i="3"/>
  <c r="AQ15" i="3"/>
  <c r="AP15" i="3"/>
  <c r="AO15" i="3"/>
  <c r="AL15" i="3"/>
  <c r="AK15" i="3"/>
  <c r="AH15" i="3"/>
  <c r="AE15" i="3"/>
  <c r="AD15" i="3"/>
  <c r="AC15" i="3"/>
  <c r="Z15" i="3"/>
  <c r="Y15" i="3"/>
  <c r="V15" i="3"/>
  <c r="S15" i="3"/>
  <c r="R15" i="3"/>
  <c r="Q15" i="3"/>
  <c r="I15" i="3"/>
  <c r="I32" i="3" s="1"/>
  <c r="H15" i="3"/>
  <c r="H32" i="3" s="1"/>
  <c r="G15" i="3"/>
  <c r="G32" i="3" s="1"/>
  <c r="BJ14" i="3"/>
  <c r="BI14" i="3"/>
  <c r="BH14" i="3"/>
  <c r="BG14" i="3"/>
  <c r="BF14" i="3"/>
  <c r="BE14" i="3"/>
  <c r="BD14" i="3"/>
  <c r="BC14" i="3"/>
  <c r="BB14" i="3"/>
  <c r="BA14" i="3"/>
  <c r="AZ14" i="3"/>
  <c r="AX14" i="3"/>
  <c r="AW14" i="3"/>
  <c r="AV14" i="3"/>
  <c r="AU14" i="3"/>
  <c r="AT14" i="3"/>
  <c r="AS14" i="3"/>
  <c r="AR14" i="3"/>
  <c r="AQ14" i="3"/>
  <c r="AP14" i="3"/>
  <c r="AO14" i="3"/>
  <c r="AN14" i="3"/>
  <c r="AL14" i="3"/>
  <c r="AK14" i="3"/>
  <c r="AJ14" i="3"/>
  <c r="AI14" i="3"/>
  <c r="AH14" i="3"/>
  <c r="AG14" i="3"/>
  <c r="AF14" i="3"/>
  <c r="AE14" i="3"/>
  <c r="AD14" i="3"/>
  <c r="AC14" i="3"/>
  <c r="AB14" i="3"/>
  <c r="Z14" i="3"/>
  <c r="Y14" i="3"/>
  <c r="X14" i="3"/>
  <c r="W14" i="3"/>
  <c r="V14" i="3"/>
  <c r="U14" i="3"/>
  <c r="T14" i="3"/>
  <c r="S14" i="3"/>
  <c r="R14" i="3"/>
  <c r="Q14" i="3"/>
  <c r="P14" i="3"/>
  <c r="I14" i="3"/>
  <c r="I31" i="3" s="1"/>
  <c r="AG31" i="3" s="1"/>
  <c r="H14" i="3"/>
  <c r="H31" i="3" s="1"/>
  <c r="G14" i="3"/>
  <c r="G31" i="3" s="1"/>
  <c r="BJ13" i="3"/>
  <c r="BI13" i="3"/>
  <c r="BH13" i="3"/>
  <c r="BG13" i="3"/>
  <c r="BF13" i="3"/>
  <c r="BE13" i="3"/>
  <c r="BD13" i="3"/>
  <c r="BC13" i="3"/>
  <c r="AZ13" i="3"/>
  <c r="AX13" i="3"/>
  <c r="AW13" i="3"/>
  <c r="AV13" i="3"/>
  <c r="AU13" i="3"/>
  <c r="AT13" i="3"/>
  <c r="AS13" i="3"/>
  <c r="AR13" i="3"/>
  <c r="AQ13" i="3"/>
  <c r="AN13" i="3"/>
  <c r="AL13" i="3"/>
  <c r="AK13" i="3"/>
  <c r="AJ13" i="3"/>
  <c r="AI13" i="3"/>
  <c r="AH13" i="3"/>
  <c r="AG13" i="3"/>
  <c r="AF13" i="3"/>
  <c r="AE13" i="3"/>
  <c r="AB13" i="3"/>
  <c r="Z13" i="3"/>
  <c r="Y13" i="3"/>
  <c r="X13" i="3"/>
  <c r="W13" i="3"/>
  <c r="V13" i="3"/>
  <c r="U13" i="3"/>
  <c r="T13" i="3"/>
  <c r="S13" i="3"/>
  <c r="P13" i="3"/>
  <c r="I13" i="3"/>
  <c r="I30" i="3" s="1"/>
  <c r="AV30" i="3" s="1"/>
  <c r="H13" i="3"/>
  <c r="H30" i="3" s="1"/>
  <c r="G13" i="3"/>
  <c r="G30" i="3" s="1"/>
  <c r="AQ12" i="3"/>
  <c r="I12" i="3"/>
  <c r="H12" i="3"/>
  <c r="H29" i="3" s="1"/>
  <c r="G12" i="3"/>
  <c r="G29" i="3" s="1"/>
  <c r="BJ11" i="3"/>
  <c r="BI11" i="3"/>
  <c r="BF11" i="3"/>
  <c r="BC11" i="3"/>
  <c r="BB11" i="3"/>
  <c r="BA11" i="3"/>
  <c r="AX11" i="3"/>
  <c r="AW11" i="3"/>
  <c r="AT11" i="3"/>
  <c r="AQ11" i="3"/>
  <c r="AP11" i="3"/>
  <c r="AO11" i="3"/>
  <c r="AL11" i="3"/>
  <c r="AK11" i="3"/>
  <c r="AH11" i="3"/>
  <c r="AE11" i="3"/>
  <c r="AD11" i="3"/>
  <c r="AC11" i="3"/>
  <c r="Z11" i="3"/>
  <c r="Y11" i="3"/>
  <c r="V11" i="3"/>
  <c r="S11" i="3"/>
  <c r="R11" i="3"/>
  <c r="Q11" i="3"/>
  <c r="I11" i="3"/>
  <c r="BH11" i="3" s="1"/>
  <c r="H11" i="3"/>
  <c r="G11" i="3"/>
  <c r="G28" i="3" s="1"/>
  <c r="BJ10" i="3"/>
  <c r="BI10" i="3"/>
  <c r="BH10" i="3"/>
  <c r="BG10" i="3"/>
  <c r="BF10" i="3"/>
  <c r="BE10" i="3"/>
  <c r="BD10" i="3"/>
  <c r="BC10" i="3"/>
  <c r="BB10" i="3"/>
  <c r="BA10" i="3"/>
  <c r="AZ10" i="3"/>
  <c r="AX10" i="3"/>
  <c r="AW10" i="3"/>
  <c r="AV10" i="3"/>
  <c r="AU10" i="3"/>
  <c r="AT10" i="3"/>
  <c r="AS10" i="3"/>
  <c r="AR10" i="3"/>
  <c r="AQ10" i="3"/>
  <c r="AP10" i="3"/>
  <c r="AO10" i="3"/>
  <c r="AN10" i="3"/>
  <c r="AL10" i="3"/>
  <c r="AK10" i="3"/>
  <c r="AJ10" i="3"/>
  <c r="AI10" i="3"/>
  <c r="AH10" i="3"/>
  <c r="AG10" i="3"/>
  <c r="AF10" i="3"/>
  <c r="AE10" i="3"/>
  <c r="AD10" i="3"/>
  <c r="AC10" i="3"/>
  <c r="AB10" i="3"/>
  <c r="Z10" i="3"/>
  <c r="Y10" i="3"/>
  <c r="X10" i="3"/>
  <c r="W10" i="3"/>
  <c r="V10" i="3"/>
  <c r="U10" i="3"/>
  <c r="T10" i="3"/>
  <c r="S10" i="3"/>
  <c r="R10" i="3"/>
  <c r="Q10" i="3"/>
  <c r="P10" i="3"/>
  <c r="I10" i="3"/>
  <c r="I27" i="3" s="1"/>
  <c r="AN27" i="3" s="1"/>
  <c r="H10" i="3"/>
  <c r="H27" i="3" s="1"/>
  <c r="G10" i="3"/>
  <c r="G27" i="3" s="1"/>
  <c r="E10" i="3"/>
  <c r="D10" i="3"/>
  <c r="C10" i="3"/>
  <c r="B10" i="3"/>
  <c r="I105" i="3" s="1"/>
  <c r="BG9" i="3"/>
  <c r="BD9" i="3"/>
  <c r="BA9" i="3"/>
  <c r="AM9" i="3"/>
  <c r="AI9" i="3"/>
  <c r="AC9" i="3"/>
  <c r="AB9" i="3"/>
  <c r="AA9" i="3"/>
  <c r="I9" i="3"/>
  <c r="AN9" i="3" s="1"/>
  <c r="H9" i="3"/>
  <c r="H26" i="3" s="1"/>
  <c r="G9" i="3"/>
  <c r="G26" i="3" s="1"/>
  <c r="E9" i="3"/>
  <c r="D9" i="3"/>
  <c r="C9" i="3"/>
  <c r="B9" i="3"/>
  <c r="BK8" i="3"/>
  <c r="AI8" i="3"/>
  <c r="I8" i="3"/>
  <c r="BB8" i="3" s="1"/>
  <c r="H8" i="3"/>
  <c r="H25" i="3" s="1"/>
  <c r="G8" i="3"/>
  <c r="E8" i="3"/>
  <c r="H108" i="3" s="1"/>
  <c r="D8" i="3"/>
  <c r="F107" i="3" s="1"/>
  <c r="C8" i="3"/>
  <c r="B8" i="3"/>
  <c r="BJ7" i="3"/>
  <c r="BI7" i="3"/>
  <c r="BF7" i="3"/>
  <c r="BE7" i="3"/>
  <c r="BC7" i="3"/>
  <c r="BB7" i="3"/>
  <c r="BA7" i="3"/>
  <c r="AX7" i="3"/>
  <c r="AW7" i="3"/>
  <c r="AT7" i="3"/>
  <c r="AS7" i="3"/>
  <c r="AQ7" i="3"/>
  <c r="AP7" i="3"/>
  <c r="AO7" i="3"/>
  <c r="AL7" i="3"/>
  <c r="AK7" i="3"/>
  <c r="AH7" i="3"/>
  <c r="AG7" i="3"/>
  <c r="AE7" i="3"/>
  <c r="AD7" i="3"/>
  <c r="AC7" i="3"/>
  <c r="Z7" i="3"/>
  <c r="Y7" i="3"/>
  <c r="V7" i="3"/>
  <c r="U7" i="3"/>
  <c r="S7" i="3"/>
  <c r="R7" i="3"/>
  <c r="Q7" i="3"/>
  <c r="I7" i="3"/>
  <c r="BH7" i="3" s="1"/>
  <c r="H7" i="3"/>
  <c r="H24" i="3" s="1"/>
  <c r="G7" i="3"/>
  <c r="G24" i="3" s="1"/>
  <c r="E7" i="3"/>
  <c r="D7" i="3"/>
  <c r="C7" i="3"/>
  <c r="B7" i="3"/>
  <c r="AW6" i="3"/>
  <c r="AW19" i="3" s="1"/>
  <c r="AL6" i="3"/>
  <c r="AL19" i="3" s="1"/>
  <c r="T6" i="3"/>
  <c r="T19" i="3" s="1"/>
  <c r="J6" i="3"/>
  <c r="I6" i="3"/>
  <c r="AR6" i="3" s="1"/>
  <c r="AR19" i="3" s="1"/>
  <c r="H6" i="3"/>
  <c r="H23" i="3" s="1"/>
  <c r="G6" i="3"/>
  <c r="G23" i="3" s="1"/>
  <c r="E6" i="3"/>
  <c r="D6" i="3"/>
  <c r="C6" i="3"/>
  <c r="B6" i="3"/>
  <c r="H46" i="2"/>
  <c r="G46" i="2"/>
  <c r="F46" i="2"/>
  <c r="I46" i="2" s="1"/>
  <c r="I47" i="2" s="1"/>
  <c r="I44" i="2"/>
  <c r="C42" i="2"/>
  <c r="C41" i="2"/>
  <c r="C40" i="2"/>
  <c r="C39" i="2"/>
  <c r="C38" i="2"/>
  <c r="C33" i="2"/>
  <c r="G32" i="2"/>
  <c r="G31" i="2"/>
  <c r="D31" i="2"/>
  <c r="C31" i="2"/>
  <c r="C32" i="2" s="1"/>
  <c r="C34" i="2" s="1"/>
  <c r="G30" i="2"/>
  <c r="C30" i="2"/>
  <c r="C36" i="2" s="1"/>
  <c r="D36" i="2" s="1"/>
  <c r="P27" i="2"/>
  <c r="P28" i="2" s="1"/>
  <c r="H27" i="2"/>
  <c r="E27" i="2"/>
  <c r="D27" i="2"/>
  <c r="T26" i="2"/>
  <c r="S26" i="2"/>
  <c r="Q26" i="2"/>
  <c r="P26" i="2"/>
  <c r="O26" i="2"/>
  <c r="N26" i="2"/>
  <c r="M26" i="2"/>
  <c r="L26" i="2"/>
  <c r="K26" i="2"/>
  <c r="J26" i="2"/>
  <c r="I26" i="2"/>
  <c r="H26" i="2"/>
  <c r="G26" i="2"/>
  <c r="F26" i="2"/>
  <c r="E26" i="2"/>
  <c r="D26" i="2"/>
  <c r="C26" i="2"/>
  <c r="Y24" i="2"/>
  <c r="Y27" i="2" s="1"/>
  <c r="Y28" i="2" s="1"/>
  <c r="G24" i="2"/>
  <c r="G27" i="2" s="1"/>
  <c r="F24" i="2"/>
  <c r="F27" i="2" s="1"/>
  <c r="E24" i="2"/>
  <c r="Z23" i="2"/>
  <c r="Y23" i="2"/>
  <c r="X23" i="2"/>
  <c r="W23" i="2"/>
  <c r="V23" i="2"/>
  <c r="U23" i="2"/>
  <c r="T23" i="2"/>
  <c r="S23" i="2"/>
  <c r="R23" i="2"/>
  <c r="Q23" i="2"/>
  <c r="P23" i="2"/>
  <c r="O23" i="2"/>
  <c r="N23" i="2"/>
  <c r="M23" i="2"/>
  <c r="L23" i="2"/>
  <c r="K23" i="2"/>
  <c r="J23" i="2"/>
  <c r="I23" i="2"/>
  <c r="H23" i="2"/>
  <c r="H24" i="2" s="1"/>
  <c r="G23" i="2"/>
  <c r="F23" i="2"/>
  <c r="E23" i="2"/>
  <c r="D23" i="2"/>
  <c r="C23" i="2"/>
  <c r="AA23" i="2" s="1"/>
  <c r="Y13" i="2"/>
  <c r="W13" i="2"/>
  <c r="V13" i="2"/>
  <c r="V24" i="2" s="1"/>
  <c r="V27" i="2" s="1"/>
  <c r="V28" i="2" s="1"/>
  <c r="P13" i="2"/>
  <c r="P24" i="2" s="1"/>
  <c r="N13" i="2"/>
  <c r="N24" i="2" s="1"/>
  <c r="N27" i="2" s="1"/>
  <c r="M13" i="2"/>
  <c r="M24" i="2" s="1"/>
  <c r="M27" i="2" s="1"/>
  <c r="L13" i="2"/>
  <c r="K13" i="2"/>
  <c r="J13" i="2"/>
  <c r="J24" i="2" s="1"/>
  <c r="J27" i="2" s="1"/>
  <c r="I13" i="2"/>
  <c r="I24" i="2" s="1"/>
  <c r="I27" i="2" s="1"/>
  <c r="H13" i="2"/>
  <c r="G13" i="2"/>
  <c r="F13" i="2"/>
  <c r="E13" i="2"/>
  <c r="D13" i="2"/>
  <c r="D24" i="2" s="1"/>
  <c r="C13" i="2"/>
  <c r="Z6" i="2"/>
  <c r="Z26" i="2" s="1"/>
  <c r="Y6" i="2"/>
  <c r="Y26" i="2" s="1"/>
  <c r="X6" i="2"/>
  <c r="X13" i="2" s="1"/>
  <c r="W6" i="2"/>
  <c r="W26" i="2" s="1"/>
  <c r="V6" i="2"/>
  <c r="V26" i="2" s="1"/>
  <c r="U6" i="2"/>
  <c r="U26" i="2" s="1"/>
  <c r="T6" i="2"/>
  <c r="T13" i="2" s="1"/>
  <c r="T24" i="2" s="1"/>
  <c r="T27" i="2" s="1"/>
  <c r="S6" i="2"/>
  <c r="S13" i="2" s="1"/>
  <c r="S24" i="2" s="1"/>
  <c r="S27" i="2" s="1"/>
  <c r="R6" i="2"/>
  <c r="R26" i="2" s="1"/>
  <c r="Q6" i="2"/>
  <c r="Q13" i="2" s="1"/>
  <c r="Q24" i="2" s="1"/>
  <c r="Q27" i="2" s="1"/>
  <c r="O6" i="2"/>
  <c r="O13" i="2" s="1"/>
  <c r="Z3" i="2"/>
  <c r="Y3" i="2"/>
  <c r="X3" i="2"/>
  <c r="W3" i="2"/>
  <c r="V3" i="2"/>
  <c r="U3" i="2"/>
  <c r="T3" i="2"/>
  <c r="S3" i="2"/>
  <c r="R3" i="2"/>
  <c r="Q3" i="2"/>
  <c r="P3" i="2"/>
  <c r="O3" i="2"/>
  <c r="N3" i="2"/>
  <c r="M3" i="2"/>
  <c r="L3" i="2"/>
  <c r="K3" i="2"/>
  <c r="J3" i="2"/>
  <c r="I3" i="2"/>
  <c r="H3" i="2"/>
  <c r="G3" i="2"/>
  <c r="F3" i="2"/>
  <c r="E3" i="2"/>
  <c r="D3" i="2"/>
  <c r="C3" i="2"/>
  <c r="BE12" i="3" l="1"/>
  <c r="AS12" i="3"/>
  <c r="AG12" i="3"/>
  <c r="U12" i="3"/>
  <c r="BD12" i="3"/>
  <c r="AR12" i="3"/>
  <c r="AF12" i="3"/>
  <c r="T12" i="3"/>
  <c r="I29" i="3"/>
  <c r="BB12" i="3"/>
  <c r="AP12" i="3"/>
  <c r="AD12" i="3"/>
  <c r="R12" i="3"/>
  <c r="BA12" i="3"/>
  <c r="AO12" i="3"/>
  <c r="AC12" i="3"/>
  <c r="Q12" i="3"/>
  <c r="BI12" i="3"/>
  <c r="AW12" i="3"/>
  <c r="AK12" i="3"/>
  <c r="Y12" i="3"/>
  <c r="BH12" i="3"/>
  <c r="AV12" i="3"/>
  <c r="AJ12" i="3"/>
  <c r="X12" i="3"/>
  <c r="BG12" i="3"/>
  <c r="AU12" i="3"/>
  <c r="AI12" i="3"/>
  <c r="W12" i="3"/>
  <c r="W24" i="2"/>
  <c r="W27" i="2" s="1"/>
  <c r="W28" i="2" s="1"/>
  <c r="I106" i="3"/>
  <c r="H106" i="3"/>
  <c r="G106" i="3"/>
  <c r="F106" i="3"/>
  <c r="Q106" i="3"/>
  <c r="P106" i="3"/>
  <c r="BK35" i="3"/>
  <c r="AY35" i="3"/>
  <c r="AM35" i="3"/>
  <c r="AA35" i="3"/>
  <c r="BJ35" i="3"/>
  <c r="AX35" i="3"/>
  <c r="AL35" i="3"/>
  <c r="Z35" i="3"/>
  <c r="BI35" i="3"/>
  <c r="AW35" i="3"/>
  <c r="AK35" i="3"/>
  <c r="Y35" i="3"/>
  <c r="BH35" i="3"/>
  <c r="AV35" i="3"/>
  <c r="AJ35" i="3"/>
  <c r="X35" i="3"/>
  <c r="BG35" i="3"/>
  <c r="AU35" i="3"/>
  <c r="AI35" i="3"/>
  <c r="W35" i="3"/>
  <c r="BF35" i="3"/>
  <c r="AT35" i="3"/>
  <c r="AH35" i="3"/>
  <c r="V35" i="3"/>
  <c r="BD35" i="3"/>
  <c r="AR35" i="3"/>
  <c r="AF35" i="3"/>
  <c r="T35" i="3"/>
  <c r="BA35" i="3"/>
  <c r="AO35" i="3"/>
  <c r="AC35" i="3"/>
  <c r="Q35" i="3"/>
  <c r="AP35" i="3"/>
  <c r="AN35" i="3"/>
  <c r="AG35" i="3"/>
  <c r="AE35" i="3"/>
  <c r="AD35" i="3"/>
  <c r="BB35" i="3"/>
  <c r="R35" i="3"/>
  <c r="AZ35" i="3"/>
  <c r="P35" i="3"/>
  <c r="AS35" i="3"/>
  <c r="AJ8" i="3"/>
  <c r="BH32" i="3"/>
  <c r="AV32" i="3"/>
  <c r="AJ32" i="3"/>
  <c r="X32" i="3"/>
  <c r="BG32" i="3"/>
  <c r="AU32" i="3"/>
  <c r="AI32" i="3"/>
  <c r="W32" i="3"/>
  <c r="BF32" i="3"/>
  <c r="AT32" i="3"/>
  <c r="AH32" i="3"/>
  <c r="V32" i="3"/>
  <c r="BE32" i="3"/>
  <c r="AS32" i="3"/>
  <c r="AG32" i="3"/>
  <c r="U32" i="3"/>
  <c r="BD32" i="3"/>
  <c r="AR32" i="3"/>
  <c r="AF32" i="3"/>
  <c r="T32" i="3"/>
  <c r="BC32" i="3"/>
  <c r="AQ32" i="3"/>
  <c r="AE32" i="3"/>
  <c r="S32" i="3"/>
  <c r="BA32" i="3"/>
  <c r="AO32" i="3"/>
  <c r="AC32" i="3"/>
  <c r="Q32" i="3"/>
  <c r="BJ32" i="3"/>
  <c r="AX32" i="3"/>
  <c r="AL32" i="3"/>
  <c r="Z32" i="3"/>
  <c r="AY32" i="3"/>
  <c r="AW32" i="3"/>
  <c r="AP32" i="3"/>
  <c r="AN32" i="3"/>
  <c r="AM32" i="3"/>
  <c r="BK32" i="3"/>
  <c r="AA32" i="3"/>
  <c r="BI32" i="3"/>
  <c r="Y32" i="3"/>
  <c r="BB32" i="3"/>
  <c r="R32" i="3"/>
  <c r="AB32" i="3"/>
  <c r="Q108" i="3"/>
  <c r="AM8" i="3"/>
  <c r="S12" i="3"/>
  <c r="AX12" i="3"/>
  <c r="AM16" i="3"/>
  <c r="AD32" i="3"/>
  <c r="I23" i="3"/>
  <c r="BC6" i="3"/>
  <c r="BC19" i="3" s="1"/>
  <c r="AQ6" i="3"/>
  <c r="AQ19" i="3" s="1"/>
  <c r="AE6" i="3"/>
  <c r="AE19" i="3" s="1"/>
  <c r="S6" i="3"/>
  <c r="S19" i="3" s="1"/>
  <c r="BB6" i="3"/>
  <c r="BB19" i="3" s="1"/>
  <c r="AP6" i="3"/>
  <c r="AP19" i="3" s="1"/>
  <c r="AD6" i="3"/>
  <c r="AD19" i="3" s="1"/>
  <c r="R6" i="3"/>
  <c r="R19" i="3" s="1"/>
  <c r="AZ6" i="3"/>
  <c r="AZ19" i="3" s="1"/>
  <c r="AN6" i="3"/>
  <c r="AN19" i="3" s="1"/>
  <c r="AB6" i="3"/>
  <c r="AB19" i="3" s="1"/>
  <c r="P6" i="3"/>
  <c r="P19" i="3" s="1"/>
  <c r="BK6" i="3"/>
  <c r="BK19" i="3" s="1"/>
  <c r="AY6" i="3"/>
  <c r="AY19" i="3" s="1"/>
  <c r="AM6" i="3"/>
  <c r="AM19" i="3" s="1"/>
  <c r="AA6" i="3"/>
  <c r="AA19" i="3" s="1"/>
  <c r="BG6" i="3"/>
  <c r="BG19" i="3" s="1"/>
  <c r="AU6" i="3"/>
  <c r="AU19" i="3" s="1"/>
  <c r="AI6" i="3"/>
  <c r="AI19" i="3" s="1"/>
  <c r="W6" i="3"/>
  <c r="W19" i="3" s="1"/>
  <c r="BF6" i="3"/>
  <c r="BF19" i="3" s="1"/>
  <c r="AT6" i="3"/>
  <c r="AT19" i="3" s="1"/>
  <c r="AH6" i="3"/>
  <c r="AH19" i="3" s="1"/>
  <c r="V6" i="3"/>
  <c r="V19" i="3" s="1"/>
  <c r="BE6" i="3"/>
  <c r="BE19" i="3" s="1"/>
  <c r="AS6" i="3"/>
  <c r="AS19" i="3" s="1"/>
  <c r="AG6" i="3"/>
  <c r="AG19" i="3" s="1"/>
  <c r="U6" i="3"/>
  <c r="U19" i="3" s="1"/>
  <c r="AO6" i="3"/>
  <c r="AO19" i="3" s="1"/>
  <c r="P12" i="3"/>
  <c r="AT12" i="3"/>
  <c r="AL16" i="3"/>
  <c r="Z13" i="2"/>
  <c r="Z24" i="2" s="1"/>
  <c r="Z27" i="2" s="1"/>
  <c r="Z28" i="2" s="1"/>
  <c r="Q6" i="3"/>
  <c r="Q19" i="3" s="1"/>
  <c r="AV6" i="3"/>
  <c r="AV19" i="3" s="1"/>
  <c r="AP8" i="3"/>
  <c r="AF9" i="3"/>
  <c r="BK9" i="3"/>
  <c r="V12" i="3"/>
  <c r="AY12" i="3"/>
  <c r="AN16" i="3"/>
  <c r="AK32" i="3"/>
  <c r="AB23" i="2"/>
  <c r="Z12" i="3"/>
  <c r="X6" i="3"/>
  <c r="X19" i="3" s="1"/>
  <c r="AA12" i="3"/>
  <c r="P16" i="3"/>
  <c r="AT16" i="3"/>
  <c r="BH24" i="3"/>
  <c r="AV24" i="3"/>
  <c r="AJ24" i="3"/>
  <c r="X24" i="3"/>
  <c r="BG24" i="3"/>
  <c r="AU24" i="3"/>
  <c r="AI24" i="3"/>
  <c r="W24" i="3"/>
  <c r="BF24" i="3"/>
  <c r="AT24" i="3"/>
  <c r="AH24" i="3"/>
  <c r="V24" i="3"/>
  <c r="BE24" i="3"/>
  <c r="AS24" i="3"/>
  <c r="AG24" i="3"/>
  <c r="U24" i="3"/>
  <c r="BD24" i="3"/>
  <c r="AR24" i="3"/>
  <c r="AF24" i="3"/>
  <c r="T24" i="3"/>
  <c r="BC24" i="3"/>
  <c r="AQ24" i="3"/>
  <c r="AE24" i="3"/>
  <c r="S24" i="3"/>
  <c r="BA24" i="3"/>
  <c r="AO24" i="3"/>
  <c r="AC24" i="3"/>
  <c r="Q24" i="3"/>
  <c r="AX24" i="3"/>
  <c r="R24" i="3"/>
  <c r="AW24" i="3"/>
  <c r="P24" i="3"/>
  <c r="AN24" i="3"/>
  <c r="AM24" i="3"/>
  <c r="BI24" i="3"/>
  <c r="AB24" i="3"/>
  <c r="BB24" i="3"/>
  <c r="AA24" i="3"/>
  <c r="AZ24" i="3"/>
  <c r="Z24" i="3"/>
  <c r="S35" i="3"/>
  <c r="X24" i="2"/>
  <c r="L24" i="2"/>
  <c r="L27" i="2" s="1"/>
  <c r="Y6" i="3"/>
  <c r="Y19" i="3" s="1"/>
  <c r="BA6" i="3"/>
  <c r="BA19" i="3" s="1"/>
  <c r="V8" i="3"/>
  <c r="AV8" i="3"/>
  <c r="AB12" i="3"/>
  <c r="BF12" i="3"/>
  <c r="S16" i="3"/>
  <c r="AX16" i="3"/>
  <c r="Y24" i="3"/>
  <c r="I33" i="3"/>
  <c r="U35" i="3"/>
  <c r="AZ12" i="3"/>
  <c r="Z6" i="3"/>
  <c r="Z19" i="3" s="1"/>
  <c r="BD6" i="3"/>
  <c r="BD19" i="3" s="1"/>
  <c r="W8" i="3"/>
  <c r="AY8" i="3"/>
  <c r="I26" i="3"/>
  <c r="BF9" i="3"/>
  <c r="AT9" i="3"/>
  <c r="AH9" i="3"/>
  <c r="V9" i="3"/>
  <c r="BE9" i="3"/>
  <c r="AS9" i="3"/>
  <c r="AG9" i="3"/>
  <c r="U9" i="3"/>
  <c r="BC9" i="3"/>
  <c r="AQ9" i="3"/>
  <c r="AE9" i="3"/>
  <c r="S9" i="3"/>
  <c r="BB9" i="3"/>
  <c r="AP9" i="3"/>
  <c r="AD9" i="3"/>
  <c r="R9" i="3"/>
  <c r="BJ9" i="3"/>
  <c r="AX9" i="3"/>
  <c r="AL9" i="3"/>
  <c r="Z9" i="3"/>
  <c r="BI9" i="3"/>
  <c r="AW9" i="3"/>
  <c r="AK9" i="3"/>
  <c r="Y9" i="3"/>
  <c r="BH9" i="3"/>
  <c r="AV9" i="3"/>
  <c r="AJ9" i="3"/>
  <c r="X9" i="3"/>
  <c r="AO9" i="3"/>
  <c r="AE12" i="3"/>
  <c r="BJ12" i="3"/>
  <c r="V16" i="3"/>
  <c r="AY16" i="3"/>
  <c r="AD24" i="3"/>
  <c r="AB35" i="3"/>
  <c r="AX6" i="3"/>
  <c r="AX19" i="3" s="1"/>
  <c r="AU8" i="3"/>
  <c r="BC12" i="3"/>
  <c r="AC6" i="3"/>
  <c r="AC19" i="3" s="1"/>
  <c r="BH6" i="3"/>
  <c r="BH19" i="3" s="1"/>
  <c r="X8" i="3"/>
  <c r="P9" i="3"/>
  <c r="AR9" i="3"/>
  <c r="AH12" i="3"/>
  <c r="BK12" i="3"/>
  <c r="Z16" i="3"/>
  <c r="AZ16" i="3"/>
  <c r="AK24" i="3"/>
  <c r="AQ35" i="3"/>
  <c r="BA8" i="3"/>
  <c r="AO8" i="3"/>
  <c r="AC8" i="3"/>
  <c r="Q8" i="3"/>
  <c r="AZ8" i="3"/>
  <c r="AN8" i="3"/>
  <c r="AB8" i="3"/>
  <c r="P8" i="3"/>
  <c r="BJ8" i="3"/>
  <c r="AX8" i="3"/>
  <c r="AL8" i="3"/>
  <c r="Z8" i="3"/>
  <c r="I25" i="3"/>
  <c r="BI8" i="3"/>
  <c r="AW8" i="3"/>
  <c r="AK8" i="3"/>
  <c r="Y8" i="3"/>
  <c r="BE8" i="3"/>
  <c r="AS8" i="3"/>
  <c r="AG8" i="3"/>
  <c r="U8" i="3"/>
  <c r="BD8" i="3"/>
  <c r="AR8" i="3"/>
  <c r="AF8" i="3"/>
  <c r="T8" i="3"/>
  <c r="BC8" i="3"/>
  <c r="AQ8" i="3"/>
  <c r="AE8" i="3"/>
  <c r="S8" i="3"/>
  <c r="AQ16" i="3"/>
  <c r="K24" i="2"/>
  <c r="K27" i="2" s="1"/>
  <c r="AA13" i="2"/>
  <c r="AF6" i="3"/>
  <c r="AF19" i="3" s="1"/>
  <c r="BI6" i="3"/>
  <c r="BI19" i="3" s="1"/>
  <c r="AA8" i="3"/>
  <c r="BF8" i="3"/>
  <c r="Q9" i="3"/>
  <c r="AU9" i="3"/>
  <c r="AL12" i="3"/>
  <c r="AA16" i="3"/>
  <c r="AL24" i="3"/>
  <c r="BC35" i="3"/>
  <c r="AT8" i="3"/>
  <c r="BE16" i="3"/>
  <c r="AS16" i="3"/>
  <c r="AG16" i="3"/>
  <c r="U16" i="3"/>
  <c r="BD16" i="3"/>
  <c r="AR16" i="3"/>
  <c r="AF16" i="3"/>
  <c r="T16" i="3"/>
  <c r="BB16" i="3"/>
  <c r="AP16" i="3"/>
  <c r="AD16" i="3"/>
  <c r="R16" i="3"/>
  <c r="BA16" i="3"/>
  <c r="AO16" i="3"/>
  <c r="AC16" i="3"/>
  <c r="Q16" i="3"/>
  <c r="BI16" i="3"/>
  <c r="AW16" i="3"/>
  <c r="AK16" i="3"/>
  <c r="Y16" i="3"/>
  <c r="BH16" i="3"/>
  <c r="AV16" i="3"/>
  <c r="AJ16" i="3"/>
  <c r="X16" i="3"/>
  <c r="BG16" i="3"/>
  <c r="AU16" i="3"/>
  <c r="AI16" i="3"/>
  <c r="W16" i="3"/>
  <c r="O24" i="2"/>
  <c r="AJ6" i="3"/>
  <c r="AJ19" i="3" s="1"/>
  <c r="BJ6" i="3"/>
  <c r="BJ19" i="3" s="1"/>
  <c r="AD8" i="3"/>
  <c r="BG8" i="3"/>
  <c r="T9" i="3"/>
  <c r="AY9" i="3"/>
  <c r="AM12" i="3"/>
  <c r="AB16" i="3"/>
  <c r="BF16" i="3"/>
  <c r="AP24" i="3"/>
  <c r="BE35" i="3"/>
  <c r="W47" i="5"/>
  <c r="V47" i="5"/>
  <c r="U47" i="5"/>
  <c r="Q47" i="5"/>
  <c r="R8" i="3"/>
  <c r="U13" i="2"/>
  <c r="U24" i="2" s="1"/>
  <c r="U27" i="2" s="1"/>
  <c r="U28" i="2" s="1"/>
  <c r="AK6" i="3"/>
  <c r="AK19" i="3" s="1"/>
  <c r="Q105" i="3"/>
  <c r="AH8" i="3"/>
  <c r="BH8" i="3"/>
  <c r="W9" i="3"/>
  <c r="AZ9" i="3"/>
  <c r="AN12" i="3"/>
  <c r="AE16" i="3"/>
  <c r="BJ16" i="3"/>
  <c r="AY24" i="3"/>
  <c r="W49" i="5"/>
  <c r="V49" i="5"/>
  <c r="Q49" i="5"/>
  <c r="R13" i="2"/>
  <c r="R24" i="2" s="1"/>
  <c r="R27" i="2" s="1"/>
  <c r="R28" i="2" s="1"/>
  <c r="X26" i="2"/>
  <c r="Q27" i="3"/>
  <c r="AQ27" i="3"/>
  <c r="AH30" i="3"/>
  <c r="P31" i="3"/>
  <c r="AP31" i="3"/>
  <c r="C24" i="2"/>
  <c r="AA7" i="3"/>
  <c r="AM7" i="3"/>
  <c r="AY7" i="3"/>
  <c r="BK7" i="3"/>
  <c r="AA11" i="3"/>
  <c r="AM11" i="3"/>
  <c r="AY11" i="3"/>
  <c r="BK11" i="3"/>
  <c r="AA15" i="3"/>
  <c r="AM15" i="3"/>
  <c r="AY15" i="3"/>
  <c r="BK15" i="3"/>
  <c r="R27" i="3"/>
  <c r="AS27" i="3"/>
  <c r="AJ30" i="3"/>
  <c r="Q31" i="3"/>
  <c r="AQ31" i="3"/>
  <c r="J41" i="5"/>
  <c r="V32" i="5"/>
  <c r="Q30" i="5"/>
  <c r="Q28" i="5"/>
  <c r="I41" i="5"/>
  <c r="U32" i="5"/>
  <c r="T41" i="5"/>
  <c r="H41" i="5"/>
  <c r="Q32" i="5"/>
  <c r="W27" i="5"/>
  <c r="S41" i="5"/>
  <c r="G41" i="5"/>
  <c r="W29" i="5"/>
  <c r="V27" i="5"/>
  <c r="V41" i="5" s="1"/>
  <c r="R41" i="5"/>
  <c r="F41" i="5"/>
  <c r="W31" i="5"/>
  <c r="V29" i="5"/>
  <c r="U27" i="5"/>
  <c r="E41" i="5"/>
  <c r="V31" i="5"/>
  <c r="U29" i="5"/>
  <c r="U41" i="5" s="1"/>
  <c r="Q27" i="5"/>
  <c r="P41" i="5"/>
  <c r="W33" i="5"/>
  <c r="U31" i="5"/>
  <c r="Q29" i="5"/>
  <c r="O41" i="5"/>
  <c r="V33" i="5"/>
  <c r="Q31" i="5"/>
  <c r="W26" i="5"/>
  <c r="N41" i="5"/>
  <c r="U33" i="5"/>
  <c r="L41" i="5"/>
  <c r="V30" i="5"/>
  <c r="V28" i="5"/>
  <c r="Q26" i="5"/>
  <c r="W30" i="5"/>
  <c r="P7" i="3"/>
  <c r="AB7" i="3"/>
  <c r="AN7" i="3"/>
  <c r="AZ7" i="3"/>
  <c r="P11" i="3"/>
  <c r="AB11" i="3"/>
  <c r="AN11" i="3"/>
  <c r="AZ11" i="3"/>
  <c r="P15" i="3"/>
  <c r="AB15" i="3"/>
  <c r="AN15" i="3"/>
  <c r="AZ15" i="3"/>
  <c r="S27" i="3"/>
  <c r="AZ27" i="3"/>
  <c r="AQ30" i="3"/>
  <c r="R31" i="3"/>
  <c r="AS31" i="3"/>
  <c r="T7" i="3"/>
  <c r="AF7" i="3"/>
  <c r="AR7" i="3"/>
  <c r="BD7" i="3"/>
  <c r="T11" i="3"/>
  <c r="AF11" i="3"/>
  <c r="AR11" i="3"/>
  <c r="BD11" i="3"/>
  <c r="T15" i="3"/>
  <c r="AF15" i="3"/>
  <c r="AR15" i="3"/>
  <c r="BD15" i="3"/>
  <c r="AD27" i="3"/>
  <c r="BE27" i="3"/>
  <c r="U30" i="3"/>
  <c r="AC31" i="3"/>
  <c r="BC31" i="3"/>
  <c r="P108" i="3"/>
  <c r="P105" i="3"/>
  <c r="G105" i="3"/>
  <c r="U11" i="3"/>
  <c r="AG11" i="3"/>
  <c r="AS11" i="3"/>
  <c r="BE11" i="3"/>
  <c r="BB30" i="3"/>
  <c r="AP30" i="3"/>
  <c r="AD30" i="3"/>
  <c r="R30" i="3"/>
  <c r="BA30" i="3"/>
  <c r="AO30" i="3"/>
  <c r="AC30" i="3"/>
  <c r="Q30" i="3"/>
  <c r="AZ30" i="3"/>
  <c r="AN30" i="3"/>
  <c r="AB30" i="3"/>
  <c r="P30" i="3"/>
  <c r="BK30" i="3"/>
  <c r="AY30" i="3"/>
  <c r="AM30" i="3"/>
  <c r="AA30" i="3"/>
  <c r="BJ30" i="3"/>
  <c r="AX30" i="3"/>
  <c r="AL30" i="3"/>
  <c r="Z30" i="3"/>
  <c r="BI30" i="3"/>
  <c r="AW30" i="3"/>
  <c r="AK30" i="3"/>
  <c r="Y30" i="3"/>
  <c r="BG30" i="3"/>
  <c r="AU30" i="3"/>
  <c r="AI30" i="3"/>
  <c r="W30" i="3"/>
  <c r="AA13" i="3"/>
  <c r="AM13" i="3"/>
  <c r="AY13" i="3"/>
  <c r="BK13" i="3"/>
  <c r="U15" i="3"/>
  <c r="AG15" i="3"/>
  <c r="AS15" i="3"/>
  <c r="BE15" i="3"/>
  <c r="I34" i="3"/>
  <c r="BC17" i="3"/>
  <c r="AQ17" i="3"/>
  <c r="AE17" i="3"/>
  <c r="BK17" i="3"/>
  <c r="AY17" i="3"/>
  <c r="AM17" i="3"/>
  <c r="AA17" i="3"/>
  <c r="AB17" i="3"/>
  <c r="AP17" i="3"/>
  <c r="BE17" i="3"/>
  <c r="AE27" i="3"/>
  <c r="V30" i="3"/>
  <c r="BC30" i="3"/>
  <c r="AD31" i="3"/>
  <c r="BE31" i="3"/>
  <c r="W28" i="5"/>
  <c r="K41" i="5"/>
  <c r="M41" i="5"/>
  <c r="Q107" i="3"/>
  <c r="P107" i="3"/>
  <c r="I107" i="3"/>
  <c r="H107" i="3"/>
  <c r="G107" i="3"/>
  <c r="R107" i="3" s="1"/>
  <c r="W7" i="3"/>
  <c r="AI7" i="3"/>
  <c r="AU7" i="3"/>
  <c r="BG7" i="3"/>
  <c r="W11" i="3"/>
  <c r="AI11" i="3"/>
  <c r="AU11" i="3"/>
  <c r="BG11" i="3"/>
  <c r="Q13" i="3"/>
  <c r="AC13" i="3"/>
  <c r="AO13" i="3"/>
  <c r="BA13" i="3"/>
  <c r="W15" i="3"/>
  <c r="AI15" i="3"/>
  <c r="AU15" i="3"/>
  <c r="BG15" i="3"/>
  <c r="Q17" i="3"/>
  <c r="AD17" i="3"/>
  <c r="AS17" i="3"/>
  <c r="BG17" i="3"/>
  <c r="I28" i="3"/>
  <c r="AE30" i="3"/>
  <c r="BE30" i="3"/>
  <c r="F105" i="3"/>
  <c r="G108" i="3"/>
  <c r="F108" i="3"/>
  <c r="I108" i="3"/>
  <c r="X7" i="3"/>
  <c r="AJ7" i="3"/>
  <c r="AV7" i="3"/>
  <c r="BK27" i="3"/>
  <c r="AY27" i="3"/>
  <c r="AM27" i="3"/>
  <c r="AA27" i="3"/>
  <c r="BJ27" i="3"/>
  <c r="AX27" i="3"/>
  <c r="AL27" i="3"/>
  <c r="Z27" i="3"/>
  <c r="BI27" i="3"/>
  <c r="AW27" i="3"/>
  <c r="AK27" i="3"/>
  <c r="Y27" i="3"/>
  <c r="BH27" i="3"/>
  <c r="AV27" i="3"/>
  <c r="AJ27" i="3"/>
  <c r="X27" i="3"/>
  <c r="BG27" i="3"/>
  <c r="AU27" i="3"/>
  <c r="AI27" i="3"/>
  <c r="W27" i="3"/>
  <c r="BF27" i="3"/>
  <c r="AT27" i="3"/>
  <c r="AH27" i="3"/>
  <c r="V27" i="3"/>
  <c r="BD27" i="3"/>
  <c r="AR27" i="3"/>
  <c r="AF27" i="3"/>
  <c r="T27" i="3"/>
  <c r="AA10" i="3"/>
  <c r="AM10" i="3"/>
  <c r="AY10" i="3"/>
  <c r="BK10" i="3"/>
  <c r="X11" i="3"/>
  <c r="AJ11" i="3"/>
  <c r="AV11" i="3"/>
  <c r="R13" i="3"/>
  <c r="AD13" i="3"/>
  <c r="AP13" i="3"/>
  <c r="BB13" i="3"/>
  <c r="BK31" i="3"/>
  <c r="AY31" i="3"/>
  <c r="AM31" i="3"/>
  <c r="AA31" i="3"/>
  <c r="BJ31" i="3"/>
  <c r="AX31" i="3"/>
  <c r="AL31" i="3"/>
  <c r="Z31" i="3"/>
  <c r="BI31" i="3"/>
  <c r="AW31" i="3"/>
  <c r="AK31" i="3"/>
  <c r="Y31" i="3"/>
  <c r="BH31" i="3"/>
  <c r="AV31" i="3"/>
  <c r="AJ31" i="3"/>
  <c r="X31" i="3"/>
  <c r="BG31" i="3"/>
  <c r="AU31" i="3"/>
  <c r="AI31" i="3"/>
  <c r="W31" i="3"/>
  <c r="BF31" i="3"/>
  <c r="AT31" i="3"/>
  <c r="AH31" i="3"/>
  <c r="V31" i="3"/>
  <c r="BD31" i="3"/>
  <c r="AR31" i="3"/>
  <c r="AF31" i="3"/>
  <c r="T31" i="3"/>
  <c r="AA14" i="3"/>
  <c r="AM14" i="3"/>
  <c r="AY14" i="3"/>
  <c r="BK14" i="3"/>
  <c r="X15" i="3"/>
  <c r="AJ15" i="3"/>
  <c r="AV15" i="3"/>
  <c r="BH15" i="3"/>
  <c r="R17" i="3"/>
  <c r="AF17" i="3"/>
  <c r="AT17" i="3"/>
  <c r="BH17" i="3"/>
  <c r="AO27" i="3"/>
  <c r="AF30" i="3"/>
  <c r="BF30" i="3"/>
  <c r="AN31" i="3"/>
  <c r="H105" i="3"/>
  <c r="X18" i="3"/>
  <c r="AJ18" i="3"/>
  <c r="AV18" i="3"/>
  <c r="BH18" i="3"/>
  <c r="Q52" i="5"/>
  <c r="D45" i="5"/>
  <c r="D50" i="5"/>
  <c r="U52" i="5"/>
  <c r="Z18" i="3"/>
  <c r="AL18" i="3"/>
  <c r="AX18" i="3"/>
  <c r="BJ18" i="3"/>
  <c r="P2" i="5"/>
  <c r="V52" i="5"/>
  <c r="AA18" i="3"/>
  <c r="AM18" i="3"/>
  <c r="AY18" i="3"/>
  <c r="BK18" i="3"/>
  <c r="D48" i="5"/>
  <c r="P18" i="3"/>
  <c r="AB18" i="3"/>
  <c r="AN18" i="3"/>
  <c r="AZ18" i="3"/>
  <c r="D53" i="5"/>
  <c r="AC18" i="3"/>
  <c r="AO18" i="3"/>
  <c r="BA18" i="3"/>
  <c r="D54" i="5"/>
  <c r="R18" i="3"/>
  <c r="AD18" i="3"/>
  <c r="AP18" i="3"/>
  <c r="BB18" i="3"/>
  <c r="D46" i="5"/>
  <c r="D51" i="5"/>
  <c r="D55" i="5"/>
  <c r="S18" i="3"/>
  <c r="AE18" i="3"/>
  <c r="AQ18" i="3"/>
  <c r="BC18" i="3"/>
  <c r="R106" i="3" l="1"/>
  <c r="BB26" i="3"/>
  <c r="AP26" i="3"/>
  <c r="AD26" i="3"/>
  <c r="R26" i="3"/>
  <c r="BA26" i="3"/>
  <c r="AO26" i="3"/>
  <c r="AC26" i="3"/>
  <c r="Q26" i="3"/>
  <c r="AZ26" i="3"/>
  <c r="AN26" i="3"/>
  <c r="AB26" i="3"/>
  <c r="P26" i="3"/>
  <c r="BK26" i="3"/>
  <c r="AY26" i="3"/>
  <c r="AM26" i="3"/>
  <c r="AA26" i="3"/>
  <c r="BJ26" i="3"/>
  <c r="AX26" i="3"/>
  <c r="AL26" i="3"/>
  <c r="Z26" i="3"/>
  <c r="BI26" i="3"/>
  <c r="AW26" i="3"/>
  <c r="AK26" i="3"/>
  <c r="Y26" i="3"/>
  <c r="BG26" i="3"/>
  <c r="AU26" i="3"/>
  <c r="AI26" i="3"/>
  <c r="W26" i="3"/>
  <c r="BH26" i="3"/>
  <c r="AG26" i="3"/>
  <c r="BF26" i="3"/>
  <c r="AF26" i="3"/>
  <c r="BE26" i="3"/>
  <c r="BD26" i="3"/>
  <c r="X26" i="3"/>
  <c r="BC26" i="3"/>
  <c r="V26" i="3"/>
  <c r="AR26" i="3"/>
  <c r="AQ26" i="3"/>
  <c r="AJ26" i="3"/>
  <c r="T26" i="3"/>
  <c r="S26" i="3"/>
  <c r="AV26" i="3"/>
  <c r="AT26" i="3"/>
  <c r="AS26" i="3"/>
  <c r="AH26" i="3"/>
  <c r="AE26" i="3"/>
  <c r="U26" i="3"/>
  <c r="BK23" i="3"/>
  <c r="BK36" i="3" s="1"/>
  <c r="AY23" i="3"/>
  <c r="AY36" i="3" s="1"/>
  <c r="AM23" i="3"/>
  <c r="AM36" i="3" s="1"/>
  <c r="AA23" i="3"/>
  <c r="AA36" i="3" s="1"/>
  <c r="BJ23" i="3"/>
  <c r="BJ36" i="3" s="1"/>
  <c r="AX23" i="3"/>
  <c r="AX36" i="3" s="1"/>
  <c r="AL23" i="3"/>
  <c r="AL36" i="3" s="1"/>
  <c r="Z23" i="3"/>
  <c r="Z36" i="3" s="1"/>
  <c r="BI23" i="3"/>
  <c r="BI36" i="3" s="1"/>
  <c r="AW23" i="3"/>
  <c r="AW36" i="3" s="1"/>
  <c r="AK23" i="3"/>
  <c r="AK36" i="3" s="1"/>
  <c r="Y23" i="3"/>
  <c r="Y36" i="3" s="1"/>
  <c r="BH23" i="3"/>
  <c r="BH36" i="3" s="1"/>
  <c r="AV23" i="3"/>
  <c r="AV36" i="3" s="1"/>
  <c r="AJ23" i="3"/>
  <c r="AJ36" i="3" s="1"/>
  <c r="X23" i="3"/>
  <c r="X36" i="3" s="1"/>
  <c r="BG23" i="3"/>
  <c r="BG36" i="3" s="1"/>
  <c r="AU23" i="3"/>
  <c r="AU36" i="3" s="1"/>
  <c r="AI23" i="3"/>
  <c r="AI36" i="3" s="1"/>
  <c r="W23" i="3"/>
  <c r="W36" i="3" s="1"/>
  <c r="BF23" i="3"/>
  <c r="BF36" i="3" s="1"/>
  <c r="AT23" i="3"/>
  <c r="AT36" i="3" s="1"/>
  <c r="AH23" i="3"/>
  <c r="AH36" i="3" s="1"/>
  <c r="V23" i="3"/>
  <c r="V36" i="3" s="1"/>
  <c r="BD23" i="3"/>
  <c r="BD36" i="3" s="1"/>
  <c r="AR23" i="3"/>
  <c r="AR36" i="3" s="1"/>
  <c r="AF23" i="3"/>
  <c r="AF36" i="3" s="1"/>
  <c r="T23" i="3"/>
  <c r="T36" i="3" s="1"/>
  <c r="AP23" i="3"/>
  <c r="AP36" i="3" s="1"/>
  <c r="P23" i="3"/>
  <c r="P36" i="3" s="1"/>
  <c r="AO23" i="3"/>
  <c r="AO36" i="3" s="1"/>
  <c r="AG23" i="3"/>
  <c r="AG36" i="3" s="1"/>
  <c r="AE23" i="3"/>
  <c r="AE36" i="3" s="1"/>
  <c r="BA23" i="3"/>
  <c r="BA36" i="3" s="1"/>
  <c r="U23" i="3"/>
  <c r="U36" i="3" s="1"/>
  <c r="AZ23" i="3"/>
  <c r="AZ36" i="3" s="1"/>
  <c r="S23" i="3"/>
  <c r="S36" i="3" s="1"/>
  <c r="AS23" i="3"/>
  <c r="AS36" i="3" s="1"/>
  <c r="R23" i="3"/>
  <c r="R36" i="3" s="1"/>
  <c r="AD23" i="3"/>
  <c r="AD36" i="3" s="1"/>
  <c r="AC23" i="3"/>
  <c r="AC36" i="3" s="1"/>
  <c r="AB23" i="3"/>
  <c r="AB36" i="3" s="1"/>
  <c r="AN23" i="3"/>
  <c r="AN36" i="3" s="1"/>
  <c r="Q23" i="3"/>
  <c r="Q36" i="3" s="1"/>
  <c r="BE23" i="3"/>
  <c r="BE36" i="3" s="1"/>
  <c r="BC23" i="3"/>
  <c r="BC36" i="3" s="1"/>
  <c r="BB23" i="3"/>
  <c r="BB36" i="3" s="1"/>
  <c r="AQ23" i="3"/>
  <c r="AQ36" i="3" s="1"/>
  <c r="Q41" i="5"/>
  <c r="BE29" i="3"/>
  <c r="AS29" i="3"/>
  <c r="AG29" i="3"/>
  <c r="U29" i="3"/>
  <c r="BD29" i="3"/>
  <c r="AR29" i="3"/>
  <c r="AF29" i="3"/>
  <c r="T29" i="3"/>
  <c r="BC29" i="3"/>
  <c r="AQ29" i="3"/>
  <c r="AE29" i="3"/>
  <c r="S29" i="3"/>
  <c r="BB29" i="3"/>
  <c r="AP29" i="3"/>
  <c r="AD29" i="3"/>
  <c r="R29" i="3"/>
  <c r="BA29" i="3"/>
  <c r="AO29" i="3"/>
  <c r="AC29" i="3"/>
  <c r="Q29" i="3"/>
  <c r="AZ29" i="3"/>
  <c r="AN29" i="3"/>
  <c r="AB29" i="3"/>
  <c r="P29" i="3"/>
  <c r="BJ29" i="3"/>
  <c r="AX29" i="3"/>
  <c r="AL29" i="3"/>
  <c r="Z29" i="3"/>
  <c r="AY29" i="3"/>
  <c r="X29" i="3"/>
  <c r="AW29" i="3"/>
  <c r="W29" i="3"/>
  <c r="AV29" i="3"/>
  <c r="V29" i="3"/>
  <c r="AU29" i="3"/>
  <c r="AT29" i="3"/>
  <c r="BI29" i="3"/>
  <c r="AI29" i="3"/>
  <c r="BH29" i="3"/>
  <c r="AH29" i="3"/>
  <c r="BG29" i="3"/>
  <c r="AA29" i="3"/>
  <c r="AM29" i="3"/>
  <c r="BK29" i="3"/>
  <c r="BF29" i="3"/>
  <c r="AK29" i="3"/>
  <c r="Y29" i="3"/>
  <c r="AJ29" i="3"/>
  <c r="Q51" i="5"/>
  <c r="V51" i="5"/>
  <c r="W51" i="5"/>
  <c r="U51" i="5"/>
  <c r="AA28" i="2"/>
  <c r="W48" i="5"/>
  <c r="V48" i="5"/>
  <c r="U48" i="5"/>
  <c r="Q48" i="5"/>
  <c r="W50" i="5"/>
  <c r="V50" i="5"/>
  <c r="U50" i="5"/>
  <c r="Q50" i="5"/>
  <c r="BB34" i="3"/>
  <c r="AP34" i="3"/>
  <c r="AD34" i="3"/>
  <c r="R34" i="3"/>
  <c r="BA34" i="3"/>
  <c r="AO34" i="3"/>
  <c r="AC34" i="3"/>
  <c r="Q34" i="3"/>
  <c r="AZ34" i="3"/>
  <c r="AN34" i="3"/>
  <c r="AB34" i="3"/>
  <c r="P34" i="3"/>
  <c r="BK34" i="3"/>
  <c r="AY34" i="3"/>
  <c r="AM34" i="3"/>
  <c r="AA34" i="3"/>
  <c r="BJ34" i="3"/>
  <c r="AX34" i="3"/>
  <c r="AL34" i="3"/>
  <c r="Z34" i="3"/>
  <c r="BI34" i="3"/>
  <c r="AW34" i="3"/>
  <c r="AK34" i="3"/>
  <c r="Y34" i="3"/>
  <c r="BG34" i="3"/>
  <c r="AU34" i="3"/>
  <c r="AI34" i="3"/>
  <c r="W34" i="3"/>
  <c r="BD34" i="3"/>
  <c r="AR34" i="3"/>
  <c r="AF34" i="3"/>
  <c r="T34" i="3"/>
  <c r="BE34" i="3"/>
  <c r="U34" i="3"/>
  <c r="BC34" i="3"/>
  <c r="S34" i="3"/>
  <c r="AV34" i="3"/>
  <c r="AT34" i="3"/>
  <c r="AS34" i="3"/>
  <c r="AG34" i="3"/>
  <c r="AE34" i="3"/>
  <c r="BH34" i="3"/>
  <c r="X34" i="3"/>
  <c r="BF34" i="3"/>
  <c r="AQ34" i="3"/>
  <c r="AH34" i="3"/>
  <c r="AJ34" i="3"/>
  <c r="V34" i="3"/>
  <c r="X27" i="2"/>
  <c r="X28" i="2" s="1"/>
  <c r="W41" i="5"/>
  <c r="AA24" i="2"/>
  <c r="C27" i="2"/>
  <c r="BE33" i="3"/>
  <c r="AS33" i="3"/>
  <c r="AG33" i="3"/>
  <c r="U33" i="3"/>
  <c r="BD33" i="3"/>
  <c r="AR33" i="3"/>
  <c r="AF33" i="3"/>
  <c r="T33" i="3"/>
  <c r="BC33" i="3"/>
  <c r="AQ33" i="3"/>
  <c r="AE33" i="3"/>
  <c r="S33" i="3"/>
  <c r="BB33" i="3"/>
  <c r="AP33" i="3"/>
  <c r="AD33" i="3"/>
  <c r="R33" i="3"/>
  <c r="BA33" i="3"/>
  <c r="AO33" i="3"/>
  <c r="AC33" i="3"/>
  <c r="Q33" i="3"/>
  <c r="AZ33" i="3"/>
  <c r="AN33" i="3"/>
  <c r="AB33" i="3"/>
  <c r="P33" i="3"/>
  <c r="BJ33" i="3"/>
  <c r="AX33" i="3"/>
  <c r="AL33" i="3"/>
  <c r="Z33" i="3"/>
  <c r="BG33" i="3"/>
  <c r="AU33" i="3"/>
  <c r="AI33" i="3"/>
  <c r="W33" i="3"/>
  <c r="AJ33" i="3"/>
  <c r="AH33" i="3"/>
  <c r="BK33" i="3"/>
  <c r="AA33" i="3"/>
  <c r="BI33" i="3"/>
  <c r="Y33" i="3"/>
  <c r="BH33" i="3"/>
  <c r="X33" i="3"/>
  <c r="AV33" i="3"/>
  <c r="AT33" i="3"/>
  <c r="AM33" i="3"/>
  <c r="BF33" i="3"/>
  <c r="AY33" i="3"/>
  <c r="AW33" i="3"/>
  <c r="AK33" i="3"/>
  <c r="V33" i="3"/>
  <c r="M60" i="5"/>
  <c r="M62" i="5" s="1"/>
  <c r="L60" i="5"/>
  <c r="L62" i="5" s="1"/>
  <c r="K60" i="5"/>
  <c r="K62" i="5" s="1"/>
  <c r="W45" i="5"/>
  <c r="W60" i="5" s="1"/>
  <c r="W62" i="5" s="1"/>
  <c r="J60" i="5"/>
  <c r="J62" i="5" s="1"/>
  <c r="V45" i="5"/>
  <c r="I60" i="5"/>
  <c r="I62" i="5" s="1"/>
  <c r="U45" i="5"/>
  <c r="T60" i="5"/>
  <c r="T62" i="5" s="1"/>
  <c r="H60" i="5"/>
  <c r="H62" i="5" s="1"/>
  <c r="Q45" i="5"/>
  <c r="S60" i="5"/>
  <c r="S62" i="5" s="1"/>
  <c r="G60" i="5"/>
  <c r="G62" i="5" s="1"/>
  <c r="R60" i="5"/>
  <c r="R62" i="5" s="1"/>
  <c r="F60" i="5"/>
  <c r="F62" i="5" s="1"/>
  <c r="E60" i="5"/>
  <c r="E62" i="5" s="1"/>
  <c r="O60" i="5"/>
  <c r="O62" i="5" s="1"/>
  <c r="P60" i="5"/>
  <c r="P62" i="5" s="1"/>
  <c r="N60" i="5"/>
  <c r="N62" i="5" s="1"/>
  <c r="R105" i="3"/>
  <c r="R108" i="3"/>
  <c r="BH28" i="3"/>
  <c r="AV28" i="3"/>
  <c r="AJ28" i="3"/>
  <c r="X28" i="3"/>
  <c r="BG28" i="3"/>
  <c r="AU28" i="3"/>
  <c r="AI28" i="3"/>
  <c r="W28" i="3"/>
  <c r="BF28" i="3"/>
  <c r="AT28" i="3"/>
  <c r="AH28" i="3"/>
  <c r="V28" i="3"/>
  <c r="BE28" i="3"/>
  <c r="AS28" i="3"/>
  <c r="AG28" i="3"/>
  <c r="U28" i="3"/>
  <c r="BD28" i="3"/>
  <c r="AR28" i="3"/>
  <c r="AF28" i="3"/>
  <c r="T28" i="3"/>
  <c r="BC28" i="3"/>
  <c r="AQ28" i="3"/>
  <c r="AE28" i="3"/>
  <c r="S28" i="3"/>
  <c r="BA28" i="3"/>
  <c r="AO28" i="3"/>
  <c r="AC28" i="3"/>
  <c r="Q28" i="3"/>
  <c r="AW28" i="3"/>
  <c r="P28" i="3"/>
  <c r="AP28" i="3"/>
  <c r="AM28" i="3"/>
  <c r="AL28" i="3"/>
  <c r="BB28" i="3"/>
  <c r="AA28" i="3"/>
  <c r="AZ28" i="3"/>
  <c r="Z28" i="3"/>
  <c r="AY28" i="3"/>
  <c r="Y28" i="3"/>
  <c r="BJ28" i="3"/>
  <c r="BI28" i="3"/>
  <c r="AX28" i="3"/>
  <c r="AN28" i="3"/>
  <c r="AK28" i="3"/>
  <c r="AD28" i="3"/>
  <c r="AB28" i="3"/>
  <c r="R28" i="3"/>
  <c r="BK28" i="3"/>
  <c r="AB24" i="2"/>
  <c r="O27" i="2"/>
  <c r="O28" i="2" s="1"/>
  <c r="U46" i="5"/>
  <c r="W46" i="5"/>
  <c r="V46" i="5"/>
  <c r="AB13" i="2"/>
  <c r="BE25" i="3"/>
  <c r="AS25" i="3"/>
  <c r="AG25" i="3"/>
  <c r="U25" i="3"/>
  <c r="BD25" i="3"/>
  <c r="AR25" i="3"/>
  <c r="AF25" i="3"/>
  <c r="T25" i="3"/>
  <c r="BC25" i="3"/>
  <c r="AQ25" i="3"/>
  <c r="AE25" i="3"/>
  <c r="S25" i="3"/>
  <c r="BB25" i="3"/>
  <c r="AP25" i="3"/>
  <c r="AD25" i="3"/>
  <c r="R25" i="3"/>
  <c r="BA25" i="3"/>
  <c r="AO25" i="3"/>
  <c r="AC25" i="3"/>
  <c r="Q25" i="3"/>
  <c r="AZ25" i="3"/>
  <c r="AN25" i="3"/>
  <c r="AB25" i="3"/>
  <c r="P25" i="3"/>
  <c r="BJ25" i="3"/>
  <c r="AX25" i="3"/>
  <c r="AL25" i="3"/>
  <c r="Z25" i="3"/>
  <c r="BF25" i="3"/>
  <c r="Y25" i="3"/>
  <c r="AY25" i="3"/>
  <c r="X25" i="3"/>
  <c r="AV25" i="3"/>
  <c r="V25" i="3"/>
  <c r="AU25" i="3"/>
  <c r="BK25" i="3"/>
  <c r="AJ25" i="3"/>
  <c r="BI25" i="3"/>
  <c r="AI25" i="3"/>
  <c r="BH25" i="3"/>
  <c r="AH25" i="3"/>
  <c r="BG25" i="3"/>
  <c r="AW25" i="3"/>
  <c r="AT25" i="3"/>
  <c r="AM25" i="3"/>
  <c r="AK25" i="3"/>
  <c r="AA25" i="3"/>
  <c r="W25" i="3"/>
  <c r="Q60" i="5" l="1"/>
  <c r="Q62" i="5" s="1"/>
  <c r="U60" i="5"/>
  <c r="U62" i="5" s="1"/>
  <c r="V60" i="5"/>
  <c r="V6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OliverHannen</author>
  </authors>
  <commentList>
    <comment ref="Y4" authorId="0" shapeId="0" xr:uid="{00000000-0006-0000-0400-000001000000}">
      <text>
        <r>
          <rPr>
            <sz val="11"/>
            <color theme="1"/>
            <rFont val="Calibri"/>
            <family val="2"/>
            <scheme val="minor"/>
          </rPr>
          <t>OliverHannen:
Affects hidden rows 40 and 59.</t>
        </r>
      </text>
    </comment>
    <comment ref="AC23" authorId="0" shapeId="0" xr:uid="{00000000-0006-0000-0400-000002000000}">
      <text>
        <r>
          <rPr>
            <sz val="11"/>
            <color theme="1"/>
            <rFont val="Calibri"/>
            <family val="2"/>
            <scheme val="minor"/>
          </rPr>
          <t xml:space="preserve">OliverHannen:
</t>
        </r>
      </text>
    </comment>
    <comment ref="D42" authorId="0" shapeId="0" xr:uid="{00000000-0006-0000-0400-000003000000}">
      <text>
        <r>
          <rPr>
            <sz val="11"/>
            <color theme="1"/>
            <rFont val="Calibri"/>
            <family val="2"/>
            <scheme val="minor"/>
          </rPr>
          <t>% of overseas sales effects Cash Flow with respect to VAT - only enter if cell F2 = Y</t>
        </r>
      </text>
    </comment>
    <comment ref="D61" authorId="0" shapeId="0" xr:uid="{00000000-0006-0000-0400-000004000000}">
      <text>
        <r>
          <rPr>
            <sz val="11"/>
            <color theme="1"/>
            <rFont val="Calibri"/>
            <family val="2"/>
            <scheme val="minor"/>
          </rPr>
          <t>% of overseas sales effects Cash Flow with respect to VAT - only enter if cell F2 = Y</t>
        </r>
      </text>
    </comment>
    <comment ref="D65" authorId="0" shapeId="0" xr:uid="{00000000-0006-0000-0400-000005000000}">
      <text>
        <r>
          <rPr>
            <sz val="11"/>
            <color theme="1"/>
            <rFont val="Calibri"/>
            <family val="2"/>
            <scheme val="minor"/>
          </rPr>
          <t xml:space="preserve">
Please enter description</t>
        </r>
      </text>
    </comment>
    <comment ref="D66" authorId="0" shapeId="0" xr:uid="{00000000-0006-0000-0400-000006000000}">
      <text>
        <r>
          <rPr>
            <sz val="11"/>
            <color theme="1"/>
            <rFont val="Calibri"/>
            <family val="2"/>
            <scheme val="minor"/>
          </rPr>
          <t xml:space="preserve">
Please enter description</t>
        </r>
      </text>
    </comment>
    <comment ref="D67" authorId="0" shapeId="0" xr:uid="{00000000-0006-0000-0400-000007000000}">
      <text>
        <r>
          <rPr>
            <sz val="11"/>
            <color theme="1"/>
            <rFont val="Calibri"/>
            <family val="2"/>
            <scheme val="minor"/>
          </rPr>
          <t xml:space="preserve">
Please enter description</t>
        </r>
      </text>
    </comment>
  </commentList>
</comments>
</file>

<file path=xl/sharedStrings.xml><?xml version="1.0" encoding="utf-8"?>
<sst xmlns="http://schemas.openxmlformats.org/spreadsheetml/2006/main" count="457" uniqueCount="322">
  <si>
    <t>VAT - Cash or Accruals basis - potentially incorporate a toggle switch</t>
  </si>
  <si>
    <t>VAT impactt of PAYE vs umbrella vs ltd company for TEMPS.</t>
  </si>
  <si>
    <t>CIS</t>
  </si>
  <si>
    <t>No commission for 6 months</t>
  </si>
  <si>
    <t>Bonuses</t>
  </si>
  <si>
    <t>Model for changing salary from quarter to quarter - e.g. founder and key hires working below odds at first</t>
  </si>
  <si>
    <t>Check no. make sense.</t>
  </si>
  <si>
    <t>Reece and Jason</t>
  </si>
  <si>
    <t>Year 1</t>
  </si>
  <si>
    <t>Year 2</t>
  </si>
  <si>
    <t>Perm Sales:</t>
  </si>
  <si>
    <t>Founder</t>
  </si>
  <si>
    <t>Rec 1</t>
  </si>
  <si>
    <t>Rec 2</t>
  </si>
  <si>
    <t>Rec 3</t>
  </si>
  <si>
    <t>Rec 4</t>
  </si>
  <si>
    <t>Rec 5</t>
  </si>
  <si>
    <t>Rec 6</t>
  </si>
  <si>
    <t>Rec 7</t>
  </si>
  <si>
    <t>Total Perm GP</t>
  </si>
  <si>
    <t>Temp sales:</t>
  </si>
  <si>
    <t>Total Temp GP</t>
  </si>
  <si>
    <t>Total GP</t>
  </si>
  <si>
    <t>Temps Out</t>
  </si>
  <si>
    <t>No. of Billers</t>
  </si>
  <si>
    <t>GP per biller</t>
  </si>
  <si>
    <t>Comm</t>
  </si>
  <si>
    <t>Average PermFee</t>
  </si>
  <si>
    <t>Temps</t>
  </si>
  <si>
    <t>%</t>
  </si>
  <si>
    <t>Only add figures/info into blue cells</t>
  </si>
  <si>
    <t>Ave Charge</t>
  </si>
  <si>
    <t>Ltd</t>
  </si>
  <si>
    <t>Blue cells have been populated as an example. Please amend to what you believe you can achieve</t>
  </si>
  <si>
    <t>Ave Pay</t>
  </si>
  <si>
    <t>Umbrella</t>
  </si>
  <si>
    <t>Margin</t>
  </si>
  <si>
    <t>PAYE</t>
  </si>
  <si>
    <t>Any explanation or further detail put below</t>
  </si>
  <si>
    <t>Weekly hours</t>
  </si>
  <si>
    <t>Wkly Margin</t>
  </si>
  <si>
    <t xml:space="preserve">* There will of course be ebbs and flows with the temp numbers in terms of the continued growth but I have tried to be conservative/realistic and include slight drops over festive periods. </t>
  </si>
  <si>
    <t>* Perms I have kept at one per quarter for the first year and then more consistent in year 2 as we start to give that side of things more attention and possibly have one of the future hires focus more on the perm side</t>
  </si>
  <si>
    <t>Salaries</t>
  </si>
  <si>
    <t>PA</t>
  </si>
  <si>
    <t>* Commision scheme will be for Me and Jason, not necessarily what it will be for future hires</t>
  </si>
  <si>
    <t>Rec Con 1</t>
  </si>
  <si>
    <t>* Comission scheme is based on mine and Jason's combined billings as this is how we would like to operate instead of 'owning' separate plans/clients</t>
  </si>
  <si>
    <t>Rec Con 2</t>
  </si>
  <si>
    <t>Rec Con3</t>
  </si>
  <si>
    <t>£0-£10</t>
  </si>
  <si>
    <t>£10-£20</t>
  </si>
  <si>
    <t>£20-£40</t>
  </si>
  <si>
    <t>£40+</t>
  </si>
  <si>
    <t>Proposed Employee Commission</t>
  </si>
  <si>
    <t xml:space="preserve"> </t>
  </si>
  <si>
    <t>level</t>
  </si>
  <si>
    <t>0-10 0%</t>
  </si>
  <si>
    <t>£0-£9999</t>
  </si>
  <si>
    <t>£10,000-£19,999</t>
  </si>
  <si>
    <t>£20,000-£39,000</t>
  </si>
  <si>
    <t>£40,000 +</t>
  </si>
  <si>
    <t>Advertising/Job Boards</t>
  </si>
  <si>
    <t>CVL</t>
  </si>
  <si>
    <t>£TBC</t>
  </si>
  <si>
    <t xml:space="preserve">Standard </t>
  </si>
  <si>
    <t>Reed</t>
  </si>
  <si>
    <t>£N/A</t>
  </si>
  <si>
    <t>LinkedIn</t>
  </si>
  <si>
    <t>Indeed</t>
  </si>
  <si>
    <t>1st yr per month</t>
  </si>
  <si>
    <t>2nd Yr per month</t>
  </si>
  <si>
    <t>3rd Yr per month</t>
  </si>
  <si>
    <t>4th Yr per month</t>
  </si>
  <si>
    <t>Name</t>
  </si>
  <si>
    <t>DESK</t>
  </si>
  <si>
    <t>Start date</t>
  </si>
  <si>
    <t>Annual target</t>
  </si>
  <si>
    <t>% of target Yr1</t>
  </si>
  <si>
    <t>% of target Yr2</t>
  </si>
  <si>
    <t>% of target Yr3</t>
  </si>
  <si>
    <t>% of target Yr4</t>
  </si>
  <si>
    <t xml:space="preserve">1st year months from hire to first billing </t>
  </si>
  <si>
    <t>YEAR 1:</t>
  </si>
  <si>
    <t>Total</t>
  </si>
  <si>
    <t>Temp GP:</t>
  </si>
  <si>
    <t>Salary</t>
  </si>
  <si>
    <t>Start Date</t>
  </si>
  <si>
    <t>Nov</t>
  </si>
  <si>
    <t>Dec</t>
  </si>
  <si>
    <t>Jan</t>
  </si>
  <si>
    <t>Feb</t>
  </si>
  <si>
    <t>Jun</t>
  </si>
  <si>
    <t>Jul</t>
  </si>
  <si>
    <t>Month 4</t>
  </si>
  <si>
    <t>Month 5</t>
  </si>
  <si>
    <t>Month 6</t>
  </si>
  <si>
    <t>Month 7</t>
  </si>
  <si>
    <t>Month 11</t>
  </si>
  <si>
    <t>Month 12</t>
  </si>
  <si>
    <t>Prospect assumed (Per annum)</t>
  </si>
  <si>
    <t>Prospect assumed (Per month)</t>
  </si>
  <si>
    <t>Founder(s) Profile</t>
  </si>
  <si>
    <t>ANSWERS</t>
  </si>
  <si>
    <t>What is your target 'launch date' for your business (i.e. first day of trading)?</t>
  </si>
  <si>
    <t>Please confirm the names and LinkedIn profiles of everyone who will be a shareholder of the company at launch</t>
  </si>
  <si>
    <t xml:space="preserve">Bryan Blair </t>
  </si>
  <si>
    <t>Do any shareholders have any significant history of the below? (Please specify)
- Business or personal debt
- Criminal record
- Bankruptcy or insolvency
- Other background issue of note</t>
  </si>
  <si>
    <t>None</t>
  </si>
  <si>
    <t>Do all shareholders consent to a background check if requested?</t>
  </si>
  <si>
    <t>Yes</t>
  </si>
  <si>
    <t>Do all shareholders agree to provide proof of earnings if requested?</t>
  </si>
  <si>
    <t>Please provide the names of 2x potential professional references.
NOTE - SSG will NOT contact these references without your express permission, at a later stage of the discussion process.</t>
  </si>
  <si>
    <t>Joseph Rispoli / Brian Zinco / Kevin Lee / Arron Jay / Mike Silberman / Dean Miller</t>
  </si>
  <si>
    <t>Complete the below table for founder billings performance (NFI generation), earnings and team performance.
Please adjust 'Year' as needed to reflect most recent years in recruitment industry.</t>
  </si>
  <si>
    <t>NOTE - please SCROLL RIGHT to view all columns
If years cover multiple employment periods / companies, please add notes as comments to each relevant row for context</t>
  </si>
  <si>
    <t>Founder 1</t>
  </si>
  <si>
    <t>Year</t>
  </si>
  <si>
    <t>Which company were you employed by, and which market sector did you focus on?</t>
  </si>
  <si>
    <t>How much did you bill personally? (£k)</t>
  </si>
  <si>
    <t>If you managed a team, how much did your team bill (including your billings)? (£k)</t>
  </si>
  <si>
    <t>If you managed a team, what was the size of the team?</t>
  </si>
  <si>
    <t>What was your base salary during the period?</t>
  </si>
  <si>
    <t>How much did you earn in total (salary + commissions + bonus)?</t>
  </si>
  <si>
    <t>2024 (YTD)</t>
  </si>
  <si>
    <t>Green Key $379k (189,500) / GQR  $178k ($33,820) started May 21 / Life Science</t>
  </si>
  <si>
    <t>$100k</t>
  </si>
  <si>
    <t xml:space="preserve">Green Key / Life Science </t>
  </si>
  <si>
    <t>Founder expenses</t>
  </si>
  <si>
    <t>How much monthly income (net) do founders require to clear basic living expenses?
(e.g. rent, mortgage, car payments, food &amp; utilities and other essential financial commitments)</t>
  </si>
  <si>
    <t>Do founders anticipate that they will be able to co-invest in the business, and if so how much as a comfortable maximum?
(e.g. 3 months without drawing salary / £10,000 cash etc.)</t>
  </si>
  <si>
    <t>Performance Projections Input</t>
  </si>
  <si>
    <t>Founder(s)</t>
  </si>
  <si>
    <t>10 (a)</t>
  </si>
  <si>
    <t>What is a realistic expectation for founder personal billing (annually) once at full capacity? (e.g. £250,000)</t>
  </si>
  <si>
    <t>10 (b)</t>
  </si>
  <si>
    <t>How are founder billings anticipated to ramp up during the first 12 months of trading (NFI / GP)?</t>
  </si>
  <si>
    <t>Month</t>
  </si>
  <si>
    <t>Average Fee Value £ / Temp Margin GP</t>
  </si>
  <si>
    <t>Number of Deals / Temps out</t>
  </si>
  <si>
    <t>Month 1</t>
  </si>
  <si>
    <t>Month 2</t>
  </si>
  <si>
    <t>Month 3</t>
  </si>
  <si>
    <t>Month 8</t>
  </si>
  <si>
    <t>Month 9</t>
  </si>
  <si>
    <t>Month 10</t>
  </si>
  <si>
    <t>Additional Consultants</t>
  </si>
  <si>
    <t>11 (a)</t>
  </si>
  <si>
    <t>What is a realistic expectation for an average consultant's billing (annually) once at full capacity? (e.g. £250,000)</t>
  </si>
  <si>
    <t>11 (b)</t>
  </si>
  <si>
    <t>How would the billings of an average consultant in your business ramp up during the first 12 months of employment?</t>
  </si>
  <si>
    <t>What is an anticipated base salary AND average commission % for new consultants?</t>
  </si>
  <si>
    <t>What is an anticipated total earnings for employees at 100% of target?</t>
  </si>
  <si>
    <t>Please provide a breakdown of how many consultants you would aim to employ in the business at the END of each year</t>
  </si>
  <si>
    <t># of consultants at end of year</t>
  </si>
  <si>
    <t>Business Model Inputs</t>
  </si>
  <si>
    <t>What is the company's expected average perm fee?</t>
  </si>
  <si>
    <t>What is the expected temp/ contractor bill and pay rate? (per hour)</t>
  </si>
  <si>
    <t>What % of your temps will be PAYE / Umbrella / Ltd Co.?</t>
  </si>
  <si>
    <t>What is the expected temp/contractor payment frequency (e.g. weekly, monthly)</t>
  </si>
  <si>
    <t>What is the average permanent candidate notice period?</t>
  </si>
  <si>
    <t>What is the average contract candidate notice period?</t>
  </si>
  <si>
    <t>What % of turnover is expected to come from permanent placements vs contract within the first 3 years of trading?</t>
  </si>
  <si>
    <t>What percentage of annual turnover in the first 12 months of trading is expected to be from domestic (UK) customers, what percentage from overseas?</t>
  </si>
  <si>
    <t>0% overseas – 100% domestic (USA)</t>
  </si>
  <si>
    <t>Will you require LinkedIn Recruiter, CV Library or REED from Day 1?</t>
  </si>
  <si>
    <t>Business Profile</t>
  </si>
  <si>
    <t>What will be the company's primary target market sector(s)?</t>
  </si>
  <si>
    <t>Please provide sample job titles the company will aim to fill in the first 12 months of trading</t>
  </si>
  <si>
    <t>How will the company price its services? (Contingent, retained etc., expected percentages and fee structure)</t>
  </si>
  <si>
    <t>Who are your main competitors? Who stands out and what do they do well?</t>
  </si>
  <si>
    <t>What will be the company's primary methods and channels for contacting and engaging new candidates? 
(Please be as specific as possible, including process and required tools, licensing or technology)</t>
  </si>
  <si>
    <t>What will be the company's primary methods and channels for marketing its services to new client and candidate audiences? 
(Please be as specific as possible, including process and required tools, licensing or technology)</t>
  </si>
  <si>
    <t>What additional resources, employees, support services or technology will the company require in the first 12 months of trading?</t>
  </si>
  <si>
    <t>Initial Traction</t>
  </si>
  <si>
    <t>What are your current restrictions regarding clients, candidates, etc…?
Describe any key restrictions &amp; get employment contract</t>
  </si>
  <si>
    <t>What is the scope of your personal brand / contact network in your target space?_x000D_
(LinkedIn 1st connections, followers etc.)</t>
  </si>
  <si>
    <t>Which resources would you be able to work with at launch, without violating non-competes?
a. Client target lists - sprecifically who, what, where, when….
b. Candidate database</t>
  </si>
  <si>
    <t>How much of your recent personal billing experience has been in your target space?
What % of your total recruitment experience across your career has been in this sector?</t>
  </si>
  <si>
    <t>How many active customers (from your existing / recent) network do you believe you would be able to work with immediately on launch?
Are these companies hiring now, actively? How many roles would you be able to work on immediately?</t>
  </si>
  <si>
    <t>How much of your recent personal billings (last 3 years) have been ‘360’ (sourced client and candidate)?</t>
  </si>
  <si>
    <t>How may new clients you have billed with (last 3 years) did you personally sign up as customers?</t>
  </si>
  <si>
    <t>Exit Strategy / Founder Goals</t>
  </si>
  <si>
    <t>Short-term Objective</t>
  </si>
  <si>
    <t>What is the company's goal with regard to creating shareholder value or founder returns within the first 1-3 years of trading?
(Create lifestyle business, generate cash, build passive income stream, develop foundations of sellable asset etc.)</t>
  </si>
  <si>
    <t>Long-term Objective</t>
  </si>
  <si>
    <t>Does this goal change after 3+ years of trading? i.e. what will the business look like in 3 years? Staff numbers, sectors, geography, revenue etc….? How will the business evolve?
Please be as specific as possible</t>
  </si>
  <si>
    <t>Business name:</t>
  </si>
  <si>
    <t xml:space="preserve">Avg Perm Fee </t>
  </si>
  <si>
    <t>Charge $ ph:</t>
  </si>
  <si>
    <t>Pay $ ph:</t>
  </si>
  <si>
    <t>Margin:</t>
  </si>
  <si>
    <t>Temp Hrs pw</t>
  </si>
  <si>
    <t>Investor's inputs:</t>
  </si>
  <si>
    <t>^ Investor's inputs ^</t>
  </si>
  <si>
    <t>No</t>
  </si>
  <si>
    <t>Role</t>
  </si>
  <si>
    <t>Salary p/a exc comm</t>
  </si>
  <si>
    <t>Pre tax gross pm</t>
  </si>
  <si>
    <t>Start Month</t>
  </si>
  <si>
    <t>Staff Comm</t>
  </si>
  <si>
    <t>Other 1</t>
  </si>
  <si>
    <t>Other 2</t>
  </si>
  <si>
    <t>Other 3</t>
  </si>
  <si>
    <t>CRM</t>
  </si>
  <si>
    <t>Temp EoR</t>
  </si>
  <si>
    <t>Monthly Employee EOR fee</t>
  </si>
  <si>
    <t>Overseas Trade?</t>
  </si>
  <si>
    <t>N</t>
  </si>
  <si>
    <t>Bryan</t>
  </si>
  <si>
    <t>Tax/benefit rate</t>
  </si>
  <si>
    <t>No commission for first X months</t>
  </si>
  <si>
    <t>Input as 6 to reflect founder earning no commission in first six months - could remove founder from commission calculation completely instead.</t>
  </si>
  <si>
    <t>Founder 2</t>
  </si>
  <si>
    <t>EoR rate</t>
  </si>
  <si>
    <t>Sales Tax</t>
  </si>
  <si>
    <t>Launch date:</t>
  </si>
  <si>
    <t>Founder 3</t>
  </si>
  <si>
    <t>Founder 4</t>
  </si>
  <si>
    <t>Employee 1</t>
  </si>
  <si>
    <t>Credit Control - cash collection</t>
  </si>
  <si>
    <t>Capex Per New Starter</t>
  </si>
  <si>
    <t>SSG Equity %</t>
  </si>
  <si>
    <t>Employee 2</t>
  </si>
  <si>
    <t>Immediate</t>
  </si>
  <si>
    <t>Laptop</t>
  </si>
  <si>
    <t>Yr 1</t>
  </si>
  <si>
    <t>Yr 2</t>
  </si>
  <si>
    <t>Yr 3</t>
  </si>
  <si>
    <t>Yr 4</t>
  </si>
  <si>
    <t>Employee 3</t>
  </si>
  <si>
    <t>30 Days</t>
  </si>
  <si>
    <t>Mobile</t>
  </si>
  <si>
    <t>Rent:</t>
  </si>
  <si>
    <t>Employee 4</t>
  </si>
  <si>
    <t>60 Days</t>
  </si>
  <si>
    <t>Introduction Fee:</t>
  </si>
  <si>
    <t>Employee 5</t>
  </si>
  <si>
    <t>90 Days</t>
  </si>
  <si>
    <t>Employee 6</t>
  </si>
  <si>
    <t>Bad Debt</t>
  </si>
  <si>
    <t>Employee 7</t>
  </si>
  <si>
    <t>Employee 8</t>
  </si>
  <si>
    <t>Employee 9</t>
  </si>
  <si>
    <t>Intro Fee</t>
  </si>
  <si>
    <t>Employee 10</t>
  </si>
  <si>
    <t>Legal Setup</t>
  </si>
  <si>
    <t>Employee 11</t>
  </si>
  <si>
    <t>Employee 12</t>
  </si>
  <si>
    <t>Employee 13</t>
  </si>
  <si>
    <t>&lt;&lt; more rows</t>
  </si>
  <si>
    <t>Costs per licence</t>
  </si>
  <si>
    <t>Yr 1 £</t>
  </si>
  <si>
    <t>Yr 2 £</t>
  </si>
  <si>
    <t>Yr 3 £</t>
  </si>
  <si>
    <t>Yr 4 £</t>
  </si>
  <si>
    <t>Weeks&gt;</t>
  </si>
  <si>
    <t>Perms placed</t>
  </si>
  <si>
    <t>Average Perm Fee</t>
  </si>
  <si>
    <t>£ per licence per month</t>
  </si>
  <si>
    <t>Biller 1</t>
  </si>
  <si>
    <t>SSG subsidise 6 months?</t>
  </si>
  <si>
    <t>Y</t>
  </si>
  <si>
    <t>Biller 2</t>
  </si>
  <si>
    <t>Seasonality for years 2 -&gt; 4</t>
  </si>
  <si>
    <t>Mar</t>
  </si>
  <si>
    <t>Apr</t>
  </si>
  <si>
    <t>May</t>
  </si>
  <si>
    <t>Aug</t>
  </si>
  <si>
    <t>Sep</t>
  </si>
  <si>
    <t>Oct</t>
  </si>
  <si>
    <t>Biller 3</t>
  </si>
  <si>
    <t>Perms</t>
  </si>
  <si>
    <t>check &gt;&gt;</t>
  </si>
  <si>
    <t>Biller 4</t>
  </si>
  <si>
    <t>Biller 5</t>
  </si>
  <si>
    <t>Biller 6</t>
  </si>
  <si>
    <t>Biller 7</t>
  </si>
  <si>
    <t>Biller 8</t>
  </si>
  <si>
    <t>No. 9</t>
  </si>
  <si>
    <t>No. 10</t>
  </si>
  <si>
    <t>No. 11</t>
  </si>
  <si>
    <t>No. 12</t>
  </si>
  <si>
    <t>No. 13</t>
  </si>
  <si>
    <t>No. 14</t>
  </si>
  <si>
    <t>No. 15</t>
  </si>
  <si>
    <t>Perm GP:</t>
  </si>
  <si>
    <t>Temps Out (pw):</t>
  </si>
  <si>
    <t>Margin pw</t>
  </si>
  <si>
    <t>Unknown Nora</t>
  </si>
  <si>
    <t>Total GP:</t>
  </si>
  <si>
    <t>Costs</t>
  </si>
  <si>
    <t>Input Y or N</t>
  </si>
  <si>
    <t>Input name &amp; £</t>
  </si>
  <si>
    <t>Car</t>
  </si>
  <si>
    <t>Other:</t>
  </si>
  <si>
    <t>Notes</t>
  </si>
  <si>
    <t>Seasonality - please describe any significant seasonal impacts on your market</t>
  </si>
  <si>
    <t xml:space="preserve">Other notes </t>
  </si>
  <si>
    <t>Analysis Sheet</t>
  </si>
  <si>
    <t>This sheet will include all the Python formulas generated by Copilot.</t>
  </si>
  <si>
    <t>Load data from Business Modelling Plan, B14:H18</t>
  </si>
  <si>
    <t>£0 base; £3 k/mo recoverable draw; 50 % GP commission</t>
  </si>
  <si>
    <t>Contractor bill £152 / pay £96</t>
  </si>
  <si>
    <t xml:space="preserve">£50,625 </t>
  </si>
  <si>
    <t>weekly</t>
  </si>
  <si>
    <t>2 weeks</t>
  </si>
  <si>
    <t>70 % perm / 30 % contract.</t>
  </si>
  <si>
    <t>Yes – LinkedIn Recruiter Corporate</t>
  </si>
  <si>
    <t xml:space="preserve">Pharma / Biotech </t>
  </si>
  <si>
    <t>CMO, VP Clin Dev, VP Biometrics, Sr. Director Biostats, Director Stat Programming, Director CDM</t>
  </si>
  <si>
    <t>Est (Contingent 30%, contingent + exclusive 25%, Retained + exclusive 20%)</t>
  </si>
  <si>
    <t>Proclinical Staffing, GQR, SciPro, Green Key, Mix Talent, Meet, Kennedy Bond</t>
  </si>
  <si>
    <t xml:space="preserve">Linkedin Recruiter, Linkedin Job Posting, Phone Call, Email </t>
  </si>
  <si>
    <t>Sourcewhale, Zoominfo, Email, Phone, Sales Navigator</t>
  </si>
  <si>
    <t>Chat GTP Pro, Claude Max, Zoominfo, Sales Nav, Recruiter, Bullhorn, Gemini Pro</t>
  </si>
  <si>
    <t xml:space="preserve">None </t>
  </si>
  <si>
    <t>12k connections + 15k followers + Blue Bage Top Voice + 2 weekly newsletters</t>
  </si>
  <si>
    <t>neither</t>
  </si>
  <si>
    <t xml:space="preserve">5 current clients / 2 actively hiring via agencys / 1  MSA contract </t>
  </si>
  <si>
    <t>Establish a high-margin boutique that generates cash and validates our Life-Sci playbook: £2m GP and ≥ 35% EBITDA by Month 36, funded by a £100k seed and no debt. Four productive recruiters, 30% contract mix, £600k cash buffer, repeatable AI-driven sourcing. workflows, and a market‑visible brand (Recruit AI newsletter ≥ 5 k subscribers). Creates optionality for dividends or reinvestment.</t>
  </si>
  <si>
    <t>Year 4‑6: scale to 15 consultants across Biotech, Med‑Tech &amp; CDMO verticals, open a Boston hub, drive £10 m GP at 25 % EBITDA with 20 % recurring contract revenue. Layer proprietary AI candidate‑mapping platform to widen defensibility. Target strategic sale or PE roll‑up at 6‑8× EBITDA—or continue as a cash‑rich lifestyle firm with professional management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</si>
</sst>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 &quot;* #,##0&quot; &quot;;&quot;-&quot;* #,##0&quot; &quot;;&quot; &quot;* &quot;-&quot;#&quot; &quot;;&quot; &quot;@&quot; &quot;"/>
    <numFmt numFmtId="165" formatCode="_-* #,##0_-;\-* #,##0_-;_-* &quot;-&quot;??_-;_-@_-"/>
    <numFmt numFmtId="166" formatCode="0.0%"/>
    <numFmt numFmtId="167" formatCode="&quot;£&quot;#,##0;[Red]\-&quot;£&quot;#,##0"/>
    <numFmt numFmtId="168" formatCode="&quot;£&quot;#,##0.00;[Red]\-&quot;£&quot;#,##0.00"/>
    <numFmt numFmtId="169" formatCode="&quot;£&quot;#,##0.00"/>
    <numFmt numFmtId="170" formatCode="#,##0_);\(#,##0\);\-\-_)"/>
    <numFmt numFmtId="171" formatCode="_-&quot;£&quot;* #,##0_-;\-&quot;£&quot;* #,##0_-;_-&quot;£&quot;* &quot;-&quot;_-;_-@_-"/>
    <numFmt numFmtId="172" formatCode="&quot;£&quot;#,##0;\-&quot;£&quot;#,##0"/>
    <numFmt numFmtId="173" formatCode="&quot;£&quot;#,##0"/>
    <numFmt numFmtId="174" formatCode="_-* #,##0.00_-;\-* #,##0.00_-;_-* &quot;-&quot;??_-;_-@_-"/>
    <numFmt numFmtId="175" formatCode="_-&quot;£&quot;* #,##0_-;\-&quot;£&quot;* #,##0_-;_-&quot;£&quot;* &quot;-&quot;_-;_-@"/>
    <numFmt numFmtId="176" formatCode="_-* #,##0_-;\-* #,##0_-;_-* &quot;-&quot;??_-;_-@"/>
    <numFmt numFmtId="177" formatCode="#,##0;\(#,##0\)"/>
    <numFmt numFmtId="178" formatCode="&quot; &quot;* #,##0.00&quot; &quot;;&quot;-&quot;* #,##0.00&quot; &quot;;&quot; &quot;* &quot;-&quot;#&quot; &quot;;&quot; &quot;@&quot; &quot;"/>
  </numFmts>
  <fonts count="43" x14ac:knownFonts="1">
    <font>
      <sz val="11"/>
      <color theme="1"/>
      <name val="Calibri"/>
      <family val="2"/>
      <scheme val="minor"/>
    </font>
    <font>
      <sz val="11"/>
      <color theme="1"/>
      <name val="Calibri"/>
      <family val="2"/>
      <scheme val="minor"/>
    </font>
    <font>
      <sz val="11"/>
      <color indexed="8"/>
      <name val="Calibri"/>
      <family val="2"/>
      <scheme val="minor"/>
    </font>
    <font>
      <sz val="8"/>
      <name val="Calibri"/>
      <family val="2"/>
      <scheme val="minor"/>
    </font>
    <font>
      <sz val="8"/>
      <color theme="1"/>
      <name val="Arial"/>
      <family val="2"/>
    </font>
    <font>
      <sz val="11"/>
      <color rgb="FF000000"/>
      <name val="Calibri"/>
      <family val="2"/>
    </font>
    <font>
      <b/>
      <sz val="9"/>
      <color rgb="FF000000"/>
      <name val="Calibri"/>
      <family val="2"/>
    </font>
    <font>
      <sz val="9"/>
      <color rgb="FF000000"/>
      <name val="Calibri"/>
      <family val="2"/>
    </font>
    <font>
      <b/>
      <u/>
      <sz val="11"/>
      <color theme="1"/>
      <name val="Calibri"/>
      <family val="2"/>
      <scheme val="minor"/>
    </font>
    <font>
      <sz val="9"/>
      <color theme="0" tint="-0.249977111117893"/>
      <name val="Calibri"/>
      <family val="2"/>
    </font>
    <font>
      <strike/>
      <sz val="11"/>
      <color theme="1"/>
      <name val="Calibri"/>
      <family val="2"/>
      <scheme val="minor"/>
    </font>
    <font>
      <b/>
      <strike/>
      <sz val="11"/>
      <color theme="1"/>
      <name val="Calibri"/>
      <family val="2"/>
      <scheme val="minor"/>
    </font>
    <font>
      <sz val="10"/>
      <name val="Arial"/>
      <family val="2"/>
    </font>
    <font>
      <sz val="8"/>
      <color theme="1"/>
      <name val="Calibri"/>
      <family val="2"/>
      <scheme val="minor"/>
    </font>
    <font>
      <sz val="11"/>
      <color rgb="FFFF0000"/>
      <name val="Calibri"/>
      <family val="2"/>
      <scheme val="minor"/>
    </font>
    <font>
      <b/>
      <sz val="11"/>
      <color theme="1"/>
      <name val="Calibri"/>
      <family val="2"/>
      <scheme val="minor"/>
    </font>
    <font>
      <b/>
      <u/>
      <sz val="10"/>
      <color theme="1"/>
      <name val="Calibri"/>
      <family val="2"/>
      <scheme val="minor"/>
    </font>
    <font>
      <sz val="10"/>
      <color theme="1"/>
      <name val="Calibri"/>
      <family val="2"/>
      <scheme val="minor"/>
    </font>
    <font>
      <sz val="10"/>
      <name val="Calibri"/>
      <family val="2"/>
      <scheme val="minor"/>
    </font>
    <font>
      <sz val="9"/>
      <name val="Calibri"/>
      <family val="2"/>
      <scheme val="minor"/>
    </font>
    <font>
      <b/>
      <sz val="8"/>
      <color theme="1"/>
      <name val="Calibri"/>
      <family val="2"/>
      <scheme val="minor"/>
    </font>
    <font>
      <b/>
      <sz val="9"/>
      <name val="Calibri"/>
      <family val="2"/>
      <scheme val="minor"/>
    </font>
    <font>
      <sz val="8"/>
      <color theme="0"/>
      <name val="Calibri"/>
      <family val="2"/>
      <scheme val="minor"/>
    </font>
    <font>
      <b/>
      <u/>
      <sz val="8"/>
      <color theme="1"/>
      <name val="Calibri"/>
      <family val="2"/>
      <scheme val="minor"/>
    </font>
    <font>
      <b/>
      <sz val="8"/>
      <color rgb="FF000000"/>
      <name val="Calibri"/>
      <family val="2"/>
      <scheme val="minor"/>
    </font>
    <font>
      <sz val="8"/>
      <color rgb="FF000000"/>
      <name val="Calibri"/>
      <family val="2"/>
      <scheme val="minor"/>
    </font>
    <font>
      <sz val="9"/>
      <color theme="1"/>
      <name val="Calibri"/>
      <family val="2"/>
      <scheme val="minor"/>
    </font>
    <font>
      <b/>
      <sz val="8"/>
      <color rgb="FFFF0000"/>
      <name val="Calibri"/>
      <family val="2"/>
      <scheme val="minor"/>
    </font>
    <font>
      <b/>
      <sz val="11"/>
      <color rgb="FF000000"/>
      <name val="Calibri"/>
      <family val="2"/>
      <scheme val="minor"/>
    </font>
    <font>
      <sz val="6"/>
      <color theme="1"/>
      <name val="Calibri"/>
      <family val="2"/>
      <scheme val="minor"/>
    </font>
    <font>
      <b/>
      <sz val="6"/>
      <color theme="1"/>
      <name val="Calibri"/>
      <family val="2"/>
      <scheme val="minor"/>
    </font>
    <font>
      <b/>
      <sz val="8"/>
      <name val="Calibri"/>
      <family val="2"/>
      <scheme val="minor"/>
    </font>
    <font>
      <b/>
      <sz val="9"/>
      <color theme="1"/>
      <name val="Calibri"/>
      <family val="2"/>
      <scheme val="minor"/>
    </font>
    <font>
      <b/>
      <sz val="8"/>
      <color theme="1"/>
      <name val="Calibri"/>
    </font>
    <font>
      <sz val="8"/>
      <color theme="1"/>
      <name val="Calibri"/>
    </font>
    <font>
      <b/>
      <sz val="8"/>
      <color rgb="FF000000"/>
      <name val="Calibri"/>
    </font>
    <font>
      <b/>
      <sz val="12"/>
      <color theme="1"/>
      <name val="Calibri"/>
      <family val="2"/>
      <scheme val="minor"/>
    </font>
    <font>
      <sz val="6"/>
      <color rgb="FF000000"/>
      <name val="Calibri"/>
      <family val="2"/>
      <scheme val="minor"/>
    </font>
    <font>
      <i/>
      <sz val="11"/>
      <color theme="1"/>
      <name val="Calibri"/>
      <family val="2"/>
      <scheme val="minor"/>
    </font>
    <font>
      <b/>
      <i/>
      <sz val="11"/>
      <color theme="1"/>
      <name val="Calibri"/>
      <family val="2"/>
      <scheme val="minor"/>
    </font>
    <font>
      <b/>
      <sz val="16"/>
      <color theme="1"/>
      <name val="Calibri"/>
      <family val="2"/>
      <scheme val="minor"/>
    </font>
    <font>
      <b/>
      <sz val="24"/>
      <color rgb="FF156082"/>
      <name val="Calibri"/>
      <family val="2"/>
      <scheme val="minor"/>
    </font>
    <font>
      <b/>
      <sz val="14"/>
      <color rgb="FF156082"/>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rgb="FFD9D9D9"/>
        <bgColor rgb="FFD9D9D9"/>
      </patternFill>
    </fill>
    <fill>
      <patternFill patternType="solid">
        <fgColor rgb="FFE2EFDA"/>
        <bgColor rgb="FFE2EFDA"/>
      </patternFill>
    </fill>
    <fill>
      <patternFill patternType="solid">
        <fgColor rgb="FFFFFF66"/>
        <bgColor indexed="64"/>
      </patternFill>
    </fill>
    <fill>
      <patternFill patternType="solid">
        <fgColor theme="0" tint="-0.14999847407452621"/>
        <bgColor rgb="FFE2EFDA"/>
      </patternFill>
    </fill>
    <fill>
      <patternFill patternType="solid">
        <fgColor theme="0" tint="-0.34998626667073579"/>
        <bgColor indexed="64"/>
      </patternFill>
    </fill>
    <fill>
      <patternFill patternType="solid">
        <fgColor rgb="FF00B0F0"/>
        <bgColor indexed="64"/>
      </patternFill>
    </fill>
    <fill>
      <patternFill patternType="solid">
        <fgColor rgb="FFEF35FD"/>
        <bgColor indexed="64"/>
      </patternFill>
    </fill>
    <fill>
      <patternFill patternType="solid">
        <fgColor theme="8" tint="0.79998168889431442"/>
        <bgColor theme="8" tint="0.79998168889431442"/>
      </patternFill>
    </fill>
    <fill>
      <patternFill patternType="solid">
        <fgColor rgb="FFFFFFCC"/>
        <bgColor indexed="64"/>
      </patternFill>
    </fill>
    <fill>
      <patternFill patternType="solid">
        <fgColor theme="8" tint="0.79998168889431442"/>
        <bgColor indexed="64"/>
      </patternFill>
    </fill>
    <fill>
      <patternFill patternType="solid">
        <fgColor rgb="FFFFFFCC"/>
        <bgColor rgb="FFFFFFCC"/>
      </patternFill>
    </fill>
    <fill>
      <patternFill patternType="solid">
        <fgColor rgb="FFFFFF00"/>
        <bgColor rgb="FFFFFF00"/>
      </patternFill>
    </fill>
  </fills>
  <borders count="34">
    <border>
      <left/>
      <right/>
      <top/>
      <bottom/>
      <diagonal/>
    </border>
    <border>
      <left/>
      <right/>
      <top/>
      <bottom style="thin">
        <color auto="1"/>
      </bottom>
      <diagonal/>
    </border>
    <border>
      <left/>
      <right/>
      <top style="thin">
        <color auto="1"/>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9">
    <xf numFmtId="0" fontId="0" fillId="0" borderId="0"/>
    <xf numFmtId="174" fontId="1" fillId="0" borderId="0"/>
    <xf numFmtId="9" fontId="1" fillId="0" borderId="0"/>
    <xf numFmtId="0" fontId="2" fillId="0" borderId="0"/>
    <xf numFmtId="0" fontId="5" fillId="0" borderId="0"/>
    <xf numFmtId="178" fontId="5" fillId="0" borderId="0"/>
    <xf numFmtId="174" fontId="1" fillId="0" borderId="0"/>
    <xf numFmtId="9" fontId="5" fillId="0" borderId="0"/>
    <xf numFmtId="0" fontId="12" fillId="0" borderId="0">
      <alignment vertical="center"/>
    </xf>
  </cellStyleXfs>
  <cellXfs count="286">
    <xf numFmtId="0" fontId="0" fillId="0" borderId="0" xfId="0"/>
    <xf numFmtId="0" fontId="4" fillId="0" borderId="0" xfId="0" applyFont="1"/>
    <xf numFmtId="9" fontId="4" fillId="0" borderId="0" xfId="0" applyNumberFormat="1" applyFont="1"/>
    <xf numFmtId="0" fontId="6" fillId="5" borderId="0" xfId="4" applyFont="1" applyFill="1" applyAlignment="1">
      <alignment horizontal="center"/>
    </xf>
    <xf numFmtId="17" fontId="6" fillId="5" borderId="0" xfId="4" applyNumberFormat="1" applyFont="1" applyFill="1" applyAlignment="1">
      <alignment horizontal="center"/>
    </xf>
    <xf numFmtId="0" fontId="8" fillId="0" borderId="0" xfId="0" applyFont="1"/>
    <xf numFmtId="0" fontId="7" fillId="6" borderId="14" xfId="4" applyFont="1" applyFill="1" applyBorder="1"/>
    <xf numFmtId="0" fontId="7" fillId="0" borderId="14" xfId="4" applyFont="1" applyBorder="1"/>
    <xf numFmtId="164" fontId="7" fillId="0" borderId="14" xfId="4" applyNumberFormat="1" applyFont="1" applyBorder="1"/>
    <xf numFmtId="0" fontId="0" fillId="0" borderId="0" xfId="0" applyAlignment="1">
      <alignment wrapText="1"/>
    </xf>
    <xf numFmtId="14" fontId="4" fillId="0" borderId="0" xfId="0" applyNumberFormat="1" applyFont="1" applyProtection="1">
      <protection locked="0"/>
    </xf>
    <xf numFmtId="165" fontId="0" fillId="0" borderId="0" xfId="1" applyNumberFormat="1" applyFont="1"/>
    <xf numFmtId="165" fontId="0" fillId="0" borderId="0" xfId="0" applyNumberFormat="1"/>
    <xf numFmtId="165" fontId="4" fillId="7" borderId="0" xfId="1" applyNumberFormat="1" applyFont="1" applyFill="1" applyProtection="1">
      <protection locked="0"/>
    </xf>
    <xf numFmtId="9" fontId="4" fillId="7" borderId="0" xfId="0" applyNumberFormat="1" applyFont="1" applyFill="1" applyProtection="1">
      <protection locked="0"/>
    </xf>
    <xf numFmtId="0" fontId="6" fillId="5" borderId="0" xfId="4" applyFont="1" applyFill="1" applyAlignment="1">
      <alignment horizontal="center" wrapText="1"/>
    </xf>
    <xf numFmtId="164" fontId="7" fillId="0" borderId="0" xfId="5" applyNumberFormat="1" applyFont="1"/>
    <xf numFmtId="0" fontId="7" fillId="8" borderId="14" xfId="4" applyFont="1" applyFill="1" applyBorder="1"/>
    <xf numFmtId="0" fontId="7" fillId="2" borderId="14" xfId="4" applyFont="1" applyFill="1" applyBorder="1"/>
    <xf numFmtId="164" fontId="7" fillId="2" borderId="14" xfId="4" applyNumberFormat="1" applyFont="1" applyFill="1" applyBorder="1"/>
    <xf numFmtId="0" fontId="7" fillId="8" borderId="0" xfId="4" applyFont="1" applyFill="1"/>
    <xf numFmtId="14" fontId="7" fillId="8" borderId="0" xfId="4" applyNumberFormat="1" applyFont="1" applyFill="1"/>
    <xf numFmtId="0" fontId="9" fillId="8" borderId="0" xfId="4" applyFont="1" applyFill="1"/>
    <xf numFmtId="14" fontId="9" fillId="8" borderId="0" xfId="4" applyNumberFormat="1" applyFont="1" applyFill="1"/>
    <xf numFmtId="0" fontId="10" fillId="0" borderId="0" xfId="0" applyFont="1"/>
    <xf numFmtId="17" fontId="10" fillId="0" borderId="6" xfId="0" applyNumberFormat="1" applyFont="1" applyBorder="1"/>
    <xf numFmtId="17" fontId="10" fillId="0" borderId="7" xfId="0" applyNumberFormat="1" applyFont="1" applyBorder="1"/>
    <xf numFmtId="17" fontId="10" fillId="0" borderId="8" xfId="0" applyNumberFormat="1" applyFont="1" applyBorder="1"/>
    <xf numFmtId="17" fontId="10" fillId="0" borderId="9" xfId="0" applyNumberFormat="1" applyFont="1" applyBorder="1"/>
    <xf numFmtId="17" fontId="10" fillId="0" borderId="0" xfId="0" applyNumberFormat="1" applyFont="1"/>
    <xf numFmtId="17" fontId="10" fillId="0" borderId="10" xfId="0" applyNumberFormat="1" applyFont="1" applyBorder="1"/>
    <xf numFmtId="165" fontId="10" fillId="0" borderId="9" xfId="1" applyNumberFormat="1" applyFont="1" applyBorder="1"/>
    <xf numFmtId="165" fontId="10" fillId="0" borderId="0" xfId="1" applyNumberFormat="1" applyFont="1"/>
    <xf numFmtId="165" fontId="10" fillId="0" borderId="10" xfId="1" applyNumberFormat="1" applyFont="1" applyBorder="1"/>
    <xf numFmtId="0" fontId="11" fillId="0" borderId="0" xfId="0" applyFont="1"/>
    <xf numFmtId="165" fontId="11" fillId="10" borderId="9" xfId="1" applyNumberFormat="1" applyFont="1" applyFill="1" applyBorder="1"/>
    <xf numFmtId="165" fontId="11" fillId="10" borderId="0" xfId="1" applyNumberFormat="1" applyFont="1" applyFill="1"/>
    <xf numFmtId="165" fontId="11" fillId="10" borderId="10" xfId="1" applyNumberFormat="1" applyFont="1" applyFill="1" applyBorder="1"/>
    <xf numFmtId="165" fontId="10" fillId="9" borderId="9" xfId="1" applyNumberFormat="1" applyFont="1" applyFill="1" applyBorder="1"/>
    <xf numFmtId="165" fontId="10" fillId="9" borderId="0" xfId="1" applyNumberFormat="1" applyFont="1" applyFill="1"/>
    <xf numFmtId="165" fontId="10" fillId="9" borderId="10" xfId="1" applyNumberFormat="1" applyFont="1" applyFill="1" applyBorder="1"/>
    <xf numFmtId="165" fontId="11" fillId="10" borderId="11" xfId="1" applyNumberFormat="1" applyFont="1" applyFill="1" applyBorder="1"/>
    <xf numFmtId="165" fontId="11" fillId="10" borderId="12" xfId="1" applyNumberFormat="1" applyFont="1" applyFill="1" applyBorder="1"/>
    <xf numFmtId="165" fontId="11" fillId="10" borderId="13" xfId="1" applyNumberFormat="1" applyFont="1" applyFill="1" applyBorder="1"/>
    <xf numFmtId="165" fontId="11" fillId="3" borderId="12" xfId="1" applyNumberFormat="1" applyFont="1" applyFill="1" applyBorder="1"/>
    <xf numFmtId="0" fontId="10" fillId="4" borderId="0" xfId="0" applyFont="1" applyFill="1"/>
    <xf numFmtId="165" fontId="10" fillId="4" borderId="0" xfId="1" applyNumberFormat="1" applyFont="1" applyFill="1"/>
    <xf numFmtId="10" fontId="10" fillId="4" borderId="0" xfId="2" applyNumberFormat="1" applyFont="1" applyFill="1"/>
    <xf numFmtId="0" fontId="11" fillId="10" borderId="0" xfId="0" applyFont="1" applyFill="1"/>
    <xf numFmtId="0" fontId="10" fillId="10" borderId="6" xfId="0" applyFont="1" applyFill="1" applyBorder="1"/>
    <xf numFmtId="0" fontId="10" fillId="10" borderId="7" xfId="0" applyFont="1" applyFill="1" applyBorder="1"/>
    <xf numFmtId="0" fontId="10" fillId="0" borderId="7" xfId="0" applyFont="1" applyBorder="1"/>
    <xf numFmtId="0" fontId="10" fillId="0" borderId="8" xfId="0" applyFont="1" applyBorder="1"/>
    <xf numFmtId="9" fontId="11" fillId="10" borderId="0" xfId="0" applyNumberFormat="1" applyFont="1" applyFill="1"/>
    <xf numFmtId="0" fontId="10" fillId="0" borderId="9" xfId="0" applyFont="1" applyBorder="1"/>
    <xf numFmtId="0" fontId="10" fillId="0" borderId="10" xfId="0" applyFont="1" applyBorder="1"/>
    <xf numFmtId="166" fontId="10" fillId="11" borderId="4" xfId="2" applyNumberFormat="1" applyFont="1" applyFill="1" applyBorder="1"/>
    <xf numFmtId="0" fontId="10" fillId="9" borderId="0" xfId="0" applyFont="1" applyFill="1"/>
    <xf numFmtId="9" fontId="10" fillId="10" borderId="0" xfId="0" applyNumberFormat="1" applyFont="1" applyFill="1"/>
    <xf numFmtId="167" fontId="11" fillId="10" borderId="0" xfId="0" applyNumberFormat="1" applyFont="1" applyFill="1"/>
    <xf numFmtId="167" fontId="10" fillId="0" borderId="0" xfId="0" applyNumberFormat="1" applyFont="1"/>
    <xf numFmtId="0" fontId="10" fillId="10" borderId="0" xfId="0" applyFont="1" applyFill="1"/>
    <xf numFmtId="10" fontId="10" fillId="0" borderId="0" xfId="0" applyNumberFormat="1" applyFont="1"/>
    <xf numFmtId="9" fontId="10" fillId="0" borderId="0" xfId="0" applyNumberFormat="1" applyFont="1"/>
    <xf numFmtId="168" fontId="10" fillId="0" borderId="0" xfId="0" applyNumberFormat="1" applyFont="1"/>
    <xf numFmtId="0" fontId="10" fillId="0" borderId="11" xfId="0" applyFont="1" applyBorder="1"/>
    <xf numFmtId="0" fontId="10" fillId="0" borderId="12" xfId="0" applyFont="1" applyBorder="1"/>
    <xf numFmtId="0" fontId="10" fillId="0" borderId="13" xfId="0" applyFont="1" applyBorder="1"/>
    <xf numFmtId="10" fontId="11" fillId="10" borderId="0" xfId="0" applyNumberFormat="1" applyFont="1" applyFill="1"/>
    <xf numFmtId="10" fontId="10" fillId="0" borderId="0" xfId="2" applyNumberFormat="1" applyFont="1"/>
    <xf numFmtId="0" fontId="13" fillId="0" borderId="0" xfId="0" applyFont="1" applyAlignment="1">
      <alignment horizontal="left"/>
    </xf>
    <xf numFmtId="9" fontId="13" fillId="0" borderId="0" xfId="0" applyNumberFormat="1" applyFont="1" applyAlignment="1">
      <alignment horizontal="center"/>
    </xf>
    <xf numFmtId="0" fontId="3" fillId="0" borderId="0" xfId="0" applyFont="1" applyAlignment="1">
      <alignment horizontal="right"/>
    </xf>
    <xf numFmtId="0" fontId="13" fillId="0" borderId="15" xfId="0" applyFont="1" applyBorder="1" applyAlignment="1">
      <alignment horizontal="left"/>
    </xf>
    <xf numFmtId="0" fontId="13" fillId="3" borderId="16" xfId="0" applyFont="1" applyFill="1" applyBorder="1" applyAlignment="1" applyProtection="1">
      <alignment horizontal="center"/>
      <protection locked="0"/>
    </xf>
    <xf numFmtId="3" fontId="3" fillId="3" borderId="16" xfId="0" applyNumberFormat="1" applyFont="1" applyFill="1" applyBorder="1" applyAlignment="1" applyProtection="1">
      <alignment horizontal="center" vertical="center"/>
      <protection locked="0"/>
    </xf>
    <xf numFmtId="0" fontId="16" fillId="0" borderId="0" xfId="0" applyFont="1" applyAlignment="1">
      <alignment horizontal="right"/>
    </xf>
    <xf numFmtId="0" fontId="18" fillId="0" borderId="15" xfId="0" applyFont="1" applyBorder="1" applyAlignment="1">
      <alignment horizontal="right" vertical="center"/>
    </xf>
    <xf numFmtId="4" fontId="3" fillId="3" borderId="17" xfId="0" applyNumberFormat="1" applyFont="1" applyFill="1" applyBorder="1" applyAlignment="1" applyProtection="1">
      <alignment horizontal="left" vertical="center"/>
      <protection locked="0"/>
    </xf>
    <xf numFmtId="2" fontId="3" fillId="3" borderId="3" xfId="0" applyNumberFormat="1" applyFont="1" applyFill="1" applyBorder="1" applyAlignment="1" applyProtection="1">
      <alignment horizontal="left" vertical="center"/>
      <protection locked="0"/>
    </xf>
    <xf numFmtId="169" fontId="3" fillId="0" borderId="17" xfId="0" applyNumberFormat="1" applyFont="1" applyBorder="1" applyAlignment="1">
      <alignment horizontal="left" vertical="center"/>
    </xf>
    <xf numFmtId="9" fontId="3" fillId="0" borderId="17" xfId="2" applyFont="1" applyBorder="1" applyAlignment="1">
      <alignment horizontal="left" vertical="top"/>
    </xf>
    <xf numFmtId="0" fontId="19" fillId="0" borderId="17" xfId="0" applyFont="1" applyBorder="1" applyAlignment="1">
      <alignment horizontal="left" vertical="center"/>
    </xf>
    <xf numFmtId="4" fontId="3" fillId="3" borderId="16" xfId="0" applyNumberFormat="1" applyFont="1" applyFill="1" applyBorder="1" applyAlignment="1" applyProtection="1">
      <alignment horizontal="center" vertical="center"/>
      <protection locked="0"/>
    </xf>
    <xf numFmtId="0" fontId="8" fillId="0" borderId="1" xfId="0" applyFont="1" applyBorder="1"/>
    <xf numFmtId="0" fontId="13" fillId="0" borderId="0" xfId="0" applyFont="1" applyAlignment="1" applyProtection="1">
      <alignment horizontal="center"/>
      <protection locked="0"/>
    </xf>
    <xf numFmtId="0" fontId="0" fillId="0" borderId="0" xfId="0" applyAlignment="1" applyProtection="1">
      <alignment horizontal="right"/>
      <protection locked="0"/>
    </xf>
    <xf numFmtId="0" fontId="15" fillId="0" borderId="0" xfId="0" applyFont="1" applyAlignment="1">
      <alignment horizontal="right"/>
    </xf>
    <xf numFmtId="0" fontId="20" fillId="0" borderId="0" xfId="0" applyFont="1"/>
    <xf numFmtId="0" fontId="20" fillId="0" borderId="0" xfId="0" applyFont="1" applyAlignment="1">
      <alignment wrapText="1"/>
    </xf>
    <xf numFmtId="0" fontId="20" fillId="0" borderId="0" xfId="0" applyFont="1" applyAlignment="1">
      <alignment horizontal="right"/>
    </xf>
    <xf numFmtId="0" fontId="20" fillId="3" borderId="0" xfId="0" applyFont="1" applyFill="1" applyAlignment="1">
      <alignment horizontal="right"/>
    </xf>
    <xf numFmtId="0" fontId="13" fillId="0" borderId="15" xfId="0" applyFont="1" applyBorder="1" applyAlignment="1">
      <alignment horizontal="right"/>
    </xf>
    <xf numFmtId="0" fontId="13" fillId="12" borderId="16" xfId="0" applyFont="1" applyFill="1" applyBorder="1" applyAlignment="1">
      <alignment horizontal="right"/>
    </xf>
    <xf numFmtId="0" fontId="13" fillId="0" borderId="0" xfId="0" applyFont="1" applyProtection="1">
      <protection locked="0"/>
    </xf>
    <xf numFmtId="0" fontId="20" fillId="13" borderId="0" xfId="0" applyFont="1" applyFill="1" applyAlignment="1" applyProtection="1">
      <alignment horizontal="center"/>
      <protection locked="0"/>
    </xf>
    <xf numFmtId="170" fontId="22" fillId="0" borderId="0" xfId="0" applyNumberFormat="1" applyFont="1"/>
    <xf numFmtId="170" fontId="13" fillId="3" borderId="0" xfId="0" applyNumberFormat="1" applyFont="1" applyFill="1" applyProtection="1">
      <protection locked="0"/>
    </xf>
    <xf numFmtId="1" fontId="13" fillId="3" borderId="0" xfId="0" applyNumberFormat="1" applyFont="1" applyFill="1" applyProtection="1">
      <protection locked="0"/>
    </xf>
    <xf numFmtId="9" fontId="13" fillId="0" borderId="0" xfId="0" applyNumberFormat="1" applyFont="1" applyAlignment="1" applyProtection="1">
      <alignment horizontal="center"/>
      <protection locked="0"/>
    </xf>
    <xf numFmtId="0" fontId="0" fillId="0" borderId="0" xfId="0" applyProtection="1">
      <protection locked="0"/>
    </xf>
    <xf numFmtId="170" fontId="13" fillId="12" borderId="16" xfId="0" applyNumberFormat="1" applyFont="1" applyFill="1" applyBorder="1" applyProtection="1">
      <protection locked="0"/>
    </xf>
    <xf numFmtId="0" fontId="14" fillId="0" borderId="0" xfId="0" applyFont="1"/>
    <xf numFmtId="14" fontId="13" fillId="12" borderId="16" xfId="0" applyNumberFormat="1" applyFont="1" applyFill="1" applyBorder="1" applyProtection="1">
      <protection locked="0"/>
    </xf>
    <xf numFmtId="0" fontId="13" fillId="0" borderId="0" xfId="0" applyFont="1" applyAlignment="1">
      <alignment horizontal="right"/>
    </xf>
    <xf numFmtId="14" fontId="13" fillId="14" borderId="0" xfId="0" applyNumberFormat="1" applyFont="1" applyFill="1" applyProtection="1">
      <protection locked="0"/>
    </xf>
    <xf numFmtId="0" fontId="0" fillId="0" borderId="0" xfId="0" applyAlignment="1">
      <alignment horizontal="right"/>
    </xf>
    <xf numFmtId="0" fontId="0" fillId="14" borderId="0" xfId="0" applyFill="1"/>
    <xf numFmtId="0" fontId="13" fillId="13" borderId="0" xfId="0" applyFont="1" applyFill="1" applyProtection="1">
      <protection locked="0"/>
    </xf>
    <xf numFmtId="9" fontId="13" fillId="3" borderId="0" xfId="0" applyNumberFormat="1" applyFont="1" applyFill="1" applyAlignment="1" applyProtection="1">
      <alignment horizontal="center"/>
      <protection locked="0"/>
    </xf>
    <xf numFmtId="0" fontId="23" fillId="0" borderId="0" xfId="0" applyFont="1"/>
    <xf numFmtId="0" fontId="13" fillId="0" borderId="0" xfId="0" applyFont="1" applyAlignment="1">
      <alignment horizontal="center"/>
    </xf>
    <xf numFmtId="0" fontId="13" fillId="0" borderId="17" xfId="0" applyFont="1" applyBorder="1" applyAlignment="1">
      <alignment horizontal="right"/>
    </xf>
    <xf numFmtId="9" fontId="13" fillId="12" borderId="17" xfId="0" applyNumberFormat="1" applyFont="1" applyFill="1" applyBorder="1"/>
    <xf numFmtId="9" fontId="17" fillId="3" borderId="0" xfId="0" applyNumberFormat="1" applyFont="1" applyFill="1" applyAlignment="1" applyProtection="1">
      <alignment horizontal="right"/>
      <protection locked="0"/>
    </xf>
    <xf numFmtId="3" fontId="3" fillId="13" borderId="0" xfId="0" applyNumberFormat="1" applyFont="1" applyFill="1" applyAlignment="1" applyProtection="1">
      <alignment horizontal="right" vertical="center"/>
      <protection locked="0"/>
    </xf>
    <xf numFmtId="0" fontId="13" fillId="0" borderId="0" xfId="0" applyFont="1"/>
    <xf numFmtId="0" fontId="0" fillId="0" borderId="17" xfId="0" applyBorder="1" applyAlignment="1">
      <alignment horizontal="right"/>
    </xf>
    <xf numFmtId="171" fontId="24" fillId="12" borderId="17" xfId="0" applyNumberFormat="1" applyFont="1" applyFill="1" applyBorder="1" applyAlignment="1" applyProtection="1">
      <alignment horizontal="center" vertical="center"/>
      <protection locked="0"/>
    </xf>
    <xf numFmtId="171" fontId="24" fillId="0" borderId="15" xfId="0" applyNumberFormat="1" applyFont="1" applyBorder="1" applyAlignment="1">
      <alignment horizontal="center" vertical="center"/>
    </xf>
    <xf numFmtId="171" fontId="25" fillId="12" borderId="17" xfId="0" applyNumberFormat="1" applyFont="1" applyFill="1" applyBorder="1" applyAlignment="1" applyProtection="1">
      <alignment horizontal="center" vertical="center"/>
      <protection locked="0"/>
    </xf>
    <xf numFmtId="0" fontId="26" fillId="0" borderId="0" xfId="0" applyFont="1"/>
    <xf numFmtId="0" fontId="20" fillId="0" borderId="0" xfId="0" applyFont="1" applyAlignment="1" applyProtection="1">
      <alignment horizontal="center" vertical="center"/>
      <protection locked="0"/>
    </xf>
    <xf numFmtId="0" fontId="27" fillId="0" borderId="0" xfId="0" applyFont="1" applyAlignment="1">
      <alignment horizontal="left" vertical="center"/>
    </xf>
    <xf numFmtId="170" fontId="13" fillId="0" borderId="0" xfId="0" applyNumberFormat="1" applyFont="1" applyProtection="1">
      <protection locked="0"/>
    </xf>
    <xf numFmtId="14" fontId="13" fillId="0" borderId="0" xfId="0" applyNumberFormat="1" applyFont="1" applyProtection="1">
      <protection locked="0"/>
    </xf>
    <xf numFmtId="17" fontId="25" fillId="0" borderId="0" xfId="0" applyNumberFormat="1" applyFont="1" applyAlignment="1">
      <alignment horizontal="center" vertical="center"/>
    </xf>
    <xf numFmtId="17" fontId="24" fillId="0" borderId="0" xfId="0" applyNumberFormat="1" applyFont="1" applyAlignment="1">
      <alignment horizontal="center" vertical="center"/>
    </xf>
    <xf numFmtId="17" fontId="28" fillId="0" borderId="0" xfId="0" applyNumberFormat="1" applyFont="1" applyAlignment="1">
      <alignment horizontal="center" vertical="center"/>
    </xf>
    <xf numFmtId="0" fontId="29" fillId="0" borderId="0" xfId="0" applyFont="1" applyAlignment="1">
      <alignment horizontal="center"/>
    </xf>
    <xf numFmtId="0" fontId="29" fillId="0" borderId="0" xfId="0" applyFont="1"/>
    <xf numFmtId="0" fontId="30" fillId="0" borderId="1" xfId="0" applyFont="1" applyBorder="1" applyAlignment="1">
      <alignment horizontal="right"/>
    </xf>
    <xf numFmtId="0" fontId="16" fillId="0" borderId="0" xfId="0" applyFont="1"/>
    <xf numFmtId="9" fontId="3" fillId="0" borderId="0" xfId="2" applyFont="1" applyAlignment="1">
      <alignment horizontal="right" vertical="center"/>
    </xf>
    <xf numFmtId="9" fontId="3" fillId="0" borderId="0" xfId="2" applyFont="1" applyAlignment="1">
      <alignment horizontal="center" vertical="center"/>
    </xf>
    <xf numFmtId="0" fontId="24" fillId="0" borderId="0" xfId="0" applyFont="1" applyAlignment="1">
      <alignment horizontal="center" vertical="center"/>
    </xf>
    <xf numFmtId="0" fontId="31" fillId="0" borderId="18" xfId="0" applyFont="1" applyBorder="1" applyAlignment="1">
      <alignment horizontal="left" vertical="center"/>
    </xf>
    <xf numFmtId="3" fontId="3" fillId="13" borderId="19" xfId="0" applyNumberFormat="1" applyFont="1" applyFill="1" applyBorder="1" applyAlignment="1" applyProtection="1">
      <alignment horizontal="right" vertical="center"/>
      <protection locked="0"/>
    </xf>
    <xf numFmtId="165" fontId="3" fillId="3" borderId="18" xfId="1" applyNumberFormat="1" applyFont="1" applyFill="1" applyBorder="1" applyAlignment="1" applyProtection="1">
      <alignment horizontal="center"/>
      <protection locked="0"/>
    </xf>
    <xf numFmtId="165" fontId="3" fillId="3" borderId="2" xfId="1" applyNumberFormat="1" applyFont="1" applyFill="1" applyBorder="1" applyAlignment="1" applyProtection="1">
      <alignment horizontal="center"/>
      <protection locked="0"/>
    </xf>
    <xf numFmtId="171" fontId="3" fillId="0" borderId="2" xfId="1" applyNumberFormat="1" applyFont="1" applyBorder="1" applyAlignment="1">
      <alignment horizontal="center"/>
    </xf>
    <xf numFmtId="171" fontId="3" fillId="0" borderId="18" xfId="1" applyNumberFormat="1" applyFont="1" applyBorder="1" applyAlignment="1">
      <alignment horizontal="center"/>
    </xf>
    <xf numFmtId="171" fontId="3" fillId="0" borderId="19" xfId="1" applyNumberFormat="1" applyFont="1" applyBorder="1" applyAlignment="1">
      <alignment horizontal="center"/>
    </xf>
    <xf numFmtId="172" fontId="3" fillId="0" borderId="0" xfId="1" applyNumberFormat="1" applyFont="1" applyAlignment="1">
      <alignment horizontal="center"/>
    </xf>
    <xf numFmtId="0" fontId="0" fillId="14" borderId="17" xfId="0" applyFill="1" applyBorder="1"/>
    <xf numFmtId="0" fontId="31" fillId="0" borderId="5" xfId="0" applyFont="1" applyBorder="1" applyAlignment="1">
      <alignment horizontal="left" vertical="center"/>
    </xf>
    <xf numFmtId="3" fontId="3" fillId="13" borderId="20" xfId="0" applyNumberFormat="1" applyFont="1" applyFill="1" applyBorder="1" applyAlignment="1" applyProtection="1">
      <alignment horizontal="right" vertical="center"/>
      <protection locked="0"/>
    </xf>
    <xf numFmtId="165" fontId="3" fillId="3" borderId="5" xfId="1" applyNumberFormat="1" applyFont="1" applyFill="1" applyBorder="1" applyAlignment="1" applyProtection="1">
      <alignment horizontal="center"/>
      <protection locked="0"/>
    </xf>
    <xf numFmtId="165" fontId="3" fillId="3" borderId="0" xfId="1" applyNumberFormat="1" applyFont="1" applyFill="1" applyAlignment="1" applyProtection="1">
      <alignment horizontal="center"/>
      <protection locked="0"/>
    </xf>
    <xf numFmtId="165" fontId="3" fillId="3" borderId="20" xfId="1" applyNumberFormat="1" applyFont="1" applyFill="1" applyBorder="1" applyAlignment="1" applyProtection="1">
      <alignment horizontal="center"/>
      <protection locked="0"/>
    </xf>
    <xf numFmtId="171" fontId="3" fillId="0" borderId="0" xfId="1" applyNumberFormat="1" applyFont="1" applyAlignment="1">
      <alignment horizontal="center"/>
    </xf>
    <xf numFmtId="171" fontId="3" fillId="0" borderId="5" xfId="1" applyNumberFormat="1" applyFont="1" applyBorder="1" applyAlignment="1">
      <alignment horizontal="center"/>
    </xf>
    <xf numFmtId="171" fontId="3" fillId="0" borderId="20" xfId="1" applyNumberFormat="1" applyFont="1" applyBorder="1" applyAlignment="1">
      <alignment horizontal="center"/>
    </xf>
    <xf numFmtId="9" fontId="4" fillId="14" borderId="0" xfId="0" applyNumberFormat="1" applyFont="1" applyFill="1" applyProtection="1">
      <protection locked="0"/>
    </xf>
    <xf numFmtId="0" fontId="31" fillId="0" borderId="21" xfId="0" applyFont="1" applyBorder="1" applyAlignment="1">
      <alignment horizontal="left" vertical="center"/>
    </xf>
    <xf numFmtId="0" fontId="20" fillId="13" borderId="1" xfId="0" applyFont="1" applyFill="1" applyBorder="1" applyAlignment="1" applyProtection="1">
      <alignment horizontal="center"/>
      <protection locked="0"/>
    </xf>
    <xf numFmtId="3" fontId="3" fillId="13" borderId="22" xfId="0" applyNumberFormat="1" applyFont="1" applyFill="1" applyBorder="1" applyAlignment="1" applyProtection="1">
      <alignment horizontal="right" vertical="center"/>
      <protection locked="0"/>
    </xf>
    <xf numFmtId="171" fontId="3" fillId="0" borderId="21" xfId="1" applyNumberFormat="1" applyFont="1" applyBorder="1" applyAlignment="1">
      <alignment horizontal="center"/>
    </xf>
    <xf numFmtId="171" fontId="3" fillId="0" borderId="1" xfId="1" applyNumberFormat="1" applyFont="1" applyBorder="1" applyAlignment="1">
      <alignment horizontal="center"/>
    </xf>
    <xf numFmtId="171" fontId="3" fillId="0" borderId="22" xfId="1" applyNumberFormat="1" applyFont="1" applyBorder="1" applyAlignment="1">
      <alignment horizontal="center"/>
    </xf>
    <xf numFmtId="173" fontId="3" fillId="3" borderId="0" xfId="1" applyNumberFormat="1" applyFont="1" applyFill="1" applyAlignment="1">
      <alignment horizontal="center"/>
    </xf>
    <xf numFmtId="165" fontId="3" fillId="3" borderId="0" xfId="1" applyNumberFormat="1" applyFont="1" applyFill="1" applyAlignment="1">
      <alignment horizontal="center"/>
    </xf>
    <xf numFmtId="165" fontId="3" fillId="3" borderId="21" xfId="1" applyNumberFormat="1" applyFont="1" applyFill="1" applyBorder="1" applyAlignment="1" applyProtection="1">
      <alignment horizontal="center"/>
      <protection locked="0"/>
    </xf>
    <xf numFmtId="165" fontId="3" fillId="3" borderId="1" xfId="1" applyNumberFormat="1" applyFont="1" applyFill="1" applyBorder="1" applyAlignment="1" applyProtection="1">
      <alignment horizontal="center"/>
      <protection locked="0"/>
    </xf>
    <xf numFmtId="165" fontId="3" fillId="3" borderId="22" xfId="1" applyNumberFormat="1" applyFont="1" applyFill="1" applyBorder="1" applyAlignment="1" applyProtection="1">
      <alignment horizontal="center"/>
      <protection locked="0"/>
    </xf>
    <xf numFmtId="173" fontId="3" fillId="3" borderId="1" xfId="1" applyNumberFormat="1" applyFont="1" applyFill="1" applyBorder="1" applyAlignment="1">
      <alignment horizontal="center"/>
    </xf>
    <xf numFmtId="165" fontId="3" fillId="3" borderId="1" xfId="1" applyNumberFormat="1" applyFont="1" applyFill="1" applyBorder="1" applyAlignment="1">
      <alignment horizontal="center"/>
    </xf>
    <xf numFmtId="0" fontId="20" fillId="0" borderId="0" xfId="0" applyFont="1" applyAlignment="1">
      <alignment horizontal="center"/>
    </xf>
    <xf numFmtId="0" fontId="31" fillId="0" borderId="0" xfId="0" applyFont="1" applyAlignment="1">
      <alignment horizontal="right"/>
    </xf>
    <xf numFmtId="173" fontId="3" fillId="0" borderId="17" xfId="0" applyNumberFormat="1" applyFont="1" applyBorder="1" applyAlignment="1">
      <alignment horizontal="center"/>
    </xf>
    <xf numFmtId="171" fontId="3" fillId="0" borderId="15" xfId="0" applyNumberFormat="1" applyFont="1" applyBorder="1" applyAlignment="1">
      <alignment horizontal="center"/>
    </xf>
    <xf numFmtId="171" fontId="3" fillId="0" borderId="17" xfId="0" applyNumberFormat="1" applyFont="1" applyBorder="1" applyAlignment="1">
      <alignment horizontal="center"/>
    </xf>
    <xf numFmtId="171" fontId="3" fillId="0" borderId="16" xfId="0" applyNumberFormat="1" applyFont="1" applyBorder="1" applyAlignment="1">
      <alignment horizontal="center"/>
    </xf>
    <xf numFmtId="173" fontId="3" fillId="0" borderId="0" xfId="0" applyNumberFormat="1" applyFont="1" applyAlignment="1">
      <alignment horizontal="center"/>
    </xf>
    <xf numFmtId="9" fontId="32" fillId="0" borderId="0" xfId="0" applyNumberFormat="1" applyFont="1" applyAlignment="1" applyProtection="1">
      <alignment horizontal="right"/>
      <protection locked="0"/>
    </xf>
    <xf numFmtId="9" fontId="13" fillId="3" borderId="17" xfId="0" applyNumberFormat="1" applyFont="1" applyFill="1" applyBorder="1" applyAlignment="1" applyProtection="1">
      <alignment horizontal="center"/>
      <protection locked="0"/>
    </xf>
    <xf numFmtId="173" fontId="13" fillId="3" borderId="17" xfId="0" applyNumberFormat="1" applyFont="1" applyFill="1" applyBorder="1" applyAlignment="1" applyProtection="1">
      <alignment horizontal="center"/>
      <protection locked="0"/>
    </xf>
    <xf numFmtId="173" fontId="24" fillId="0" borderId="0" xfId="0" applyNumberFormat="1" applyFont="1" applyAlignment="1">
      <alignment horizontal="center" vertical="center"/>
    </xf>
    <xf numFmtId="173" fontId="0" fillId="0" borderId="0" xfId="0" applyNumberFormat="1"/>
    <xf numFmtId="0" fontId="3" fillId="3" borderId="5" xfId="0" applyFont="1" applyFill="1" applyBorder="1" applyAlignment="1" applyProtection="1">
      <alignment horizontal="center"/>
      <protection locked="0"/>
    </xf>
    <xf numFmtId="0" fontId="3" fillId="3" borderId="0" xfId="0" applyFont="1" applyFill="1" applyAlignment="1" applyProtection="1">
      <alignment horizontal="center"/>
      <protection locked="0"/>
    </xf>
    <xf numFmtId="0" fontId="3" fillId="3" borderId="20" xfId="0" applyFont="1" applyFill="1" applyBorder="1" applyAlignment="1" applyProtection="1">
      <alignment horizontal="center"/>
      <protection locked="0"/>
    </xf>
    <xf numFmtId="0" fontId="3" fillId="3" borderId="24" xfId="0" applyFont="1" applyFill="1" applyBorder="1" applyAlignment="1" applyProtection="1">
      <alignment horizontal="center"/>
      <protection locked="0"/>
    </xf>
    <xf numFmtId="0" fontId="3" fillId="3" borderId="21" xfId="0" applyFont="1" applyFill="1" applyBorder="1" applyAlignment="1" applyProtection="1">
      <alignment horizontal="center"/>
      <protection locked="0"/>
    </xf>
    <xf numFmtId="0" fontId="3" fillId="3" borderId="1" xfId="0" applyFont="1" applyFill="1" applyBorder="1" applyAlignment="1" applyProtection="1">
      <alignment horizontal="center"/>
      <protection locked="0"/>
    </xf>
    <xf numFmtId="0" fontId="3" fillId="3" borderId="22" xfId="0" applyFont="1" applyFill="1" applyBorder="1" applyAlignment="1" applyProtection="1">
      <alignment horizontal="center"/>
      <protection locked="0"/>
    </xf>
    <xf numFmtId="0" fontId="3" fillId="3" borderId="25" xfId="0" applyFont="1" applyFill="1" applyBorder="1" applyAlignment="1" applyProtection="1">
      <alignment horizontal="center"/>
      <protection locked="0"/>
    </xf>
    <xf numFmtId="0" fontId="31" fillId="0" borderId="15" xfId="0" applyFont="1" applyBorder="1" applyAlignment="1">
      <alignment horizontal="left" vertical="center"/>
    </xf>
    <xf numFmtId="0" fontId="20" fillId="13" borderId="3" xfId="0" applyFont="1" applyFill="1" applyBorder="1" applyAlignment="1" applyProtection="1">
      <alignment horizontal="center"/>
      <protection locked="0"/>
    </xf>
    <xf numFmtId="3" fontId="3" fillId="13" borderId="16" xfId="0" applyNumberFormat="1" applyFont="1" applyFill="1" applyBorder="1" applyAlignment="1" applyProtection="1">
      <alignment horizontal="right" vertical="center"/>
      <protection locked="0"/>
    </xf>
    <xf numFmtId="173" fontId="3" fillId="3" borderId="0" xfId="0" applyNumberFormat="1" applyFont="1" applyFill="1" applyAlignment="1" applyProtection="1">
      <alignment horizontal="center"/>
      <protection locked="0"/>
    </xf>
    <xf numFmtId="9" fontId="13" fillId="3" borderId="23" xfId="0" applyNumberFormat="1" applyFont="1" applyFill="1" applyBorder="1" applyAlignment="1" applyProtection="1">
      <alignment horizontal="center"/>
      <protection locked="0"/>
    </xf>
    <xf numFmtId="173" fontId="13" fillId="3" borderId="23" xfId="0" applyNumberFormat="1" applyFont="1" applyFill="1" applyBorder="1" applyAlignment="1" applyProtection="1">
      <alignment horizontal="center"/>
      <protection locked="0"/>
    </xf>
    <xf numFmtId="0" fontId="31" fillId="0" borderId="0" xfId="0" applyFont="1" applyAlignment="1">
      <alignment horizontal="left" vertical="center"/>
    </xf>
    <xf numFmtId="0" fontId="15" fillId="0" borderId="0" xfId="0" applyFont="1"/>
    <xf numFmtId="0" fontId="17" fillId="0" borderId="0" xfId="0" applyFont="1"/>
    <xf numFmtId="49" fontId="24" fillId="3" borderId="17" xfId="0" applyNumberFormat="1" applyFont="1" applyFill="1" applyBorder="1" applyAlignment="1" applyProtection="1">
      <alignment horizontal="center" vertical="center"/>
      <protection locked="0"/>
    </xf>
    <xf numFmtId="173" fontId="24" fillId="3" borderId="17" xfId="0" applyNumberFormat="1" applyFont="1" applyFill="1" applyBorder="1" applyAlignment="1" applyProtection="1">
      <alignment horizontal="right" vertical="center"/>
      <protection locked="0"/>
    </xf>
    <xf numFmtId="171" fontId="24" fillId="3" borderId="17" xfId="0" applyNumberFormat="1" applyFont="1" applyFill="1" applyBorder="1" applyAlignment="1" applyProtection="1">
      <alignment horizontal="center" vertical="center"/>
      <protection locked="0"/>
    </xf>
    <xf numFmtId="171" fontId="24" fillId="3" borderId="15" xfId="0" applyNumberFormat="1" applyFont="1" applyFill="1" applyBorder="1" applyAlignment="1" applyProtection="1">
      <alignment horizontal="center" vertical="center"/>
      <protection locked="0"/>
    </xf>
    <xf numFmtId="0" fontId="33" fillId="15" borderId="0" xfId="0" applyFont="1" applyFill="1" applyAlignment="1">
      <alignment horizontal="center"/>
    </xf>
    <xf numFmtId="170" fontId="34" fillId="16" borderId="0" xfId="0" applyNumberFormat="1" applyFont="1" applyFill="1"/>
    <xf numFmtId="1" fontId="34" fillId="16" borderId="0" xfId="0" applyNumberFormat="1" applyFont="1" applyFill="1"/>
    <xf numFmtId="0" fontId="33" fillId="15" borderId="26" xfId="0" applyFont="1" applyFill="1" applyBorder="1" applyAlignment="1">
      <alignment horizontal="center"/>
    </xf>
    <xf numFmtId="0" fontId="34" fillId="16" borderId="28" xfId="0" applyFont="1" applyFill="1" applyBorder="1" applyAlignment="1">
      <alignment horizontal="center"/>
    </xf>
    <xf numFmtId="0" fontId="34" fillId="16" borderId="30" xfId="0" applyFont="1" applyFill="1" applyBorder="1" applyAlignment="1">
      <alignment horizontal="center"/>
    </xf>
    <xf numFmtId="0" fontId="34" fillId="16" borderId="32" xfId="0" applyFont="1" applyFill="1" applyBorder="1" applyAlignment="1">
      <alignment horizontal="center"/>
    </xf>
    <xf numFmtId="174" fontId="34" fillId="16" borderId="31" xfId="1" applyFont="1" applyFill="1" applyBorder="1" applyAlignment="1">
      <alignment horizontal="center"/>
    </xf>
    <xf numFmtId="4" fontId="34" fillId="16" borderId="32" xfId="0" applyNumberFormat="1" applyFont="1" applyFill="1" applyBorder="1" applyAlignment="1">
      <alignment horizontal="center"/>
    </xf>
    <xf numFmtId="175" fontId="35" fillId="16" borderId="33" xfId="0" applyNumberFormat="1" applyFont="1" applyFill="1" applyBorder="1" applyAlignment="1">
      <alignment horizontal="center" vertical="center"/>
    </xf>
    <xf numFmtId="174" fontId="34" fillId="16" borderId="27" xfId="1" applyFont="1" applyFill="1" applyBorder="1" applyAlignment="1">
      <alignment horizontal="center"/>
    </xf>
    <xf numFmtId="174" fontId="34" fillId="16" borderId="26" xfId="1" applyFont="1" applyFill="1" applyBorder="1" applyAlignment="1">
      <alignment horizontal="center"/>
    </xf>
    <xf numFmtId="174" fontId="34" fillId="16" borderId="28" xfId="1" applyFont="1" applyFill="1" applyBorder="1" applyAlignment="1">
      <alignment horizontal="center"/>
    </xf>
    <xf numFmtId="174" fontId="34" fillId="16" borderId="29" xfId="1" applyFont="1" applyFill="1" applyBorder="1" applyAlignment="1">
      <alignment horizontal="center"/>
    </xf>
    <xf numFmtId="174" fontId="34" fillId="16" borderId="0" xfId="1" applyFont="1" applyFill="1" applyAlignment="1">
      <alignment horizontal="center"/>
    </xf>
    <xf numFmtId="174" fontId="34" fillId="16" borderId="30" xfId="1" applyFont="1" applyFill="1" applyBorder="1" applyAlignment="1">
      <alignment horizontal="center"/>
    </xf>
    <xf numFmtId="168" fontId="0" fillId="0" borderId="0" xfId="0" applyNumberFormat="1"/>
    <xf numFmtId="0" fontId="15" fillId="0" borderId="0" xfId="0" applyFont="1" applyAlignment="1">
      <alignment horizontal="center"/>
    </xf>
    <xf numFmtId="0" fontId="37" fillId="0" borderId="17" xfId="0" applyFont="1" applyBorder="1" applyAlignment="1">
      <alignment horizontal="center" vertical="center"/>
    </xf>
    <xf numFmtId="0" fontId="38" fillId="0" borderId="0" xfId="0" applyFont="1" applyAlignment="1">
      <alignment horizontal="left" vertical="center" wrapText="1"/>
    </xf>
    <xf numFmtId="0" fontId="38" fillId="0" borderId="0" xfId="0" applyFont="1" applyAlignment="1">
      <alignment horizontal="left" vertical="center"/>
    </xf>
    <xf numFmtId="0" fontId="0" fillId="0" borderId="0" xfId="0" applyAlignment="1">
      <alignment horizontal="left" vertical="center" wrapText="1"/>
    </xf>
    <xf numFmtId="0" fontId="36" fillId="0" borderId="0" xfId="0" applyFont="1" applyAlignment="1">
      <alignment horizontal="left" vertical="center"/>
    </xf>
    <xf numFmtId="0" fontId="15" fillId="3" borderId="0" xfId="0" applyFont="1" applyFill="1" applyAlignment="1">
      <alignment horizontal="left" vertical="center" wrapText="1"/>
    </xf>
    <xf numFmtId="0" fontId="39" fillId="4" borderId="0" xfId="0" applyFont="1" applyFill="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left" vertical="center"/>
    </xf>
    <xf numFmtId="0" fontId="0" fillId="0" borderId="0" xfId="0" applyAlignment="1">
      <alignment horizontal="left" vertical="center"/>
    </xf>
    <xf numFmtId="0" fontId="39" fillId="4" borderId="0" xfId="0" applyFont="1" applyFill="1" applyAlignment="1">
      <alignment horizontal="left" vertical="center"/>
    </xf>
    <xf numFmtId="0" fontId="15" fillId="3" borderId="0" xfId="0" applyFont="1" applyFill="1" applyAlignment="1">
      <alignment horizontal="left" vertical="center"/>
    </xf>
    <xf numFmtId="0" fontId="39" fillId="0" borderId="0" xfId="0" applyFont="1" applyAlignment="1">
      <alignment horizontal="left" vertical="center" wrapText="1"/>
    </xf>
    <xf numFmtId="0" fontId="8" fillId="0" borderId="0" xfId="0" applyFont="1" applyAlignment="1">
      <alignment horizontal="left" vertical="center"/>
    </xf>
    <xf numFmtId="14" fontId="0" fillId="0" borderId="0" xfId="0" applyNumberFormat="1" applyAlignment="1">
      <alignment horizontal="left" vertical="center"/>
    </xf>
    <xf numFmtId="0" fontId="38" fillId="3" borderId="0" xfId="0" applyFont="1" applyFill="1" applyAlignment="1">
      <alignment horizontal="left" vertical="center" wrapText="1"/>
    </xf>
    <xf numFmtId="168" fontId="0" fillId="0" borderId="0" xfId="0" applyNumberFormat="1" applyAlignment="1">
      <alignment horizontal="left" vertical="center"/>
    </xf>
    <xf numFmtId="1" fontId="0" fillId="0" borderId="0" xfId="0" applyNumberFormat="1" applyAlignment="1">
      <alignment horizontal="left" vertical="center"/>
    </xf>
    <xf numFmtId="1" fontId="15" fillId="0" borderId="0" xfId="0" applyNumberFormat="1" applyFont="1" applyAlignment="1">
      <alignment horizontal="left" vertical="center"/>
    </xf>
    <xf numFmtId="1" fontId="39" fillId="4" borderId="0" xfId="0" applyNumberFormat="1" applyFont="1" applyFill="1" applyAlignment="1">
      <alignment horizontal="left" vertical="center"/>
    </xf>
    <xf numFmtId="1" fontId="38" fillId="0" borderId="0" xfId="0" applyNumberFormat="1" applyFont="1" applyAlignment="1">
      <alignment horizontal="left" vertical="center"/>
    </xf>
    <xf numFmtId="167" fontId="38" fillId="0" borderId="0" xfId="0" applyNumberFormat="1" applyFont="1" applyAlignment="1">
      <alignment horizontal="left" vertical="center"/>
    </xf>
    <xf numFmtId="167" fontId="38" fillId="0" borderId="0" xfId="0" applyNumberFormat="1" applyFont="1" applyAlignment="1">
      <alignment horizontal="left" vertical="center" wrapText="1"/>
    </xf>
    <xf numFmtId="168" fontId="38" fillId="0" borderId="0" xfId="0" applyNumberFormat="1" applyFont="1" applyAlignment="1">
      <alignment horizontal="left" vertical="center"/>
    </xf>
    <xf numFmtId="168" fontId="38" fillId="0" borderId="0" xfId="0" applyNumberFormat="1" applyFont="1" applyAlignment="1">
      <alignment horizontal="left" vertical="center" wrapText="1"/>
    </xf>
    <xf numFmtId="168" fontId="39" fillId="0" borderId="0" xfId="0" applyNumberFormat="1" applyFont="1" applyAlignment="1">
      <alignment horizontal="left" vertical="center"/>
    </xf>
    <xf numFmtId="16" fontId="38" fillId="0" borderId="0" xfId="0" applyNumberFormat="1" applyFont="1" applyAlignment="1">
      <alignment horizontal="left" vertical="center"/>
    </xf>
    <xf numFmtId="9" fontId="38" fillId="0" borderId="0" xfId="0" applyNumberFormat="1" applyFont="1" applyAlignment="1">
      <alignment horizontal="left" vertical="center"/>
    </xf>
    <xf numFmtId="9" fontId="38" fillId="0" borderId="0" xfId="0" applyNumberFormat="1" applyFont="1" applyAlignment="1">
      <alignment horizontal="left" vertical="center" wrapText="1"/>
    </xf>
    <xf numFmtId="17" fontId="38" fillId="0" borderId="0" xfId="0" applyNumberFormat="1" applyFont="1" applyAlignment="1">
      <alignment horizontal="left" vertical="center"/>
    </xf>
    <xf numFmtId="9" fontId="0" fillId="0" borderId="0" xfId="0" applyNumberFormat="1" applyAlignment="1">
      <alignment horizontal="left" vertical="center"/>
    </xf>
    <xf numFmtId="0" fontId="38" fillId="3" borderId="0" xfId="0" applyFont="1" applyFill="1" applyAlignment="1">
      <alignment horizontal="left" vertical="center"/>
    </xf>
    <xf numFmtId="17" fontId="38" fillId="0" borderId="0" xfId="0" applyNumberFormat="1" applyFont="1" applyAlignment="1">
      <alignment horizontal="left" vertical="center" wrapText="1"/>
    </xf>
    <xf numFmtId="168" fontId="38" fillId="0" borderId="0" xfId="0" quotePrefix="1" applyNumberFormat="1" applyFont="1" applyAlignment="1">
      <alignment horizontal="left" vertical="center"/>
    </xf>
    <xf numFmtId="0" fontId="0" fillId="0" borderId="0" xfId="0" quotePrefix="1" applyAlignment="1">
      <alignment horizontal="left" vertical="center"/>
    </xf>
    <xf numFmtId="16" fontId="38" fillId="0" borderId="0" xfId="0" quotePrefix="1" applyNumberFormat="1" applyFont="1" applyAlignment="1">
      <alignment horizontal="left" vertical="center"/>
    </xf>
    <xf numFmtId="168" fontId="0" fillId="0" borderId="0" xfId="0" applyNumberFormat="1" applyAlignment="1">
      <alignment horizontal="left" vertical="center" wrapText="1"/>
    </xf>
    <xf numFmtId="167" fontId="0" fillId="0" borderId="0" xfId="0" applyNumberFormat="1" applyAlignment="1">
      <alignment horizontal="left" vertical="center"/>
    </xf>
    <xf numFmtId="176" fontId="34" fillId="16" borderId="27" xfId="0" applyNumberFormat="1" applyFont="1" applyFill="1" applyBorder="1" applyAlignment="1">
      <alignment horizontal="center"/>
    </xf>
    <xf numFmtId="176" fontId="34" fillId="16" borderId="26" xfId="0" applyNumberFormat="1" applyFont="1" applyFill="1" applyBorder="1" applyAlignment="1">
      <alignment horizontal="center"/>
    </xf>
    <xf numFmtId="176" fontId="34" fillId="16" borderId="29" xfId="0" applyNumberFormat="1" applyFont="1" applyFill="1" applyBorder="1" applyAlignment="1">
      <alignment horizontal="center"/>
    </xf>
    <xf numFmtId="176" fontId="34" fillId="16" borderId="0" xfId="0" applyNumberFormat="1" applyFont="1" applyFill="1" applyAlignment="1">
      <alignment horizontal="center"/>
    </xf>
    <xf numFmtId="176" fontId="34" fillId="16" borderId="30" xfId="0" applyNumberFormat="1" applyFont="1" applyFill="1" applyBorder="1" applyAlignment="1">
      <alignment horizontal="center"/>
    </xf>
    <xf numFmtId="176" fontId="3" fillId="3" borderId="5" xfId="1" applyNumberFormat="1" applyFont="1" applyFill="1" applyBorder="1" applyAlignment="1" applyProtection="1">
      <alignment horizontal="center"/>
      <protection locked="0"/>
    </xf>
    <xf numFmtId="176" fontId="3" fillId="3" borderId="0" xfId="1" applyNumberFormat="1" applyFont="1" applyFill="1" applyAlignment="1" applyProtection="1">
      <alignment horizontal="center"/>
      <protection locked="0"/>
    </xf>
    <xf numFmtId="176" fontId="3" fillId="3" borderId="20" xfId="1" applyNumberFormat="1" applyFont="1" applyFill="1" applyBorder="1" applyAlignment="1" applyProtection="1">
      <alignment horizontal="center"/>
      <protection locked="0"/>
    </xf>
    <xf numFmtId="0" fontId="40" fillId="3" borderId="0" xfId="0" applyFont="1" applyFill="1" applyAlignment="1">
      <alignment horizontal="left" vertical="center"/>
    </xf>
    <xf numFmtId="0" fontId="19" fillId="0" borderId="0" xfId="0" applyFont="1" applyAlignment="1">
      <alignment horizontal="center" vertical="center"/>
    </xf>
    <xf numFmtId="9" fontId="3" fillId="0" borderId="0" xfId="2" applyFont="1" applyAlignment="1" applyProtection="1">
      <alignment horizontal="center" vertical="center"/>
      <protection locked="0"/>
    </xf>
    <xf numFmtId="0" fontId="19" fillId="0" borderId="19" xfId="0" applyFont="1" applyBorder="1" applyAlignment="1">
      <alignment horizontal="center" vertical="center"/>
    </xf>
    <xf numFmtId="0" fontId="21" fillId="0" borderId="15" xfId="0" applyFont="1" applyBorder="1" applyAlignment="1">
      <alignment horizontal="center" vertical="center"/>
    </xf>
    <xf numFmtId="9" fontId="31" fillId="0" borderId="15" xfId="2" applyFont="1" applyBorder="1" applyAlignment="1" applyProtection="1">
      <alignment horizontal="center" vertical="center"/>
      <protection locked="0"/>
    </xf>
    <xf numFmtId="166" fontId="3" fillId="3" borderId="22" xfId="2" applyNumberFormat="1" applyFont="1" applyFill="1" applyBorder="1" applyAlignment="1" applyProtection="1">
      <alignment horizontal="center" vertical="center"/>
      <protection locked="0"/>
    </xf>
    <xf numFmtId="177" fontId="3" fillId="3" borderId="3" xfId="0" applyNumberFormat="1" applyFont="1" applyFill="1" applyBorder="1" applyAlignment="1" applyProtection="1">
      <alignment horizontal="left" vertical="center"/>
      <protection locked="0"/>
    </xf>
    <xf numFmtId="9" fontId="3" fillId="3" borderId="22" xfId="2" applyFont="1" applyFill="1" applyBorder="1" applyAlignment="1" applyProtection="1">
      <alignment horizontal="center" vertical="center"/>
      <protection locked="0"/>
    </xf>
    <xf numFmtId="177" fontId="3" fillId="3" borderId="22" xfId="2" applyNumberFormat="1" applyFont="1" applyFill="1" applyBorder="1" applyAlignment="1" applyProtection="1">
      <alignment horizontal="center" vertical="center"/>
      <protection locked="0"/>
    </xf>
    <xf numFmtId="177" fontId="3" fillId="3" borderId="16" xfId="2" applyNumberFormat="1" applyFont="1" applyFill="1" applyBorder="1" applyAlignment="1" applyProtection="1">
      <alignment horizontal="center" vertical="center"/>
      <protection locked="0"/>
    </xf>
    <xf numFmtId="0" fontId="41" fillId="0" borderId="0" xfId="0" applyFont="1"/>
    <xf numFmtId="0" fontId="42" fillId="0" borderId="0" xfId="0" applyFont="1"/>
    <xf numFmtId="0" fontId="16" fillId="0" borderId="15" xfId="0" applyFont="1" applyBorder="1" applyAlignment="1">
      <alignment horizontal="center"/>
    </xf>
    <xf numFmtId="0" fontId="0" fillId="0" borderId="3" xfId="0" applyBorder="1"/>
    <xf numFmtId="0" fontId="0" fillId="3" borderId="0" xfId="0" applyFill="1" applyAlignment="1">
      <alignment horizontal="left" wrapText="1"/>
    </xf>
    <xf numFmtId="0" fontId="0" fillId="0" borderId="0" xfId="0"/>
    <xf numFmtId="0" fontId="0" fillId="3" borderId="0" xfId="0" applyFill="1" applyAlignment="1">
      <alignment horizontal="center" wrapText="1"/>
    </xf>
    <xf numFmtId="0" fontId="38" fillId="0" borderId="0" xfId="0" applyNumberFormat="1" applyFont="1" applyAlignment="1">
      <alignment horizontal="left" vertical="center"/>
    </xf>
    <xf numFmtId="10" fontId="38" fillId="0" borderId="0" xfId="0" applyNumberFormat="1" applyFont="1" applyAlignment="1">
      <alignment horizontal="left" vertical="center"/>
    </xf>
    <xf numFmtId="0" fontId="0" fillId="0" borderId="0" xfId="0" applyFont="1" applyAlignment="1">
      <alignment horizontal="left" wrapText="1"/>
    </xf>
    <xf numFmtId="1" fontId="0" fillId="0" borderId="0" xfId="0" applyNumberFormat="1" applyFont="1" applyAlignment="1">
      <alignment horizontal="left" vertical="center"/>
    </xf>
  </cellXfs>
  <cellStyles count="9">
    <cellStyle name="Comma" xfId="1" builtinId="3"/>
    <cellStyle name="Comma 2" xfId="5" xr:uid="{00000000-0005-0000-0000-000005000000}"/>
    <cellStyle name="Comma 3" xfId="6" xr:uid="{00000000-0005-0000-0000-000006000000}"/>
    <cellStyle name="Normal" xfId="0" builtinId="0"/>
    <cellStyle name="Normal 2" xfId="3" xr:uid="{00000000-0005-0000-0000-000003000000}"/>
    <cellStyle name="Normal 3" xfId="4" xr:uid="{00000000-0005-0000-0000-000004000000}"/>
    <cellStyle name="Normal 4" xfId="8" xr:uid="{00000000-0005-0000-0000-000008000000}"/>
    <cellStyle name="Percent" xfId="2" builtinId="5"/>
    <cellStyle name="Percent 2" xfId="7" xr:uid="{00000000-0005-0000-0000-000007000000}"/>
  </cellStyles>
  <dxfs count="4">
    <dxf>
      <font>
        <b/>
      </font>
      <fill>
        <patternFill>
          <bgColor rgb="FFFF0000"/>
        </patternFill>
      </fill>
    </dxf>
    <dxf>
      <font>
        <color rgb="FF9C0006"/>
      </font>
      <fill>
        <patternFill>
          <bgColor rgb="FFFFC7CE"/>
        </patternFill>
      </fill>
    </dxf>
    <dxf>
      <fill>
        <patternFill>
          <bgColor rgb="FFFFFF00"/>
        </patternFill>
      </fill>
    </dxf>
    <dxf>
      <font>
        <color theme="0"/>
      </font>
      <fill>
        <patternFill>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Sheet"/>
      <sheetName val="Example Input Sheet"/>
    </sheetNames>
    <sheetDataSet>
      <sheetData sheetId="0" refreshError="1"/>
      <sheetData sheetId="1"/>
      <sheetData sheetId="2"/>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0"/>
  <sheetViews>
    <sheetView workbookViewId="0">
      <selection activeCell="H11" sqref="H11:K17"/>
    </sheetView>
  </sheetViews>
  <sheetFormatPr defaultRowHeight="15" x14ac:dyDescent="0.25"/>
  <sheetData>
    <row r="2" spans="1:1" x14ac:dyDescent="0.25">
      <c r="A2" t="s">
        <v>0</v>
      </c>
    </row>
    <row r="3" spans="1:1" x14ac:dyDescent="0.25">
      <c r="A3" t="s">
        <v>1</v>
      </c>
    </row>
    <row r="4" spans="1:1" x14ac:dyDescent="0.25">
      <c r="A4" t="s">
        <v>2</v>
      </c>
    </row>
    <row r="5" spans="1:1" x14ac:dyDescent="0.25">
      <c r="A5" t="s">
        <v>3</v>
      </c>
    </row>
    <row r="6" spans="1:1" x14ac:dyDescent="0.25">
      <c r="A6" t="s">
        <v>4</v>
      </c>
    </row>
    <row r="8" spans="1:1" x14ac:dyDescent="0.25">
      <c r="A8" t="s">
        <v>5</v>
      </c>
    </row>
    <row r="10" spans="1:1" x14ac:dyDescent="0.25">
      <c r="A1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59"/>
  <sheetViews>
    <sheetView workbookViewId="0">
      <selection sqref="A1:XFD1048576"/>
    </sheetView>
  </sheetViews>
  <sheetFormatPr defaultColWidth="8.85546875" defaultRowHeight="15" x14ac:dyDescent="0.25"/>
  <cols>
    <col min="1" max="1" width="4.7109375" style="24" customWidth="1"/>
    <col min="2" max="2" width="15.7109375" style="24" bestFit="1" customWidth="1"/>
    <col min="3" max="3" width="10.28515625" style="24" bestFit="1" customWidth="1"/>
    <col min="4" max="4" width="9.42578125" style="24" bestFit="1" customWidth="1"/>
    <col min="5" max="25" width="10.42578125" style="24" bestFit="1" customWidth="1"/>
    <col min="26" max="26" width="11.42578125" style="24" bestFit="1" customWidth="1"/>
    <col min="27" max="27" width="11.28515625" style="24" bestFit="1" customWidth="1"/>
    <col min="28" max="28" width="12.85546875" style="24" bestFit="1" customWidth="1"/>
    <col min="29" max="29" width="8.85546875" style="24" customWidth="1"/>
    <col min="30" max="16384" width="8.85546875" style="24"/>
  </cols>
  <sheetData>
    <row r="1" spans="2:28" x14ac:dyDescent="0.25">
      <c r="B1" s="24" t="s">
        <v>7</v>
      </c>
    </row>
    <row r="2" spans="2:28" ht="15.75" customHeight="1" thickBot="1" x14ac:dyDescent="0.3">
      <c r="C2" s="24">
        <v>4</v>
      </c>
      <c r="D2" s="24">
        <v>5</v>
      </c>
      <c r="E2" s="24">
        <v>4</v>
      </c>
      <c r="F2" s="24">
        <v>4</v>
      </c>
      <c r="G2" s="24">
        <v>5</v>
      </c>
      <c r="H2" s="24">
        <v>4</v>
      </c>
      <c r="I2" s="24">
        <v>4</v>
      </c>
      <c r="J2" s="24">
        <v>5</v>
      </c>
      <c r="K2" s="24">
        <v>4</v>
      </c>
      <c r="L2" s="24">
        <v>4</v>
      </c>
      <c r="M2" s="24">
        <v>5</v>
      </c>
      <c r="N2" s="24">
        <v>4</v>
      </c>
      <c r="O2" s="24">
        <v>4</v>
      </c>
      <c r="P2" s="24">
        <v>5</v>
      </c>
      <c r="Q2" s="24">
        <v>4</v>
      </c>
      <c r="R2" s="24">
        <v>4</v>
      </c>
      <c r="S2" s="24">
        <v>5</v>
      </c>
      <c r="T2" s="24">
        <v>4</v>
      </c>
      <c r="U2" s="24">
        <v>4</v>
      </c>
      <c r="V2" s="24">
        <v>5</v>
      </c>
      <c r="W2" s="24">
        <v>4</v>
      </c>
      <c r="X2" s="24">
        <v>4</v>
      </c>
      <c r="Y2" s="24">
        <v>5</v>
      </c>
      <c r="Z2" s="24">
        <v>4</v>
      </c>
      <c r="AA2" s="24" t="s">
        <v>8</v>
      </c>
      <c r="AB2" s="24" t="s">
        <v>9</v>
      </c>
    </row>
    <row r="3" spans="2:28" x14ac:dyDescent="0.25">
      <c r="C3" s="25" t="e">
        <f>#REF!</f>
        <v>#REF!</v>
      </c>
      <c r="D3" s="26" t="e">
        <f>#REF!</f>
        <v>#REF!</v>
      </c>
      <c r="E3" s="26" t="e">
        <f>#REF!</f>
        <v>#REF!</v>
      </c>
      <c r="F3" s="26" t="e">
        <f>#REF!</f>
        <v>#REF!</v>
      </c>
      <c r="G3" s="26" t="e">
        <f>#REF!</f>
        <v>#REF!</v>
      </c>
      <c r="H3" s="27" t="e">
        <f>#REF!</f>
        <v>#REF!</v>
      </c>
      <c r="I3" s="25" t="e">
        <f>#REF!</f>
        <v>#REF!</v>
      </c>
      <c r="J3" s="26" t="e">
        <f>#REF!</f>
        <v>#REF!</v>
      </c>
      <c r="K3" s="26" t="e">
        <f>#REF!</f>
        <v>#REF!</v>
      </c>
      <c r="L3" s="26" t="e">
        <f>#REF!</f>
        <v>#REF!</v>
      </c>
      <c r="M3" s="26" t="e">
        <f>#REF!</f>
        <v>#REF!</v>
      </c>
      <c r="N3" s="27" t="e">
        <f>#REF!</f>
        <v>#REF!</v>
      </c>
      <c r="O3" s="25" t="e">
        <f>#REF!</f>
        <v>#REF!</v>
      </c>
      <c r="P3" s="26" t="e">
        <f>#REF!</f>
        <v>#REF!</v>
      </c>
      <c r="Q3" s="26" t="e">
        <f>#REF!</f>
        <v>#REF!</v>
      </c>
      <c r="R3" s="26" t="e">
        <f>#REF!</f>
        <v>#REF!</v>
      </c>
      <c r="S3" s="26" t="e">
        <f>#REF!</f>
        <v>#REF!</v>
      </c>
      <c r="T3" s="27" t="e">
        <f>#REF!</f>
        <v>#REF!</v>
      </c>
      <c r="U3" s="25" t="e">
        <f>#REF!</f>
        <v>#REF!</v>
      </c>
      <c r="V3" s="26" t="e">
        <f>#REF!</f>
        <v>#REF!</v>
      </c>
      <c r="W3" s="26" t="e">
        <f>#REF!</f>
        <v>#REF!</v>
      </c>
      <c r="X3" s="26" t="e">
        <f>#REF!</f>
        <v>#REF!</v>
      </c>
      <c r="Y3" s="26" t="e">
        <f>#REF!</f>
        <v>#REF!</v>
      </c>
      <c r="Z3" s="27" t="e">
        <f>#REF!</f>
        <v>#REF!</v>
      </c>
    </row>
    <row r="4" spans="2:28" x14ac:dyDescent="0.25">
      <c r="B4" s="24" t="s">
        <v>10</v>
      </c>
      <c r="C4" s="28"/>
      <c r="D4" s="29"/>
      <c r="E4" s="29"/>
      <c r="F4" s="29"/>
      <c r="G4" s="29"/>
      <c r="H4" s="30"/>
      <c r="I4" s="28"/>
      <c r="J4" s="29"/>
      <c r="K4" s="29"/>
      <c r="L4" s="29"/>
      <c r="M4" s="29"/>
      <c r="N4" s="30"/>
      <c r="O4" s="28"/>
      <c r="P4" s="29"/>
      <c r="Q4" s="29"/>
      <c r="R4" s="29"/>
      <c r="S4" s="29"/>
      <c r="T4" s="30"/>
      <c r="U4" s="28"/>
      <c r="V4" s="29"/>
      <c r="W4" s="29"/>
      <c r="X4" s="29"/>
      <c r="Y4" s="29"/>
      <c r="Z4" s="30"/>
    </row>
    <row r="5" spans="2:28" x14ac:dyDescent="0.25">
      <c r="B5" s="24" t="s">
        <v>11</v>
      </c>
      <c r="C5" s="31">
        <v>10000</v>
      </c>
      <c r="D5" s="32">
        <v>6000</v>
      </c>
      <c r="E5" s="32">
        <v>6000</v>
      </c>
      <c r="F5" s="32">
        <v>6000</v>
      </c>
      <c r="G5" s="32">
        <v>6000</v>
      </c>
      <c r="H5" s="33">
        <v>6000</v>
      </c>
      <c r="I5" s="31">
        <v>6000</v>
      </c>
      <c r="J5" s="32">
        <v>6000</v>
      </c>
      <c r="K5" s="32">
        <v>6000</v>
      </c>
      <c r="L5" s="32">
        <v>6000</v>
      </c>
      <c r="M5" s="32">
        <v>6000</v>
      </c>
      <c r="N5" s="33">
        <v>6000</v>
      </c>
      <c r="O5" s="31">
        <v>6000</v>
      </c>
      <c r="P5" s="32">
        <v>6000</v>
      </c>
      <c r="Q5" s="32">
        <v>6000</v>
      </c>
      <c r="R5" s="32">
        <v>6000</v>
      </c>
      <c r="S5" s="32">
        <v>6000</v>
      </c>
      <c r="T5" s="33">
        <v>6000</v>
      </c>
      <c r="U5" s="31">
        <v>6000</v>
      </c>
      <c r="V5" s="32">
        <v>6000</v>
      </c>
      <c r="W5" s="32">
        <v>6000</v>
      </c>
      <c r="X5" s="32">
        <v>6000</v>
      </c>
      <c r="Y5" s="32">
        <v>6000</v>
      </c>
      <c r="Z5" s="33">
        <v>6000</v>
      </c>
    </row>
    <row r="6" spans="2:28" x14ac:dyDescent="0.25">
      <c r="B6" s="24" t="s">
        <v>12</v>
      </c>
      <c r="C6" s="31">
        <v>0</v>
      </c>
      <c r="D6" s="32">
        <v>0</v>
      </c>
      <c r="E6" s="32">
        <v>0</v>
      </c>
      <c r="F6" s="32">
        <v>5000</v>
      </c>
      <c r="G6" s="32">
        <v>5000</v>
      </c>
      <c r="H6" s="33">
        <v>5000</v>
      </c>
      <c r="I6" s="31">
        <v>6000</v>
      </c>
      <c r="J6" s="32">
        <v>6000</v>
      </c>
      <c r="K6" s="32">
        <v>6000</v>
      </c>
      <c r="L6" s="32">
        <v>7000</v>
      </c>
      <c r="M6" s="32">
        <v>7000</v>
      </c>
      <c r="N6" s="33">
        <v>7000</v>
      </c>
      <c r="O6" s="31">
        <f>ROUND(100000/11,-3)</f>
        <v>9000</v>
      </c>
      <c r="P6" s="32"/>
      <c r="Q6" s="32">
        <f t="shared" ref="Q6:Z6" si="0">ROUND(100000/11,-3)</f>
        <v>9000</v>
      </c>
      <c r="R6" s="32">
        <f t="shared" si="0"/>
        <v>9000</v>
      </c>
      <c r="S6" s="32">
        <f t="shared" si="0"/>
        <v>9000</v>
      </c>
      <c r="T6" s="33">
        <f t="shared" si="0"/>
        <v>9000</v>
      </c>
      <c r="U6" s="31">
        <f t="shared" si="0"/>
        <v>9000</v>
      </c>
      <c r="V6" s="32">
        <f t="shared" si="0"/>
        <v>9000</v>
      </c>
      <c r="W6" s="32">
        <f t="shared" si="0"/>
        <v>9000</v>
      </c>
      <c r="X6" s="32">
        <f t="shared" si="0"/>
        <v>9000</v>
      </c>
      <c r="Y6" s="32">
        <f t="shared" si="0"/>
        <v>9000</v>
      </c>
      <c r="Z6" s="33">
        <f t="shared" si="0"/>
        <v>9000</v>
      </c>
    </row>
    <row r="7" spans="2:28" x14ac:dyDescent="0.25">
      <c r="B7" s="24" t="s">
        <v>13</v>
      </c>
      <c r="C7" s="31"/>
      <c r="D7" s="32"/>
      <c r="E7" s="32"/>
      <c r="F7" s="32"/>
      <c r="G7" s="32"/>
      <c r="H7" s="33"/>
      <c r="I7" s="31"/>
      <c r="J7" s="32"/>
      <c r="K7" s="32"/>
      <c r="L7" s="32"/>
      <c r="M7" s="32"/>
      <c r="N7" s="33"/>
      <c r="O7" s="31"/>
      <c r="P7" s="32"/>
      <c r="Q7" s="32"/>
      <c r="R7" s="32"/>
      <c r="S7" s="32"/>
      <c r="T7" s="33"/>
      <c r="U7" s="31"/>
      <c r="V7" s="32"/>
      <c r="W7" s="32"/>
      <c r="X7" s="32"/>
      <c r="Y7" s="32"/>
      <c r="Z7" s="33"/>
    </row>
    <row r="8" spans="2:28" x14ac:dyDescent="0.25">
      <c r="B8" s="24" t="s">
        <v>14</v>
      </c>
      <c r="C8" s="31"/>
      <c r="D8" s="32"/>
      <c r="E8" s="32"/>
      <c r="F8" s="32"/>
      <c r="G8" s="32"/>
      <c r="H8" s="33"/>
      <c r="I8" s="31"/>
      <c r="J8" s="32"/>
      <c r="K8" s="32"/>
      <c r="L8" s="32"/>
      <c r="M8" s="32"/>
      <c r="N8" s="33"/>
      <c r="O8" s="31"/>
      <c r="P8" s="32"/>
      <c r="Q8" s="32"/>
      <c r="R8" s="32"/>
      <c r="S8" s="32"/>
      <c r="T8" s="33"/>
      <c r="U8" s="31"/>
      <c r="V8" s="32"/>
      <c r="W8" s="32"/>
      <c r="X8" s="32"/>
      <c r="Y8" s="32"/>
      <c r="Z8" s="33"/>
    </row>
    <row r="9" spans="2:28" x14ac:dyDescent="0.25">
      <c r="B9" s="24" t="s">
        <v>15</v>
      </c>
      <c r="C9" s="31"/>
      <c r="D9" s="32"/>
      <c r="E9" s="32"/>
      <c r="F9" s="32"/>
      <c r="G9" s="32"/>
      <c r="H9" s="33"/>
      <c r="I9" s="31"/>
      <c r="J9" s="32"/>
      <c r="K9" s="32"/>
      <c r="L9" s="32"/>
      <c r="M9" s="32"/>
      <c r="N9" s="33"/>
      <c r="O9" s="31"/>
      <c r="P9" s="32"/>
      <c r="Q9" s="32"/>
      <c r="R9" s="32"/>
      <c r="S9" s="32"/>
      <c r="T9" s="33"/>
      <c r="U9" s="31"/>
      <c r="V9" s="32"/>
      <c r="W9" s="32"/>
      <c r="X9" s="32"/>
      <c r="Y9" s="32"/>
      <c r="Z9" s="33"/>
    </row>
    <row r="10" spans="2:28" x14ac:dyDescent="0.25">
      <c r="B10" s="24" t="s">
        <v>16</v>
      </c>
      <c r="C10" s="31"/>
      <c r="D10" s="32"/>
      <c r="E10" s="32"/>
      <c r="F10" s="32"/>
      <c r="G10" s="32"/>
      <c r="H10" s="33"/>
      <c r="I10" s="31"/>
      <c r="J10" s="32"/>
      <c r="K10" s="32"/>
      <c r="L10" s="32"/>
      <c r="M10" s="32"/>
      <c r="N10" s="33"/>
      <c r="O10" s="31"/>
      <c r="P10" s="32"/>
      <c r="Q10" s="32"/>
      <c r="R10" s="32"/>
      <c r="S10" s="32"/>
      <c r="T10" s="33"/>
      <c r="U10" s="31"/>
      <c r="V10" s="32"/>
      <c r="W10" s="32"/>
      <c r="X10" s="32"/>
      <c r="Y10" s="32"/>
      <c r="Z10" s="33"/>
    </row>
    <row r="11" spans="2:28" x14ac:dyDescent="0.25">
      <c r="B11" s="24" t="s">
        <v>17</v>
      </c>
      <c r="C11" s="31"/>
      <c r="D11" s="32"/>
      <c r="E11" s="32"/>
      <c r="F11" s="32"/>
      <c r="G11" s="32"/>
      <c r="H11" s="33"/>
      <c r="I11" s="31"/>
      <c r="J11" s="32"/>
      <c r="K11" s="32"/>
      <c r="L11" s="32"/>
      <c r="M11" s="32"/>
      <c r="N11" s="33"/>
      <c r="O11" s="31"/>
      <c r="P11" s="32"/>
      <c r="Q11" s="32"/>
      <c r="R11" s="32"/>
      <c r="S11" s="32"/>
      <c r="T11" s="33"/>
      <c r="U11" s="31"/>
      <c r="V11" s="32"/>
      <c r="W11" s="32"/>
      <c r="X11" s="32"/>
      <c r="Y11" s="32"/>
      <c r="Z11" s="33"/>
    </row>
    <row r="12" spans="2:28" x14ac:dyDescent="0.25">
      <c r="B12" s="24" t="s">
        <v>18</v>
      </c>
      <c r="C12" s="31"/>
      <c r="D12" s="32"/>
      <c r="E12" s="32"/>
      <c r="F12" s="32"/>
      <c r="G12" s="32"/>
      <c r="H12" s="33"/>
      <c r="I12" s="31"/>
      <c r="J12" s="32"/>
      <c r="K12" s="32"/>
      <c r="L12" s="32"/>
      <c r="M12" s="32"/>
      <c r="N12" s="33"/>
      <c r="O12" s="31"/>
      <c r="P12" s="32"/>
      <c r="Q12" s="32"/>
      <c r="R12" s="32"/>
      <c r="S12" s="32"/>
      <c r="T12" s="33"/>
      <c r="U12" s="31"/>
      <c r="V12" s="32"/>
      <c r="W12" s="32"/>
      <c r="X12" s="32"/>
      <c r="Y12" s="32"/>
      <c r="Z12" s="33"/>
    </row>
    <row r="13" spans="2:28" x14ac:dyDescent="0.25">
      <c r="B13" s="34" t="s">
        <v>19</v>
      </c>
      <c r="C13" s="35">
        <f t="shared" ref="C13:Z13" si="1">SUM(C4:C12)</f>
        <v>10000</v>
      </c>
      <c r="D13" s="36">
        <f t="shared" si="1"/>
        <v>6000</v>
      </c>
      <c r="E13" s="36">
        <f t="shared" si="1"/>
        <v>6000</v>
      </c>
      <c r="F13" s="36">
        <f t="shared" si="1"/>
        <v>11000</v>
      </c>
      <c r="G13" s="36">
        <f t="shared" si="1"/>
        <v>11000</v>
      </c>
      <c r="H13" s="37">
        <f t="shared" si="1"/>
        <v>11000</v>
      </c>
      <c r="I13" s="35">
        <f t="shared" si="1"/>
        <v>12000</v>
      </c>
      <c r="J13" s="36">
        <f t="shared" si="1"/>
        <v>12000</v>
      </c>
      <c r="K13" s="36">
        <f t="shared" si="1"/>
        <v>12000</v>
      </c>
      <c r="L13" s="36">
        <f t="shared" si="1"/>
        <v>13000</v>
      </c>
      <c r="M13" s="36">
        <f t="shared" si="1"/>
        <v>13000</v>
      </c>
      <c r="N13" s="37">
        <f t="shared" si="1"/>
        <v>13000</v>
      </c>
      <c r="O13" s="35">
        <f t="shared" si="1"/>
        <v>15000</v>
      </c>
      <c r="P13" s="36">
        <f t="shared" si="1"/>
        <v>6000</v>
      </c>
      <c r="Q13" s="36">
        <f t="shared" si="1"/>
        <v>15000</v>
      </c>
      <c r="R13" s="36">
        <f t="shared" si="1"/>
        <v>15000</v>
      </c>
      <c r="S13" s="36">
        <f t="shared" si="1"/>
        <v>15000</v>
      </c>
      <c r="T13" s="37">
        <f t="shared" si="1"/>
        <v>15000</v>
      </c>
      <c r="U13" s="35">
        <f t="shared" si="1"/>
        <v>15000</v>
      </c>
      <c r="V13" s="36">
        <f t="shared" si="1"/>
        <v>15000</v>
      </c>
      <c r="W13" s="36">
        <f t="shared" si="1"/>
        <v>15000</v>
      </c>
      <c r="X13" s="36">
        <f t="shared" si="1"/>
        <v>15000</v>
      </c>
      <c r="Y13" s="36">
        <f t="shared" si="1"/>
        <v>15000</v>
      </c>
      <c r="Z13" s="37">
        <f t="shared" si="1"/>
        <v>15000</v>
      </c>
      <c r="AA13" s="32">
        <f>SUM(C13:N13)</f>
        <v>130000</v>
      </c>
      <c r="AB13" s="32">
        <f>SUM(O13:Z13)</f>
        <v>171000</v>
      </c>
    </row>
    <row r="14" spans="2:28" x14ac:dyDescent="0.25">
      <c r="B14" s="24" t="s">
        <v>20</v>
      </c>
      <c r="C14" s="35"/>
      <c r="D14" s="36"/>
      <c r="E14" s="36"/>
      <c r="F14" s="36"/>
      <c r="G14" s="36"/>
      <c r="H14" s="37"/>
      <c r="I14" s="36"/>
      <c r="J14" s="36"/>
      <c r="K14" s="36"/>
      <c r="L14" s="36"/>
      <c r="M14" s="36"/>
      <c r="N14" s="37"/>
      <c r="O14" s="35"/>
      <c r="P14" s="36"/>
      <c r="Q14" s="36"/>
      <c r="R14" s="36"/>
      <c r="S14" s="36"/>
      <c r="T14" s="37"/>
      <c r="U14" s="35"/>
      <c r="V14" s="36"/>
      <c r="W14" s="36"/>
      <c r="X14" s="36"/>
      <c r="Y14" s="36"/>
      <c r="Z14" s="37"/>
      <c r="AA14" s="32"/>
      <c r="AB14" s="32"/>
    </row>
    <row r="15" spans="2:28" x14ac:dyDescent="0.25">
      <c r="B15" s="24" t="s">
        <v>11</v>
      </c>
      <c r="C15" s="35"/>
      <c r="D15" s="36"/>
      <c r="E15" s="36"/>
      <c r="F15" s="36"/>
      <c r="G15" s="36"/>
      <c r="H15" s="37"/>
      <c r="I15" s="36"/>
      <c r="J15" s="36"/>
      <c r="K15" s="36"/>
      <c r="L15" s="36"/>
      <c r="M15" s="36"/>
      <c r="N15" s="37"/>
      <c r="O15" s="35"/>
      <c r="P15" s="36"/>
      <c r="Q15" s="36"/>
      <c r="R15" s="36"/>
      <c r="S15" s="36"/>
      <c r="T15" s="37"/>
      <c r="U15" s="35"/>
      <c r="V15" s="36"/>
      <c r="W15" s="36"/>
      <c r="X15" s="36"/>
      <c r="Y15" s="36"/>
      <c r="Z15" s="37"/>
      <c r="AA15" s="32"/>
      <c r="AB15" s="32"/>
    </row>
    <row r="16" spans="2:28" x14ac:dyDescent="0.25">
      <c r="B16" s="24" t="s">
        <v>12</v>
      </c>
      <c r="C16" s="35"/>
      <c r="D16" s="36"/>
      <c r="E16" s="36"/>
      <c r="F16" s="36"/>
      <c r="G16" s="36"/>
      <c r="H16" s="37"/>
      <c r="I16" s="36"/>
      <c r="J16" s="36"/>
      <c r="K16" s="36"/>
      <c r="L16" s="36"/>
      <c r="M16" s="36"/>
      <c r="N16" s="37"/>
      <c r="O16" s="35"/>
      <c r="P16" s="36"/>
      <c r="Q16" s="36"/>
      <c r="R16" s="36"/>
      <c r="S16" s="36"/>
      <c r="T16" s="37"/>
      <c r="U16" s="35"/>
      <c r="V16" s="36"/>
      <c r="W16" s="36"/>
      <c r="X16" s="36"/>
      <c r="Y16" s="36"/>
      <c r="Z16" s="37"/>
      <c r="AA16" s="32"/>
      <c r="AB16" s="32"/>
    </row>
    <row r="17" spans="2:28" x14ac:dyDescent="0.25">
      <c r="B17" s="24" t="s">
        <v>13</v>
      </c>
      <c r="C17" s="35"/>
      <c r="D17" s="36"/>
      <c r="E17" s="36"/>
      <c r="F17" s="36"/>
      <c r="G17" s="36"/>
      <c r="H17" s="37"/>
      <c r="I17" s="36"/>
      <c r="J17" s="36"/>
      <c r="K17" s="36"/>
      <c r="L17" s="36"/>
      <c r="M17" s="36"/>
      <c r="N17" s="37"/>
      <c r="O17" s="35"/>
      <c r="P17" s="36"/>
      <c r="Q17" s="36"/>
      <c r="R17" s="36"/>
      <c r="S17" s="36"/>
      <c r="T17" s="37"/>
      <c r="U17" s="35"/>
      <c r="V17" s="36"/>
      <c r="W17" s="36"/>
      <c r="X17" s="36"/>
      <c r="Y17" s="36"/>
      <c r="Z17" s="37"/>
      <c r="AA17" s="32"/>
      <c r="AB17" s="32"/>
    </row>
    <row r="18" spans="2:28" x14ac:dyDescent="0.25">
      <c r="B18" s="24" t="s">
        <v>14</v>
      </c>
      <c r="C18" s="35"/>
      <c r="D18" s="36"/>
      <c r="E18" s="36"/>
      <c r="F18" s="36"/>
      <c r="G18" s="36"/>
      <c r="H18" s="37"/>
      <c r="I18" s="36"/>
      <c r="J18" s="36"/>
      <c r="K18" s="36"/>
      <c r="L18" s="36"/>
      <c r="M18" s="36"/>
      <c r="N18" s="37"/>
      <c r="O18" s="35"/>
      <c r="P18" s="36"/>
      <c r="Q18" s="36"/>
      <c r="R18" s="36"/>
      <c r="S18" s="36"/>
      <c r="T18" s="37"/>
      <c r="U18" s="35"/>
      <c r="V18" s="36"/>
      <c r="W18" s="36"/>
      <c r="X18" s="36"/>
      <c r="Y18" s="36"/>
      <c r="Z18" s="37"/>
      <c r="AA18" s="32"/>
      <c r="AB18" s="32"/>
    </row>
    <row r="19" spans="2:28" x14ac:dyDescent="0.25">
      <c r="B19" s="24" t="s">
        <v>15</v>
      </c>
      <c r="C19" s="35"/>
      <c r="D19" s="36"/>
      <c r="E19" s="36"/>
      <c r="F19" s="36"/>
      <c r="G19" s="36"/>
      <c r="H19" s="37"/>
      <c r="I19" s="36"/>
      <c r="J19" s="36"/>
      <c r="K19" s="36"/>
      <c r="L19" s="36"/>
      <c r="M19" s="36"/>
      <c r="N19" s="37"/>
      <c r="O19" s="35"/>
      <c r="P19" s="36"/>
      <c r="Q19" s="36"/>
      <c r="R19" s="36"/>
      <c r="S19" s="36"/>
      <c r="T19" s="37"/>
      <c r="U19" s="35"/>
      <c r="V19" s="36"/>
      <c r="W19" s="36"/>
      <c r="X19" s="36"/>
      <c r="Y19" s="36"/>
      <c r="Z19" s="37"/>
      <c r="AA19" s="32"/>
      <c r="AB19" s="32"/>
    </row>
    <row r="20" spans="2:28" x14ac:dyDescent="0.25">
      <c r="B20" s="24" t="s">
        <v>16</v>
      </c>
      <c r="C20" s="35"/>
      <c r="D20" s="36"/>
      <c r="E20" s="36"/>
      <c r="F20" s="36"/>
      <c r="G20" s="36"/>
      <c r="H20" s="37"/>
      <c r="I20" s="36"/>
      <c r="J20" s="36"/>
      <c r="K20" s="36"/>
      <c r="L20" s="36"/>
      <c r="M20" s="36"/>
      <c r="N20" s="37"/>
      <c r="O20" s="35"/>
      <c r="P20" s="36"/>
      <c r="Q20" s="36"/>
      <c r="R20" s="36"/>
      <c r="S20" s="36"/>
      <c r="T20" s="37"/>
      <c r="U20" s="35"/>
      <c r="V20" s="36"/>
      <c r="W20" s="36"/>
      <c r="X20" s="36"/>
      <c r="Y20" s="36"/>
      <c r="Z20" s="37"/>
      <c r="AA20" s="32"/>
      <c r="AB20" s="32"/>
    </row>
    <row r="21" spans="2:28" x14ac:dyDescent="0.25">
      <c r="B21" s="24" t="s">
        <v>17</v>
      </c>
      <c r="C21" s="35"/>
      <c r="D21" s="36"/>
      <c r="E21" s="36"/>
      <c r="F21" s="36"/>
      <c r="G21" s="36"/>
      <c r="H21" s="37"/>
      <c r="I21" s="36"/>
      <c r="J21" s="36"/>
      <c r="K21" s="36"/>
      <c r="L21" s="36"/>
      <c r="M21" s="36"/>
      <c r="N21" s="37"/>
      <c r="O21" s="35"/>
      <c r="P21" s="36"/>
      <c r="Q21" s="36"/>
      <c r="R21" s="36"/>
      <c r="S21" s="36"/>
      <c r="T21" s="37"/>
      <c r="U21" s="35"/>
      <c r="V21" s="36"/>
      <c r="W21" s="36"/>
      <c r="X21" s="36"/>
      <c r="Y21" s="36"/>
      <c r="Z21" s="37"/>
      <c r="AA21" s="32"/>
      <c r="AB21" s="32"/>
    </row>
    <row r="22" spans="2:28" x14ac:dyDescent="0.25">
      <c r="B22" s="24" t="s">
        <v>18</v>
      </c>
      <c r="C22" s="35"/>
      <c r="D22" s="36"/>
      <c r="E22" s="36"/>
      <c r="F22" s="36"/>
      <c r="G22" s="36"/>
      <c r="H22" s="37"/>
      <c r="I22" s="36"/>
      <c r="J22" s="36"/>
      <c r="K22" s="36"/>
      <c r="L22" s="36"/>
      <c r="M22" s="36"/>
      <c r="N22" s="37"/>
      <c r="O22" s="35"/>
      <c r="P22" s="36"/>
      <c r="Q22" s="36"/>
      <c r="R22" s="36"/>
      <c r="S22" s="36"/>
      <c r="T22" s="37"/>
      <c r="U22" s="35"/>
      <c r="V22" s="36"/>
      <c r="W22" s="36"/>
      <c r="X22" s="36"/>
      <c r="Y22" s="36"/>
      <c r="Z22" s="37"/>
      <c r="AA22" s="32"/>
      <c r="AB22" s="32"/>
    </row>
    <row r="23" spans="2:28" x14ac:dyDescent="0.25">
      <c r="B23" s="34" t="s">
        <v>21</v>
      </c>
      <c r="C23" s="38">
        <f t="shared" ref="C23:Z23" si="2">SUM(C14:C22)</f>
        <v>0</v>
      </c>
      <c r="D23" s="39">
        <f t="shared" si="2"/>
        <v>0</v>
      </c>
      <c r="E23" s="39">
        <f t="shared" si="2"/>
        <v>0</v>
      </c>
      <c r="F23" s="39">
        <f t="shared" si="2"/>
        <v>0</v>
      </c>
      <c r="G23" s="39">
        <f t="shared" si="2"/>
        <v>0</v>
      </c>
      <c r="H23" s="40">
        <f t="shared" si="2"/>
        <v>0</v>
      </c>
      <c r="I23" s="39">
        <f t="shared" si="2"/>
        <v>0</v>
      </c>
      <c r="J23" s="39">
        <f t="shared" si="2"/>
        <v>0</v>
      </c>
      <c r="K23" s="39">
        <f t="shared" si="2"/>
        <v>0</v>
      </c>
      <c r="L23" s="39">
        <f t="shared" si="2"/>
        <v>0</v>
      </c>
      <c r="M23" s="39">
        <f t="shared" si="2"/>
        <v>0</v>
      </c>
      <c r="N23" s="40">
        <f t="shared" si="2"/>
        <v>0</v>
      </c>
      <c r="O23" s="38">
        <f t="shared" si="2"/>
        <v>0</v>
      </c>
      <c r="P23" s="39">
        <f t="shared" si="2"/>
        <v>0</v>
      </c>
      <c r="Q23" s="39">
        <f t="shared" si="2"/>
        <v>0</v>
      </c>
      <c r="R23" s="39">
        <f t="shared" si="2"/>
        <v>0</v>
      </c>
      <c r="S23" s="39">
        <f t="shared" si="2"/>
        <v>0</v>
      </c>
      <c r="T23" s="40">
        <f t="shared" si="2"/>
        <v>0</v>
      </c>
      <c r="U23" s="38">
        <f t="shared" si="2"/>
        <v>0</v>
      </c>
      <c r="V23" s="39">
        <f t="shared" si="2"/>
        <v>0</v>
      </c>
      <c r="W23" s="39">
        <f t="shared" si="2"/>
        <v>0</v>
      </c>
      <c r="X23" s="39">
        <f t="shared" si="2"/>
        <v>0</v>
      </c>
      <c r="Y23" s="39">
        <f t="shared" si="2"/>
        <v>0</v>
      </c>
      <c r="Z23" s="40">
        <f t="shared" si="2"/>
        <v>0</v>
      </c>
      <c r="AA23" s="32">
        <f>SUM(C23:N23)</f>
        <v>0</v>
      </c>
      <c r="AB23" s="32">
        <f>SUM(O23:Z23)</f>
        <v>0</v>
      </c>
    </row>
    <row r="24" spans="2:28" x14ac:dyDescent="0.25">
      <c r="B24" s="24" t="s">
        <v>22</v>
      </c>
      <c r="C24" s="38">
        <f t="shared" ref="C24:Z24" si="3">SUM(C13:C23)</f>
        <v>10000</v>
      </c>
      <c r="D24" s="39">
        <f t="shared" si="3"/>
        <v>6000</v>
      </c>
      <c r="E24" s="39">
        <f t="shared" si="3"/>
        <v>6000</v>
      </c>
      <c r="F24" s="39">
        <f t="shared" si="3"/>
        <v>11000</v>
      </c>
      <c r="G24" s="39">
        <f t="shared" si="3"/>
        <v>11000</v>
      </c>
      <c r="H24" s="40">
        <f t="shared" si="3"/>
        <v>11000</v>
      </c>
      <c r="I24" s="38">
        <f t="shared" si="3"/>
        <v>12000</v>
      </c>
      <c r="J24" s="39">
        <f t="shared" si="3"/>
        <v>12000</v>
      </c>
      <c r="K24" s="39">
        <f t="shared" si="3"/>
        <v>12000</v>
      </c>
      <c r="L24" s="39">
        <f t="shared" si="3"/>
        <v>13000</v>
      </c>
      <c r="M24" s="39">
        <f t="shared" si="3"/>
        <v>13000</v>
      </c>
      <c r="N24" s="40">
        <f t="shared" si="3"/>
        <v>13000</v>
      </c>
      <c r="O24" s="38">
        <f t="shared" si="3"/>
        <v>15000</v>
      </c>
      <c r="P24" s="39">
        <f t="shared" si="3"/>
        <v>6000</v>
      </c>
      <c r="Q24" s="39">
        <f t="shared" si="3"/>
        <v>15000</v>
      </c>
      <c r="R24" s="39">
        <f t="shared" si="3"/>
        <v>15000</v>
      </c>
      <c r="S24" s="39">
        <f t="shared" si="3"/>
        <v>15000</v>
      </c>
      <c r="T24" s="40">
        <f t="shared" si="3"/>
        <v>15000</v>
      </c>
      <c r="U24" s="38">
        <f t="shared" si="3"/>
        <v>15000</v>
      </c>
      <c r="V24" s="39">
        <f t="shared" si="3"/>
        <v>15000</v>
      </c>
      <c r="W24" s="39">
        <f t="shared" si="3"/>
        <v>15000</v>
      </c>
      <c r="X24" s="39">
        <f t="shared" si="3"/>
        <v>15000</v>
      </c>
      <c r="Y24" s="39">
        <f t="shared" si="3"/>
        <v>15000</v>
      </c>
      <c r="Z24" s="40">
        <f t="shared" si="3"/>
        <v>15000</v>
      </c>
      <c r="AA24" s="32">
        <f>SUM(C24:N24)</f>
        <v>130000</v>
      </c>
      <c r="AB24" s="32">
        <f>SUM(O24:Z24)</f>
        <v>171000</v>
      </c>
    </row>
    <row r="25" spans="2:28" x14ac:dyDescent="0.25">
      <c r="B25" s="24" t="s">
        <v>23</v>
      </c>
      <c r="C25" s="35">
        <v>0</v>
      </c>
      <c r="D25" s="36">
        <v>0</v>
      </c>
      <c r="E25" s="36">
        <v>0</v>
      </c>
      <c r="F25" s="36">
        <v>0</v>
      </c>
      <c r="G25" s="36">
        <v>0</v>
      </c>
      <c r="H25" s="37">
        <v>0</v>
      </c>
      <c r="I25" s="35">
        <v>0</v>
      </c>
      <c r="J25" s="36">
        <v>0</v>
      </c>
      <c r="K25" s="36">
        <v>0</v>
      </c>
      <c r="L25" s="36">
        <v>0</v>
      </c>
      <c r="M25" s="36">
        <v>0</v>
      </c>
      <c r="N25" s="37">
        <v>0</v>
      </c>
      <c r="O25" s="35">
        <v>0</v>
      </c>
      <c r="P25" s="36">
        <v>0</v>
      </c>
      <c r="Q25" s="36">
        <v>0</v>
      </c>
      <c r="R25" s="36">
        <v>0</v>
      </c>
      <c r="S25" s="36">
        <v>0</v>
      </c>
      <c r="T25" s="37">
        <v>0</v>
      </c>
      <c r="U25" s="35">
        <v>0</v>
      </c>
      <c r="V25" s="36">
        <v>0</v>
      </c>
      <c r="W25" s="36">
        <v>0</v>
      </c>
      <c r="X25" s="36">
        <v>0</v>
      </c>
      <c r="Y25" s="36">
        <v>0</v>
      </c>
      <c r="Z25" s="37">
        <v>0</v>
      </c>
    </row>
    <row r="26" spans="2:28" ht="15.75" customHeight="1" thickBot="1" x14ac:dyDescent="0.3">
      <c r="B26" s="24" t="s">
        <v>24</v>
      </c>
      <c r="C26" s="41">
        <f t="shared" ref="C26:Z26" si="4">COUNT(C5:C12)</f>
        <v>2</v>
      </c>
      <c r="D26" s="42">
        <f t="shared" si="4"/>
        <v>2</v>
      </c>
      <c r="E26" s="42">
        <f t="shared" si="4"/>
        <v>2</v>
      </c>
      <c r="F26" s="42">
        <f t="shared" si="4"/>
        <v>2</v>
      </c>
      <c r="G26" s="42">
        <f t="shared" si="4"/>
        <v>2</v>
      </c>
      <c r="H26" s="43">
        <f t="shared" si="4"/>
        <v>2</v>
      </c>
      <c r="I26" s="41">
        <f t="shared" si="4"/>
        <v>2</v>
      </c>
      <c r="J26" s="42">
        <f t="shared" si="4"/>
        <v>2</v>
      </c>
      <c r="K26" s="42">
        <f t="shared" si="4"/>
        <v>2</v>
      </c>
      <c r="L26" s="44">
        <f t="shared" si="4"/>
        <v>2</v>
      </c>
      <c r="M26" s="42">
        <f t="shared" si="4"/>
        <v>2</v>
      </c>
      <c r="N26" s="43">
        <f t="shared" si="4"/>
        <v>2</v>
      </c>
      <c r="O26" s="41">
        <f t="shared" si="4"/>
        <v>2</v>
      </c>
      <c r="P26" s="42">
        <f t="shared" si="4"/>
        <v>1</v>
      </c>
      <c r="Q26" s="42">
        <f t="shared" si="4"/>
        <v>2</v>
      </c>
      <c r="R26" s="42">
        <f t="shared" si="4"/>
        <v>2</v>
      </c>
      <c r="S26" s="44">
        <f t="shared" si="4"/>
        <v>2</v>
      </c>
      <c r="T26" s="43">
        <f t="shared" si="4"/>
        <v>2</v>
      </c>
      <c r="U26" s="41">
        <f t="shared" si="4"/>
        <v>2</v>
      </c>
      <c r="V26" s="42">
        <f t="shared" si="4"/>
        <v>2</v>
      </c>
      <c r="W26" s="42">
        <f t="shared" si="4"/>
        <v>2</v>
      </c>
      <c r="X26" s="42">
        <f t="shared" si="4"/>
        <v>2</v>
      </c>
      <c r="Y26" s="44">
        <f t="shared" si="4"/>
        <v>2</v>
      </c>
      <c r="Z26" s="43">
        <f t="shared" si="4"/>
        <v>2</v>
      </c>
    </row>
    <row r="27" spans="2:28" x14ac:dyDescent="0.25">
      <c r="B27" s="45" t="s">
        <v>25</v>
      </c>
      <c r="C27" s="46">
        <f t="shared" ref="C27:Z27" si="5">C24/C26</f>
        <v>5000</v>
      </c>
      <c r="D27" s="46">
        <f t="shared" si="5"/>
        <v>3000</v>
      </c>
      <c r="E27" s="46">
        <f t="shared" si="5"/>
        <v>3000</v>
      </c>
      <c r="F27" s="46">
        <f t="shared" si="5"/>
        <v>5500</v>
      </c>
      <c r="G27" s="46">
        <f t="shared" si="5"/>
        <v>5500</v>
      </c>
      <c r="H27" s="46">
        <f t="shared" si="5"/>
        <v>5500</v>
      </c>
      <c r="I27" s="46">
        <f t="shared" si="5"/>
        <v>6000</v>
      </c>
      <c r="J27" s="46">
        <f t="shared" si="5"/>
        <v>6000</v>
      </c>
      <c r="K27" s="46">
        <f t="shared" si="5"/>
        <v>6000</v>
      </c>
      <c r="L27" s="46">
        <f t="shared" si="5"/>
        <v>6500</v>
      </c>
      <c r="M27" s="46">
        <f t="shared" si="5"/>
        <v>6500</v>
      </c>
      <c r="N27" s="46">
        <f t="shared" si="5"/>
        <v>6500</v>
      </c>
      <c r="O27" s="46">
        <f t="shared" si="5"/>
        <v>7500</v>
      </c>
      <c r="P27" s="46">
        <f t="shared" si="5"/>
        <v>6000</v>
      </c>
      <c r="Q27" s="46">
        <f t="shared" si="5"/>
        <v>7500</v>
      </c>
      <c r="R27" s="46">
        <f t="shared" si="5"/>
        <v>7500</v>
      </c>
      <c r="S27" s="46">
        <f t="shared" si="5"/>
        <v>7500</v>
      </c>
      <c r="T27" s="46">
        <f t="shared" si="5"/>
        <v>7500</v>
      </c>
      <c r="U27" s="46">
        <f t="shared" si="5"/>
        <v>7500</v>
      </c>
      <c r="V27" s="46">
        <f t="shared" si="5"/>
        <v>7500</v>
      </c>
      <c r="W27" s="46">
        <f t="shared" si="5"/>
        <v>7500</v>
      </c>
      <c r="X27" s="46">
        <f t="shared" si="5"/>
        <v>7500</v>
      </c>
      <c r="Y27" s="46">
        <f t="shared" si="5"/>
        <v>7500</v>
      </c>
      <c r="Z27" s="46">
        <f t="shared" si="5"/>
        <v>7500</v>
      </c>
      <c r="AA27" s="45"/>
    </row>
    <row r="28" spans="2:28" ht="15.75" customHeight="1" thickBot="1" x14ac:dyDescent="0.3">
      <c r="B28" s="45" t="s">
        <v>26</v>
      </c>
      <c r="C28" s="46">
        <v>0</v>
      </c>
      <c r="D28" s="46">
        <v>0</v>
      </c>
      <c r="E28" s="46">
        <v>0</v>
      </c>
      <c r="F28" s="46">
        <v>0</v>
      </c>
      <c r="G28" s="46">
        <v>0</v>
      </c>
      <c r="H28" s="46">
        <v>0</v>
      </c>
      <c r="I28" s="46">
        <v>0</v>
      </c>
      <c r="J28" s="46">
        <v>0</v>
      </c>
      <c r="K28" s="46">
        <v>0</v>
      </c>
      <c r="L28" s="46">
        <v>0</v>
      </c>
      <c r="M28" s="46">
        <v>0</v>
      </c>
      <c r="N28" s="46">
        <v>0</v>
      </c>
      <c r="O28" s="46">
        <f>$C$47*O27</f>
        <v>562.5</v>
      </c>
      <c r="P28" s="46">
        <f>$C$47*P27</f>
        <v>450</v>
      </c>
      <c r="Q28" s="46">
        <v>0</v>
      </c>
      <c r="R28" s="46">
        <f>$C$47*R27</f>
        <v>562.5</v>
      </c>
      <c r="S28" s="46">
        <v>0</v>
      </c>
      <c r="T28" s="46">
        <v>0</v>
      </c>
      <c r="U28" s="46">
        <f t="shared" ref="U28:Z28" si="6">$C$47*U27</f>
        <v>562.5</v>
      </c>
      <c r="V28" s="46">
        <f t="shared" si="6"/>
        <v>562.5</v>
      </c>
      <c r="W28" s="46">
        <f t="shared" si="6"/>
        <v>562.5</v>
      </c>
      <c r="X28" s="46">
        <f t="shared" si="6"/>
        <v>562.5</v>
      </c>
      <c r="Y28" s="46">
        <f t="shared" si="6"/>
        <v>562.5</v>
      </c>
      <c r="Z28" s="46">
        <f t="shared" si="6"/>
        <v>562.5</v>
      </c>
      <c r="AA28" s="47">
        <f>SUM(U28:X28)/SUM(U24:X24)</f>
        <v>3.7499999999999999E-2</v>
      </c>
    </row>
    <row r="29" spans="2:28" x14ac:dyDescent="0.25">
      <c r="B29" s="24" t="s">
        <v>27</v>
      </c>
      <c r="C29" s="48">
        <v>6875</v>
      </c>
      <c r="F29" s="24" t="s">
        <v>28</v>
      </c>
      <c r="G29" s="24" t="s">
        <v>29</v>
      </c>
      <c r="K29" s="49" t="s">
        <v>30</v>
      </c>
      <c r="L29" s="50"/>
      <c r="M29" s="50"/>
      <c r="N29" s="50"/>
      <c r="O29" s="51"/>
      <c r="P29" s="51"/>
      <c r="Q29" s="51"/>
      <c r="R29" s="51"/>
      <c r="S29" s="51"/>
      <c r="T29" s="51"/>
      <c r="U29" s="51"/>
      <c r="V29" s="51"/>
      <c r="W29" s="51"/>
      <c r="X29" s="51"/>
      <c r="Y29" s="51"/>
      <c r="Z29" s="52"/>
    </row>
    <row r="30" spans="2:28" ht="15.75" customHeight="1" thickBot="1" x14ac:dyDescent="0.3">
      <c r="B30" s="24" t="s">
        <v>31</v>
      </c>
      <c r="C30" s="48" t="e">
        <f>#REF!</f>
        <v>#REF!</v>
      </c>
      <c r="F30" s="24" t="s">
        <v>32</v>
      </c>
      <c r="G30" s="53" t="e">
        <f>#REF!</f>
        <v>#REF!</v>
      </c>
      <c r="K30" s="54" t="s">
        <v>33</v>
      </c>
      <c r="Z30" s="55"/>
    </row>
    <row r="31" spans="2:28" ht="15.75" customHeight="1" thickBot="1" x14ac:dyDescent="0.3">
      <c r="B31" s="24" t="s">
        <v>34</v>
      </c>
      <c r="C31" s="48" t="e">
        <f>#REF!</f>
        <v>#REF!</v>
      </c>
      <c r="D31" s="56" t="e">
        <f>(C30-C31)/C30</f>
        <v>#REF!</v>
      </c>
      <c r="F31" s="24" t="s">
        <v>35</v>
      </c>
      <c r="G31" s="53" t="e">
        <f>#REF!</f>
        <v>#REF!</v>
      </c>
      <c r="K31" s="54"/>
      <c r="Z31" s="55"/>
    </row>
    <row r="32" spans="2:28" x14ac:dyDescent="0.25">
      <c r="B32" s="24" t="s">
        <v>36</v>
      </c>
      <c r="C32" s="57" t="e">
        <f>C30-C31</f>
        <v>#REF!</v>
      </c>
      <c r="F32" s="24" t="s">
        <v>37</v>
      </c>
      <c r="G32" s="58" t="e">
        <f>#REF!</f>
        <v>#REF!</v>
      </c>
      <c r="K32" s="54" t="s">
        <v>38</v>
      </c>
      <c r="Z32" s="55"/>
    </row>
    <row r="33" spans="2:26" x14ac:dyDescent="0.25">
      <c r="B33" s="24" t="s">
        <v>39</v>
      </c>
      <c r="C33" s="48" t="e">
        <f>#REF!</f>
        <v>#REF!</v>
      </c>
      <c r="K33" s="54"/>
      <c r="Z33" s="55"/>
    </row>
    <row r="34" spans="2:26" x14ac:dyDescent="0.25">
      <c r="B34" s="24" t="s">
        <v>40</v>
      </c>
      <c r="C34" s="57" t="e">
        <f>C32*C33</f>
        <v>#REF!</v>
      </c>
      <c r="K34" s="54" t="s">
        <v>41</v>
      </c>
      <c r="Z34" s="55"/>
    </row>
    <row r="35" spans="2:26" x14ac:dyDescent="0.25">
      <c r="K35" s="54"/>
      <c r="Z35" s="55"/>
    </row>
    <row r="36" spans="2:26" x14ac:dyDescent="0.25">
      <c r="C36" s="24" t="e">
        <f>105*C30*C33</f>
        <v>#REF!</v>
      </c>
      <c r="D36" s="24" t="e">
        <f>4*C36</f>
        <v>#REF!</v>
      </c>
      <c r="K36" s="54" t="s">
        <v>42</v>
      </c>
      <c r="Z36" s="55"/>
    </row>
    <row r="37" spans="2:26" x14ac:dyDescent="0.25">
      <c r="B37" s="24" t="s">
        <v>43</v>
      </c>
      <c r="C37" s="24" t="s">
        <v>44</v>
      </c>
      <c r="K37" s="54"/>
      <c r="Z37" s="55"/>
    </row>
    <row r="38" spans="2:26" x14ac:dyDescent="0.25">
      <c r="B38" s="24" t="s">
        <v>11</v>
      </c>
      <c r="C38" s="59" t="e">
        <f>#REF!</f>
        <v>#REF!</v>
      </c>
      <c r="K38" s="54" t="s">
        <v>45</v>
      </c>
      <c r="Z38" s="55"/>
    </row>
    <row r="39" spans="2:26" x14ac:dyDescent="0.25">
      <c r="B39" s="24" t="s">
        <v>11</v>
      </c>
      <c r="C39" s="59" t="e">
        <f>#REF!</f>
        <v>#REF!</v>
      </c>
      <c r="K39" s="54"/>
      <c r="Z39" s="55"/>
    </row>
    <row r="40" spans="2:26" x14ac:dyDescent="0.25">
      <c r="B40" s="24" t="s">
        <v>46</v>
      </c>
      <c r="C40" s="48" t="e">
        <f>#REF!</f>
        <v>#REF!</v>
      </c>
      <c r="K40" s="54" t="s">
        <v>47</v>
      </c>
      <c r="Z40" s="55"/>
    </row>
    <row r="41" spans="2:26" x14ac:dyDescent="0.25">
      <c r="B41" s="24" t="s">
        <v>48</v>
      </c>
      <c r="C41" s="48" t="e">
        <f>#REF!</f>
        <v>#REF!</v>
      </c>
      <c r="K41" s="54"/>
      <c r="Z41" s="55"/>
    </row>
    <row r="42" spans="2:26" x14ac:dyDescent="0.25">
      <c r="B42" s="24" t="s">
        <v>49</v>
      </c>
      <c r="C42" s="48" t="e">
        <f>#REF!</f>
        <v>#REF!</v>
      </c>
      <c r="K42" s="54"/>
      <c r="Z42" s="55"/>
    </row>
    <row r="43" spans="2:26" x14ac:dyDescent="0.25">
      <c r="E43" s="24" t="s">
        <v>50</v>
      </c>
      <c r="F43" s="29" t="s">
        <v>51</v>
      </c>
      <c r="G43" s="24" t="s">
        <v>52</v>
      </c>
      <c r="H43" s="24" t="s">
        <v>53</v>
      </c>
      <c r="K43" s="54"/>
      <c r="Z43" s="55"/>
    </row>
    <row r="44" spans="2:26" x14ac:dyDescent="0.25">
      <c r="B44" s="24" t="s">
        <v>54</v>
      </c>
      <c r="E44" s="24">
        <v>10000</v>
      </c>
      <c r="F44" s="60" t="s">
        <v>55</v>
      </c>
      <c r="G44" s="24">
        <v>20000</v>
      </c>
      <c r="H44" s="24">
        <v>0</v>
      </c>
      <c r="I44" s="60">
        <f>SUM(E44:H44)</f>
        <v>30000</v>
      </c>
      <c r="K44" s="54"/>
      <c r="Z44" s="55"/>
    </row>
    <row r="45" spans="2:26" x14ac:dyDescent="0.25">
      <c r="B45" s="24" t="s">
        <v>56</v>
      </c>
      <c r="C45" s="61" t="s">
        <v>29</v>
      </c>
      <c r="E45" s="24" t="s">
        <v>57</v>
      </c>
      <c r="F45" s="62">
        <v>7.4999999999999997E-2</v>
      </c>
      <c r="G45" s="63">
        <v>0.15</v>
      </c>
      <c r="H45" s="63">
        <v>0.2</v>
      </c>
      <c r="K45" s="54"/>
      <c r="Z45" s="55"/>
    </row>
    <row r="46" spans="2:26" ht="15.75" customHeight="1" thickBot="1" x14ac:dyDescent="0.3">
      <c r="B46" s="48" t="s">
        <v>58</v>
      </c>
      <c r="C46" s="53">
        <v>0</v>
      </c>
      <c r="F46" s="64" t="e">
        <f>F44*F45</f>
        <v>#VALUE!</v>
      </c>
      <c r="G46" s="64">
        <f>G44*G45</f>
        <v>3000</v>
      </c>
      <c r="H46" s="64">
        <f>H44*H45</f>
        <v>0</v>
      </c>
      <c r="I46" s="64" t="e">
        <f>SUM(F46:H46)</f>
        <v>#VALUE!</v>
      </c>
      <c r="K46" s="65"/>
      <c r="L46" s="66"/>
      <c r="M46" s="66"/>
      <c r="N46" s="66"/>
      <c r="O46" s="66"/>
      <c r="P46" s="66"/>
      <c r="Q46" s="66"/>
      <c r="R46" s="66"/>
      <c r="S46" s="66"/>
      <c r="T46" s="66"/>
      <c r="U46" s="66"/>
      <c r="V46" s="66"/>
      <c r="W46" s="66"/>
      <c r="X46" s="66"/>
      <c r="Y46" s="66"/>
      <c r="Z46" s="67"/>
    </row>
    <row r="47" spans="2:26" x14ac:dyDescent="0.25">
      <c r="B47" s="48" t="s">
        <v>59</v>
      </c>
      <c r="C47" s="68">
        <v>7.4999999999999997E-2</v>
      </c>
      <c r="I47" s="69" t="e">
        <f>I46/I44</f>
        <v>#VALUE!</v>
      </c>
    </row>
    <row r="48" spans="2:26" x14ac:dyDescent="0.25">
      <c r="B48" s="48" t="s">
        <v>60</v>
      </c>
      <c r="C48" s="53">
        <v>0.15</v>
      </c>
    </row>
    <row r="49" spans="2:4" x14ac:dyDescent="0.25">
      <c r="B49" s="48" t="s">
        <v>61</v>
      </c>
      <c r="C49" s="53">
        <v>0.2</v>
      </c>
    </row>
    <row r="53" spans="2:4" x14ac:dyDescent="0.25">
      <c r="B53" s="24" t="s">
        <v>62</v>
      </c>
    </row>
    <row r="54" spans="2:4" x14ac:dyDescent="0.25">
      <c r="B54" s="48" t="s">
        <v>63</v>
      </c>
      <c r="C54" s="48" t="s">
        <v>64</v>
      </c>
      <c r="D54" s="24" t="s">
        <v>65</v>
      </c>
    </row>
    <row r="55" spans="2:4" x14ac:dyDescent="0.25">
      <c r="B55" s="48" t="s">
        <v>66</v>
      </c>
      <c r="C55" s="48" t="s">
        <v>67</v>
      </c>
      <c r="D55" s="24" t="s">
        <v>65</v>
      </c>
    </row>
    <row r="56" spans="2:4" x14ac:dyDescent="0.25">
      <c r="B56" s="48" t="s">
        <v>68</v>
      </c>
      <c r="C56" s="48" t="s">
        <v>64</v>
      </c>
      <c r="D56" s="24" t="s">
        <v>65</v>
      </c>
    </row>
    <row r="57" spans="2:4" x14ac:dyDescent="0.25">
      <c r="B57" s="48" t="s">
        <v>69</v>
      </c>
      <c r="C57" s="48" t="s">
        <v>64</v>
      </c>
    </row>
    <row r="58" spans="2:4" x14ac:dyDescent="0.25">
      <c r="B58" s="48"/>
      <c r="C58" s="48"/>
    </row>
    <row r="59" spans="2:4" x14ac:dyDescent="0.25">
      <c r="B59" s="48"/>
      <c r="C59" s="48"/>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66"/>
  </sheetPr>
  <dimension ref="A4:BK108"/>
  <sheetViews>
    <sheetView topLeftCell="A9" workbookViewId="0">
      <selection activeCell="T21" sqref="T21"/>
    </sheetView>
  </sheetViews>
  <sheetFormatPr defaultRowHeight="15" x14ac:dyDescent="0.25"/>
  <cols>
    <col min="1" max="1" width="2.42578125" customWidth="1"/>
    <col min="6" max="6" width="10.7109375" bestFit="1" customWidth="1"/>
    <col min="18" max="18" width="10.28515625" bestFit="1" customWidth="1"/>
  </cols>
  <sheetData>
    <row r="4" spans="1:63" x14ac:dyDescent="0.25">
      <c r="P4">
        <v>1</v>
      </c>
      <c r="Q4">
        <v>2</v>
      </c>
      <c r="R4">
        <v>3</v>
      </c>
      <c r="S4">
        <v>4</v>
      </c>
      <c r="T4">
        <v>5</v>
      </c>
      <c r="U4">
        <v>6</v>
      </c>
      <c r="V4">
        <v>7</v>
      </c>
      <c r="W4">
        <v>8</v>
      </c>
      <c r="X4">
        <v>9</v>
      </c>
      <c r="Y4">
        <v>10</v>
      </c>
      <c r="Z4">
        <v>11</v>
      </c>
      <c r="AA4">
        <v>12</v>
      </c>
      <c r="AB4">
        <v>13</v>
      </c>
      <c r="AC4">
        <v>14</v>
      </c>
      <c r="AD4">
        <v>15</v>
      </c>
      <c r="AE4">
        <v>16</v>
      </c>
      <c r="AF4">
        <v>17</v>
      </c>
      <c r="AG4">
        <v>18</v>
      </c>
      <c r="AH4">
        <v>19</v>
      </c>
      <c r="AI4">
        <v>20</v>
      </c>
      <c r="AJ4">
        <v>21</v>
      </c>
      <c r="AK4">
        <v>22</v>
      </c>
      <c r="AL4">
        <v>23</v>
      </c>
      <c r="AM4">
        <v>24</v>
      </c>
      <c r="AN4">
        <v>25</v>
      </c>
      <c r="AO4">
        <v>26</v>
      </c>
      <c r="AP4">
        <v>27</v>
      </c>
      <c r="AQ4">
        <v>28</v>
      </c>
      <c r="AR4">
        <v>29</v>
      </c>
      <c r="AS4">
        <v>30</v>
      </c>
      <c r="AT4">
        <v>31</v>
      </c>
      <c r="AU4">
        <v>32</v>
      </c>
      <c r="AV4">
        <v>33</v>
      </c>
      <c r="AW4">
        <v>34</v>
      </c>
      <c r="AX4">
        <v>35</v>
      </c>
      <c r="AY4">
        <v>36</v>
      </c>
      <c r="AZ4">
        <v>37</v>
      </c>
      <c r="BA4">
        <v>38</v>
      </c>
      <c r="BB4">
        <v>39</v>
      </c>
      <c r="BC4">
        <v>40</v>
      </c>
      <c r="BD4">
        <v>41</v>
      </c>
      <c r="BE4">
        <v>42</v>
      </c>
      <c r="BF4">
        <v>43</v>
      </c>
      <c r="BG4">
        <v>44</v>
      </c>
      <c r="BH4">
        <v>45</v>
      </c>
      <c r="BI4">
        <v>46</v>
      </c>
      <c r="BJ4">
        <v>47</v>
      </c>
      <c r="BK4">
        <v>48</v>
      </c>
    </row>
    <row r="5" spans="1:63" ht="60.75" customHeight="1" x14ac:dyDescent="0.25">
      <c r="A5" s="9"/>
      <c r="B5" s="9" t="s">
        <v>70</v>
      </c>
      <c r="C5" s="9" t="s">
        <v>71</v>
      </c>
      <c r="D5" s="9" t="s">
        <v>72</v>
      </c>
      <c r="E5" s="9" t="s">
        <v>73</v>
      </c>
      <c r="F5" s="5" t="s">
        <v>10</v>
      </c>
      <c r="G5" s="3" t="s">
        <v>74</v>
      </c>
      <c r="H5" s="3" t="s">
        <v>75</v>
      </c>
      <c r="I5" s="3" t="s">
        <v>76</v>
      </c>
      <c r="J5" s="15" t="s">
        <v>77</v>
      </c>
      <c r="K5" s="15" t="s">
        <v>78</v>
      </c>
      <c r="L5" s="15" t="s">
        <v>79</v>
      </c>
      <c r="M5" s="15" t="s">
        <v>80</v>
      </c>
      <c r="N5" s="15" t="s">
        <v>81</v>
      </c>
      <c r="O5" s="15" t="s">
        <v>82</v>
      </c>
      <c r="P5" s="4">
        <v>45170</v>
      </c>
      <c r="Q5" s="4">
        <v>45200</v>
      </c>
      <c r="R5" s="4">
        <v>45231</v>
      </c>
      <c r="S5" s="4">
        <v>45261</v>
      </c>
      <c r="T5" s="4">
        <v>45292</v>
      </c>
      <c r="U5" s="4">
        <v>45323</v>
      </c>
      <c r="V5" s="4">
        <v>45352</v>
      </c>
      <c r="W5" s="4">
        <v>45383</v>
      </c>
      <c r="X5" s="4">
        <v>45413</v>
      </c>
      <c r="Y5" s="4">
        <v>45444</v>
      </c>
      <c r="Z5" s="4">
        <v>45474</v>
      </c>
      <c r="AA5" s="4">
        <v>45505</v>
      </c>
      <c r="AB5" s="4">
        <v>45536</v>
      </c>
      <c r="AC5" s="4">
        <v>45566</v>
      </c>
      <c r="AD5" s="4">
        <v>45597</v>
      </c>
      <c r="AE5" s="4">
        <v>45627</v>
      </c>
      <c r="AF5" s="4">
        <v>45658</v>
      </c>
      <c r="AG5" s="4">
        <v>45689</v>
      </c>
      <c r="AH5" s="4">
        <v>45717</v>
      </c>
      <c r="AI5" s="4">
        <v>45748</v>
      </c>
      <c r="AJ5" s="4">
        <v>45778</v>
      </c>
      <c r="AK5" s="4">
        <v>45809</v>
      </c>
      <c r="AL5" s="4">
        <v>45839</v>
      </c>
      <c r="AM5" s="4">
        <v>45870</v>
      </c>
      <c r="AN5" s="4">
        <v>45901</v>
      </c>
      <c r="AO5" s="4">
        <v>45931</v>
      </c>
      <c r="AP5" s="4">
        <v>45962</v>
      </c>
      <c r="AQ5" s="4">
        <v>45992</v>
      </c>
      <c r="AR5" s="4">
        <v>46023</v>
      </c>
      <c r="AS5" s="4">
        <v>46054</v>
      </c>
      <c r="AT5" s="4">
        <v>46082</v>
      </c>
      <c r="AU5" s="4">
        <v>46113</v>
      </c>
      <c r="AV5" s="4">
        <v>46143</v>
      </c>
      <c r="AW5" s="4">
        <v>46174</v>
      </c>
      <c r="AX5" s="4">
        <v>46204</v>
      </c>
      <c r="AY5" s="4">
        <v>46235</v>
      </c>
      <c r="AZ5" s="4">
        <v>46266</v>
      </c>
      <c r="BA5" s="4">
        <v>46296</v>
      </c>
      <c r="BB5" s="4">
        <v>46327</v>
      </c>
      <c r="BC5" s="4">
        <v>46357</v>
      </c>
      <c r="BD5" s="4">
        <v>46388</v>
      </c>
      <c r="BE5" s="4">
        <v>46419</v>
      </c>
      <c r="BF5" s="4">
        <v>46447</v>
      </c>
      <c r="BG5" s="4">
        <v>46478</v>
      </c>
      <c r="BH5" s="4">
        <v>46508</v>
      </c>
      <c r="BI5" s="4">
        <v>46539</v>
      </c>
      <c r="BJ5" s="4">
        <v>46569</v>
      </c>
      <c r="BK5" s="4">
        <v>46600</v>
      </c>
    </row>
    <row r="6" spans="1:63" x14ac:dyDescent="0.25">
      <c r="A6" s="10"/>
      <c r="B6" s="11">
        <f t="shared" ref="B6:E10" si="0">$J6/12*K6</f>
        <v>8000</v>
      </c>
      <c r="C6" s="11">
        <f t="shared" si="0"/>
        <v>8000</v>
      </c>
      <c r="D6" s="11">
        <f t="shared" si="0"/>
        <v>8000</v>
      </c>
      <c r="E6" s="11">
        <f t="shared" si="0"/>
        <v>8000</v>
      </c>
      <c r="G6" s="20" t="e">
        <f>#REF!</f>
        <v>#REF!</v>
      </c>
      <c r="H6" s="20" t="e">
        <f>#REF!</f>
        <v>#REF!</v>
      </c>
      <c r="I6" s="21" t="e">
        <f>#REF!</f>
        <v>#REF!</v>
      </c>
      <c r="J6" s="13">
        <f>12*8000</f>
        <v>96000</v>
      </c>
      <c r="K6" s="14">
        <v>1</v>
      </c>
      <c r="L6" s="14">
        <v>1</v>
      </c>
      <c r="M6" s="14">
        <v>1</v>
      </c>
      <c r="N6" s="14">
        <v>1</v>
      </c>
      <c r="O6" s="13">
        <v>1</v>
      </c>
      <c r="P6" s="16" t="e">
        <f t="shared" ref="P6:AA18" si="1">IF(P$4&gt;=($O6+($I6-$P$5)/30.5),$K6*$J6/12,0)</f>
        <v>#REF!</v>
      </c>
      <c r="Q6" s="16" t="e">
        <f t="shared" si="1"/>
        <v>#REF!</v>
      </c>
      <c r="R6" s="16" t="e">
        <f t="shared" si="1"/>
        <v>#REF!</v>
      </c>
      <c r="S6" s="16" t="e">
        <f t="shared" si="1"/>
        <v>#REF!</v>
      </c>
      <c r="T6" s="16" t="e">
        <f t="shared" si="1"/>
        <v>#REF!</v>
      </c>
      <c r="U6" s="16" t="e">
        <f t="shared" si="1"/>
        <v>#REF!</v>
      </c>
      <c r="V6" s="16" t="e">
        <f t="shared" si="1"/>
        <v>#REF!</v>
      </c>
      <c r="W6" s="16" t="e">
        <f t="shared" si="1"/>
        <v>#REF!</v>
      </c>
      <c r="X6" s="16" t="e">
        <f t="shared" si="1"/>
        <v>#REF!</v>
      </c>
      <c r="Y6" s="16" t="e">
        <f t="shared" si="1"/>
        <v>#REF!</v>
      </c>
      <c r="Z6" s="16" t="e">
        <f t="shared" si="1"/>
        <v>#REF!</v>
      </c>
      <c r="AA6" s="16" t="e">
        <f t="shared" si="1"/>
        <v>#REF!</v>
      </c>
      <c r="AB6" s="16" t="e">
        <f t="shared" ref="AB6:AM18" si="2">IF(AB$4&gt;=($O6+($I6-$P$5)/30.5),$L6*$J6/12,0)</f>
        <v>#REF!</v>
      </c>
      <c r="AC6" s="16" t="e">
        <f t="shared" si="2"/>
        <v>#REF!</v>
      </c>
      <c r="AD6" s="16" t="e">
        <f t="shared" si="2"/>
        <v>#REF!</v>
      </c>
      <c r="AE6" s="16" t="e">
        <f t="shared" si="2"/>
        <v>#REF!</v>
      </c>
      <c r="AF6" s="16" t="e">
        <f t="shared" si="2"/>
        <v>#REF!</v>
      </c>
      <c r="AG6" s="16" t="e">
        <f t="shared" si="2"/>
        <v>#REF!</v>
      </c>
      <c r="AH6" s="16" t="e">
        <f t="shared" si="2"/>
        <v>#REF!</v>
      </c>
      <c r="AI6" s="16" t="e">
        <f t="shared" si="2"/>
        <v>#REF!</v>
      </c>
      <c r="AJ6" s="16" t="e">
        <f t="shared" si="2"/>
        <v>#REF!</v>
      </c>
      <c r="AK6" s="16" t="e">
        <f t="shared" si="2"/>
        <v>#REF!</v>
      </c>
      <c r="AL6" s="16" t="e">
        <f t="shared" si="2"/>
        <v>#REF!</v>
      </c>
      <c r="AM6" s="16" t="e">
        <f t="shared" si="2"/>
        <v>#REF!</v>
      </c>
      <c r="AN6" s="16" t="e">
        <f t="shared" ref="AN6:AY18" si="3">IF(AN$4&gt;=($O6+($I6-$P$5)/30.5),$M6*$J6/12,0)</f>
        <v>#REF!</v>
      </c>
      <c r="AO6" s="16" t="e">
        <f t="shared" si="3"/>
        <v>#REF!</v>
      </c>
      <c r="AP6" s="16" t="e">
        <f t="shared" si="3"/>
        <v>#REF!</v>
      </c>
      <c r="AQ6" s="16" t="e">
        <f t="shared" si="3"/>
        <v>#REF!</v>
      </c>
      <c r="AR6" s="16" t="e">
        <f t="shared" si="3"/>
        <v>#REF!</v>
      </c>
      <c r="AS6" s="16" t="e">
        <f t="shared" si="3"/>
        <v>#REF!</v>
      </c>
      <c r="AT6" s="16" t="e">
        <f t="shared" si="3"/>
        <v>#REF!</v>
      </c>
      <c r="AU6" s="16" t="e">
        <f t="shared" si="3"/>
        <v>#REF!</v>
      </c>
      <c r="AV6" s="16" t="e">
        <f t="shared" si="3"/>
        <v>#REF!</v>
      </c>
      <c r="AW6" s="16" t="e">
        <f t="shared" si="3"/>
        <v>#REF!</v>
      </c>
      <c r="AX6" s="16" t="e">
        <f t="shared" si="3"/>
        <v>#REF!</v>
      </c>
      <c r="AY6" s="16" t="e">
        <f t="shared" si="3"/>
        <v>#REF!</v>
      </c>
      <c r="AZ6" s="16" t="e">
        <f t="shared" ref="AZ6:BK18" si="4">IF(AZ$4&gt;=($O6+($I6-$P$5)/30.5),$N6*$J6/12,0)</f>
        <v>#REF!</v>
      </c>
      <c r="BA6" s="16" t="e">
        <f t="shared" si="4"/>
        <v>#REF!</v>
      </c>
      <c r="BB6" s="16" t="e">
        <f t="shared" si="4"/>
        <v>#REF!</v>
      </c>
      <c r="BC6" s="16" t="e">
        <f t="shared" si="4"/>
        <v>#REF!</v>
      </c>
      <c r="BD6" s="16" t="e">
        <f t="shared" si="4"/>
        <v>#REF!</v>
      </c>
      <c r="BE6" s="16" t="e">
        <f t="shared" si="4"/>
        <v>#REF!</v>
      </c>
      <c r="BF6" s="16" t="e">
        <f t="shared" si="4"/>
        <v>#REF!</v>
      </c>
      <c r="BG6" s="16" t="e">
        <f t="shared" si="4"/>
        <v>#REF!</v>
      </c>
      <c r="BH6" s="16" t="e">
        <f t="shared" si="4"/>
        <v>#REF!</v>
      </c>
      <c r="BI6" s="16" t="e">
        <f t="shared" si="4"/>
        <v>#REF!</v>
      </c>
      <c r="BJ6" s="16" t="e">
        <f t="shared" si="4"/>
        <v>#REF!</v>
      </c>
      <c r="BK6" s="16" t="e">
        <f t="shared" si="4"/>
        <v>#REF!</v>
      </c>
    </row>
    <row r="7" spans="1:63" x14ac:dyDescent="0.25">
      <c r="A7" s="10"/>
      <c r="B7" s="11">
        <f t="shared" si="0"/>
        <v>7500</v>
      </c>
      <c r="C7" s="11">
        <f t="shared" si="0"/>
        <v>10000</v>
      </c>
      <c r="D7" s="11">
        <f t="shared" si="0"/>
        <v>10000</v>
      </c>
      <c r="E7" s="11">
        <f t="shared" si="0"/>
        <v>10000</v>
      </c>
      <c r="G7" s="20" t="e">
        <f>#REF!</f>
        <v>#REF!</v>
      </c>
      <c r="H7" s="20" t="e">
        <f>#REF!</f>
        <v>#REF!</v>
      </c>
      <c r="I7" s="21" t="e">
        <f>#REF!</f>
        <v>#REF!</v>
      </c>
      <c r="J7" s="13">
        <v>120000</v>
      </c>
      <c r="K7" s="14">
        <v>0.75</v>
      </c>
      <c r="L7" s="14">
        <v>1</v>
      </c>
      <c r="M7" s="14">
        <v>1</v>
      </c>
      <c r="N7" s="14">
        <v>1</v>
      </c>
      <c r="O7" s="13">
        <v>4</v>
      </c>
      <c r="P7" s="16" t="e">
        <f t="shared" si="1"/>
        <v>#REF!</v>
      </c>
      <c r="Q7" s="16" t="e">
        <f t="shared" si="1"/>
        <v>#REF!</v>
      </c>
      <c r="R7" s="16" t="e">
        <f t="shared" si="1"/>
        <v>#REF!</v>
      </c>
      <c r="S7" s="16" t="e">
        <f t="shared" si="1"/>
        <v>#REF!</v>
      </c>
      <c r="T7" s="16" t="e">
        <f t="shared" si="1"/>
        <v>#REF!</v>
      </c>
      <c r="U7" s="16" t="e">
        <f t="shared" si="1"/>
        <v>#REF!</v>
      </c>
      <c r="V7" s="16" t="e">
        <f t="shared" si="1"/>
        <v>#REF!</v>
      </c>
      <c r="W7" s="16" t="e">
        <f t="shared" si="1"/>
        <v>#REF!</v>
      </c>
      <c r="X7" s="16" t="e">
        <f t="shared" si="1"/>
        <v>#REF!</v>
      </c>
      <c r="Y7" s="16" t="e">
        <f t="shared" si="1"/>
        <v>#REF!</v>
      </c>
      <c r="Z7" s="16" t="e">
        <f t="shared" si="1"/>
        <v>#REF!</v>
      </c>
      <c r="AA7" s="16" t="e">
        <f t="shared" si="1"/>
        <v>#REF!</v>
      </c>
      <c r="AB7" s="16" t="e">
        <f t="shared" si="2"/>
        <v>#REF!</v>
      </c>
      <c r="AC7" s="16" t="e">
        <f t="shared" si="2"/>
        <v>#REF!</v>
      </c>
      <c r="AD7" s="16" t="e">
        <f t="shared" si="2"/>
        <v>#REF!</v>
      </c>
      <c r="AE7" s="16" t="e">
        <f t="shared" si="2"/>
        <v>#REF!</v>
      </c>
      <c r="AF7" s="16" t="e">
        <f t="shared" si="2"/>
        <v>#REF!</v>
      </c>
      <c r="AG7" s="16" t="e">
        <f t="shared" si="2"/>
        <v>#REF!</v>
      </c>
      <c r="AH7" s="16" t="e">
        <f t="shared" si="2"/>
        <v>#REF!</v>
      </c>
      <c r="AI7" s="16" t="e">
        <f t="shared" si="2"/>
        <v>#REF!</v>
      </c>
      <c r="AJ7" s="16" t="e">
        <f t="shared" si="2"/>
        <v>#REF!</v>
      </c>
      <c r="AK7" s="16" t="e">
        <f t="shared" si="2"/>
        <v>#REF!</v>
      </c>
      <c r="AL7" s="16" t="e">
        <f t="shared" si="2"/>
        <v>#REF!</v>
      </c>
      <c r="AM7" s="16" t="e">
        <f t="shared" si="2"/>
        <v>#REF!</v>
      </c>
      <c r="AN7" s="16" t="e">
        <f t="shared" si="3"/>
        <v>#REF!</v>
      </c>
      <c r="AO7" s="16" t="e">
        <f t="shared" si="3"/>
        <v>#REF!</v>
      </c>
      <c r="AP7" s="16" t="e">
        <f t="shared" si="3"/>
        <v>#REF!</v>
      </c>
      <c r="AQ7" s="16" t="e">
        <f t="shared" si="3"/>
        <v>#REF!</v>
      </c>
      <c r="AR7" s="16" t="e">
        <f t="shared" si="3"/>
        <v>#REF!</v>
      </c>
      <c r="AS7" s="16" t="e">
        <f t="shared" si="3"/>
        <v>#REF!</v>
      </c>
      <c r="AT7" s="16" t="e">
        <f t="shared" si="3"/>
        <v>#REF!</v>
      </c>
      <c r="AU7" s="16" t="e">
        <f t="shared" si="3"/>
        <v>#REF!</v>
      </c>
      <c r="AV7" s="16" t="e">
        <f t="shared" si="3"/>
        <v>#REF!</v>
      </c>
      <c r="AW7" s="16" t="e">
        <f t="shared" si="3"/>
        <v>#REF!</v>
      </c>
      <c r="AX7" s="16" t="e">
        <f t="shared" si="3"/>
        <v>#REF!</v>
      </c>
      <c r="AY7" s="16" t="e">
        <f t="shared" si="3"/>
        <v>#REF!</v>
      </c>
      <c r="AZ7" s="16" t="e">
        <f t="shared" si="4"/>
        <v>#REF!</v>
      </c>
      <c r="BA7" s="16" t="e">
        <f t="shared" si="4"/>
        <v>#REF!</v>
      </c>
      <c r="BB7" s="16" t="e">
        <f t="shared" si="4"/>
        <v>#REF!</v>
      </c>
      <c r="BC7" s="16" t="e">
        <f t="shared" si="4"/>
        <v>#REF!</v>
      </c>
      <c r="BD7" s="16" t="e">
        <f t="shared" si="4"/>
        <v>#REF!</v>
      </c>
      <c r="BE7" s="16" t="e">
        <f t="shared" si="4"/>
        <v>#REF!</v>
      </c>
      <c r="BF7" s="16" t="e">
        <f t="shared" si="4"/>
        <v>#REF!</v>
      </c>
      <c r="BG7" s="16" t="e">
        <f t="shared" si="4"/>
        <v>#REF!</v>
      </c>
      <c r="BH7" s="16" t="e">
        <f t="shared" si="4"/>
        <v>#REF!</v>
      </c>
      <c r="BI7" s="16" t="e">
        <f t="shared" si="4"/>
        <v>#REF!</v>
      </c>
      <c r="BJ7" s="16" t="e">
        <f t="shared" si="4"/>
        <v>#REF!</v>
      </c>
      <c r="BK7" s="16" t="e">
        <f t="shared" si="4"/>
        <v>#REF!</v>
      </c>
    </row>
    <row r="8" spans="1:63" x14ac:dyDescent="0.25">
      <c r="A8" s="10"/>
      <c r="B8" s="11">
        <f t="shared" si="0"/>
        <v>7500</v>
      </c>
      <c r="C8" s="11">
        <f t="shared" si="0"/>
        <v>10000</v>
      </c>
      <c r="D8" s="11">
        <f t="shared" si="0"/>
        <v>10000</v>
      </c>
      <c r="E8" s="11">
        <f t="shared" si="0"/>
        <v>10000</v>
      </c>
      <c r="G8" s="20" t="e">
        <f>#REF!</f>
        <v>#REF!</v>
      </c>
      <c r="H8" s="20" t="e">
        <f>#REF!</f>
        <v>#REF!</v>
      </c>
      <c r="I8" s="21" t="e">
        <f>#REF!</f>
        <v>#REF!</v>
      </c>
      <c r="J8" s="13">
        <v>120000</v>
      </c>
      <c r="K8" s="14">
        <v>0.75</v>
      </c>
      <c r="L8" s="14">
        <v>1</v>
      </c>
      <c r="M8" s="14">
        <v>1</v>
      </c>
      <c r="N8" s="14">
        <v>1</v>
      </c>
      <c r="O8" s="13">
        <v>4</v>
      </c>
      <c r="P8" s="16" t="e">
        <f t="shared" si="1"/>
        <v>#REF!</v>
      </c>
      <c r="Q8" s="16" t="e">
        <f t="shared" si="1"/>
        <v>#REF!</v>
      </c>
      <c r="R8" s="16" t="e">
        <f t="shared" si="1"/>
        <v>#REF!</v>
      </c>
      <c r="S8" s="16" t="e">
        <f t="shared" si="1"/>
        <v>#REF!</v>
      </c>
      <c r="T8" s="16" t="e">
        <f t="shared" si="1"/>
        <v>#REF!</v>
      </c>
      <c r="U8" s="16" t="e">
        <f t="shared" si="1"/>
        <v>#REF!</v>
      </c>
      <c r="V8" s="16" t="e">
        <f t="shared" si="1"/>
        <v>#REF!</v>
      </c>
      <c r="W8" s="16" t="e">
        <f t="shared" si="1"/>
        <v>#REF!</v>
      </c>
      <c r="X8" s="16" t="e">
        <f t="shared" si="1"/>
        <v>#REF!</v>
      </c>
      <c r="Y8" s="16" t="e">
        <f t="shared" si="1"/>
        <v>#REF!</v>
      </c>
      <c r="Z8" s="16" t="e">
        <f t="shared" si="1"/>
        <v>#REF!</v>
      </c>
      <c r="AA8" s="16" t="e">
        <f t="shared" si="1"/>
        <v>#REF!</v>
      </c>
      <c r="AB8" s="16" t="e">
        <f t="shared" si="2"/>
        <v>#REF!</v>
      </c>
      <c r="AC8" s="16" t="e">
        <f t="shared" si="2"/>
        <v>#REF!</v>
      </c>
      <c r="AD8" s="16" t="e">
        <f t="shared" si="2"/>
        <v>#REF!</v>
      </c>
      <c r="AE8" s="16" t="e">
        <f t="shared" si="2"/>
        <v>#REF!</v>
      </c>
      <c r="AF8" s="16" t="e">
        <f t="shared" si="2"/>
        <v>#REF!</v>
      </c>
      <c r="AG8" s="16" t="e">
        <f t="shared" si="2"/>
        <v>#REF!</v>
      </c>
      <c r="AH8" s="16" t="e">
        <f t="shared" si="2"/>
        <v>#REF!</v>
      </c>
      <c r="AI8" s="16" t="e">
        <f t="shared" si="2"/>
        <v>#REF!</v>
      </c>
      <c r="AJ8" s="16" t="e">
        <f t="shared" si="2"/>
        <v>#REF!</v>
      </c>
      <c r="AK8" s="16" t="e">
        <f t="shared" si="2"/>
        <v>#REF!</v>
      </c>
      <c r="AL8" s="16" t="e">
        <f t="shared" si="2"/>
        <v>#REF!</v>
      </c>
      <c r="AM8" s="16" t="e">
        <f t="shared" si="2"/>
        <v>#REF!</v>
      </c>
      <c r="AN8" s="16" t="e">
        <f t="shared" si="3"/>
        <v>#REF!</v>
      </c>
      <c r="AO8" s="16" t="e">
        <f t="shared" si="3"/>
        <v>#REF!</v>
      </c>
      <c r="AP8" s="16" t="e">
        <f t="shared" si="3"/>
        <v>#REF!</v>
      </c>
      <c r="AQ8" s="16" t="e">
        <f t="shared" si="3"/>
        <v>#REF!</v>
      </c>
      <c r="AR8" s="16" t="e">
        <f t="shared" si="3"/>
        <v>#REF!</v>
      </c>
      <c r="AS8" s="16" t="e">
        <f t="shared" si="3"/>
        <v>#REF!</v>
      </c>
      <c r="AT8" s="16" t="e">
        <f t="shared" si="3"/>
        <v>#REF!</v>
      </c>
      <c r="AU8" s="16" t="e">
        <f t="shared" si="3"/>
        <v>#REF!</v>
      </c>
      <c r="AV8" s="16" t="e">
        <f t="shared" si="3"/>
        <v>#REF!</v>
      </c>
      <c r="AW8" s="16" t="e">
        <f t="shared" si="3"/>
        <v>#REF!</v>
      </c>
      <c r="AX8" s="16" t="e">
        <f t="shared" si="3"/>
        <v>#REF!</v>
      </c>
      <c r="AY8" s="16" t="e">
        <f t="shared" si="3"/>
        <v>#REF!</v>
      </c>
      <c r="AZ8" s="16" t="e">
        <f t="shared" si="4"/>
        <v>#REF!</v>
      </c>
      <c r="BA8" s="16" t="e">
        <f t="shared" si="4"/>
        <v>#REF!</v>
      </c>
      <c r="BB8" s="16" t="e">
        <f t="shared" si="4"/>
        <v>#REF!</v>
      </c>
      <c r="BC8" s="16" t="e">
        <f t="shared" si="4"/>
        <v>#REF!</v>
      </c>
      <c r="BD8" s="16" t="e">
        <f t="shared" si="4"/>
        <v>#REF!</v>
      </c>
      <c r="BE8" s="16" t="e">
        <f t="shared" si="4"/>
        <v>#REF!</v>
      </c>
      <c r="BF8" s="16" t="e">
        <f t="shared" si="4"/>
        <v>#REF!</v>
      </c>
      <c r="BG8" s="16" t="e">
        <f t="shared" si="4"/>
        <v>#REF!</v>
      </c>
      <c r="BH8" s="16" t="e">
        <f t="shared" si="4"/>
        <v>#REF!</v>
      </c>
      <c r="BI8" s="16" t="e">
        <f t="shared" si="4"/>
        <v>#REF!</v>
      </c>
      <c r="BJ8" s="16" t="e">
        <f t="shared" si="4"/>
        <v>#REF!</v>
      </c>
      <c r="BK8" s="16" t="e">
        <f t="shared" si="4"/>
        <v>#REF!</v>
      </c>
    </row>
    <row r="9" spans="1:63" x14ac:dyDescent="0.25">
      <c r="A9" s="10"/>
      <c r="B9" s="11">
        <f t="shared" si="0"/>
        <v>7500</v>
      </c>
      <c r="C9" s="11">
        <f t="shared" si="0"/>
        <v>7500</v>
      </c>
      <c r="D9" s="11">
        <f t="shared" si="0"/>
        <v>10000</v>
      </c>
      <c r="E9" s="11">
        <f t="shared" si="0"/>
        <v>10000</v>
      </c>
      <c r="G9" s="20" t="e">
        <f>#REF!</f>
        <v>#REF!</v>
      </c>
      <c r="H9" s="20" t="e">
        <f>#REF!</f>
        <v>#REF!</v>
      </c>
      <c r="I9" s="21" t="e">
        <f>#REF!</f>
        <v>#REF!</v>
      </c>
      <c r="J9" s="13">
        <v>120000</v>
      </c>
      <c r="K9" s="14">
        <v>0.75</v>
      </c>
      <c r="L9" s="14">
        <v>0.75</v>
      </c>
      <c r="M9" s="14">
        <v>1</v>
      </c>
      <c r="N9" s="14">
        <v>1</v>
      </c>
      <c r="O9" s="13">
        <v>4</v>
      </c>
      <c r="P9" s="16" t="e">
        <f t="shared" si="1"/>
        <v>#REF!</v>
      </c>
      <c r="Q9" s="16" t="e">
        <f t="shared" si="1"/>
        <v>#REF!</v>
      </c>
      <c r="R9" s="16" t="e">
        <f t="shared" si="1"/>
        <v>#REF!</v>
      </c>
      <c r="S9" s="16" t="e">
        <f t="shared" si="1"/>
        <v>#REF!</v>
      </c>
      <c r="T9" s="16" t="e">
        <f t="shared" si="1"/>
        <v>#REF!</v>
      </c>
      <c r="U9" s="16" t="e">
        <f t="shared" si="1"/>
        <v>#REF!</v>
      </c>
      <c r="V9" s="16" t="e">
        <f t="shared" si="1"/>
        <v>#REF!</v>
      </c>
      <c r="W9" s="16" t="e">
        <f t="shared" si="1"/>
        <v>#REF!</v>
      </c>
      <c r="X9" s="16" t="e">
        <f t="shared" si="1"/>
        <v>#REF!</v>
      </c>
      <c r="Y9" s="16" t="e">
        <f t="shared" si="1"/>
        <v>#REF!</v>
      </c>
      <c r="Z9" s="16" t="e">
        <f t="shared" si="1"/>
        <v>#REF!</v>
      </c>
      <c r="AA9" s="16" t="e">
        <f t="shared" si="1"/>
        <v>#REF!</v>
      </c>
      <c r="AB9" s="16" t="e">
        <f t="shared" si="2"/>
        <v>#REF!</v>
      </c>
      <c r="AC9" s="16" t="e">
        <f t="shared" si="2"/>
        <v>#REF!</v>
      </c>
      <c r="AD9" s="16" t="e">
        <f t="shared" si="2"/>
        <v>#REF!</v>
      </c>
      <c r="AE9" s="16" t="e">
        <f t="shared" si="2"/>
        <v>#REF!</v>
      </c>
      <c r="AF9" s="16" t="e">
        <f t="shared" si="2"/>
        <v>#REF!</v>
      </c>
      <c r="AG9" s="16" t="e">
        <f t="shared" si="2"/>
        <v>#REF!</v>
      </c>
      <c r="AH9" s="16" t="e">
        <f t="shared" si="2"/>
        <v>#REF!</v>
      </c>
      <c r="AI9" s="16" t="e">
        <f t="shared" si="2"/>
        <v>#REF!</v>
      </c>
      <c r="AJ9" s="16" t="e">
        <f t="shared" si="2"/>
        <v>#REF!</v>
      </c>
      <c r="AK9" s="16" t="e">
        <f t="shared" si="2"/>
        <v>#REF!</v>
      </c>
      <c r="AL9" s="16" t="e">
        <f t="shared" si="2"/>
        <v>#REF!</v>
      </c>
      <c r="AM9" s="16" t="e">
        <f t="shared" si="2"/>
        <v>#REF!</v>
      </c>
      <c r="AN9" s="16" t="e">
        <f t="shared" si="3"/>
        <v>#REF!</v>
      </c>
      <c r="AO9" s="16" t="e">
        <f t="shared" si="3"/>
        <v>#REF!</v>
      </c>
      <c r="AP9" s="16" t="e">
        <f t="shared" si="3"/>
        <v>#REF!</v>
      </c>
      <c r="AQ9" s="16" t="e">
        <f t="shared" si="3"/>
        <v>#REF!</v>
      </c>
      <c r="AR9" s="16" t="e">
        <f t="shared" si="3"/>
        <v>#REF!</v>
      </c>
      <c r="AS9" s="16" t="e">
        <f t="shared" si="3"/>
        <v>#REF!</v>
      </c>
      <c r="AT9" s="16" t="e">
        <f t="shared" si="3"/>
        <v>#REF!</v>
      </c>
      <c r="AU9" s="16" t="e">
        <f t="shared" si="3"/>
        <v>#REF!</v>
      </c>
      <c r="AV9" s="16" t="e">
        <f t="shared" si="3"/>
        <v>#REF!</v>
      </c>
      <c r="AW9" s="16" t="e">
        <f t="shared" si="3"/>
        <v>#REF!</v>
      </c>
      <c r="AX9" s="16" t="e">
        <f t="shared" si="3"/>
        <v>#REF!</v>
      </c>
      <c r="AY9" s="16" t="e">
        <f t="shared" si="3"/>
        <v>#REF!</v>
      </c>
      <c r="AZ9" s="16" t="e">
        <f t="shared" si="4"/>
        <v>#REF!</v>
      </c>
      <c r="BA9" s="16" t="e">
        <f t="shared" si="4"/>
        <v>#REF!</v>
      </c>
      <c r="BB9" s="16" t="e">
        <f t="shared" si="4"/>
        <v>#REF!</v>
      </c>
      <c r="BC9" s="16" t="e">
        <f t="shared" si="4"/>
        <v>#REF!</v>
      </c>
      <c r="BD9" s="16" t="e">
        <f t="shared" si="4"/>
        <v>#REF!</v>
      </c>
      <c r="BE9" s="16" t="e">
        <f t="shared" si="4"/>
        <v>#REF!</v>
      </c>
      <c r="BF9" s="16" t="e">
        <f t="shared" si="4"/>
        <v>#REF!</v>
      </c>
      <c r="BG9" s="16" t="e">
        <f t="shared" si="4"/>
        <v>#REF!</v>
      </c>
      <c r="BH9" s="16" t="e">
        <f t="shared" si="4"/>
        <v>#REF!</v>
      </c>
      <c r="BI9" s="16" t="e">
        <f t="shared" si="4"/>
        <v>#REF!</v>
      </c>
      <c r="BJ9" s="16" t="e">
        <f t="shared" si="4"/>
        <v>#REF!</v>
      </c>
      <c r="BK9" s="16" t="e">
        <f t="shared" si="4"/>
        <v>#REF!</v>
      </c>
    </row>
    <row r="10" spans="1:63" x14ac:dyDescent="0.25">
      <c r="A10" s="10"/>
      <c r="B10" s="11">
        <f t="shared" si="0"/>
        <v>7500</v>
      </c>
      <c r="C10" s="11">
        <f t="shared" si="0"/>
        <v>7500</v>
      </c>
      <c r="D10" s="11">
        <f t="shared" si="0"/>
        <v>10000</v>
      </c>
      <c r="E10" s="11">
        <f t="shared" si="0"/>
        <v>10000</v>
      </c>
      <c r="G10" s="20" t="e">
        <f>#REF!</f>
        <v>#REF!</v>
      </c>
      <c r="H10" s="20" t="e">
        <f>#REF!</f>
        <v>#REF!</v>
      </c>
      <c r="I10" s="21" t="e">
        <f>#REF!</f>
        <v>#REF!</v>
      </c>
      <c r="J10" s="13">
        <v>120000</v>
      </c>
      <c r="K10" s="14">
        <v>0.75</v>
      </c>
      <c r="L10" s="14">
        <v>0.75</v>
      </c>
      <c r="M10" s="14">
        <v>1</v>
      </c>
      <c r="N10" s="14">
        <v>1</v>
      </c>
      <c r="O10" s="13">
        <v>4</v>
      </c>
      <c r="P10" s="16" t="e">
        <f t="shared" si="1"/>
        <v>#REF!</v>
      </c>
      <c r="Q10" s="16" t="e">
        <f t="shared" si="1"/>
        <v>#REF!</v>
      </c>
      <c r="R10" s="16" t="e">
        <f t="shared" si="1"/>
        <v>#REF!</v>
      </c>
      <c r="S10" s="16" t="e">
        <f t="shared" si="1"/>
        <v>#REF!</v>
      </c>
      <c r="T10" s="16" t="e">
        <f t="shared" si="1"/>
        <v>#REF!</v>
      </c>
      <c r="U10" s="16" t="e">
        <f t="shared" si="1"/>
        <v>#REF!</v>
      </c>
      <c r="V10" s="16" t="e">
        <f t="shared" si="1"/>
        <v>#REF!</v>
      </c>
      <c r="W10" s="16" t="e">
        <f t="shared" si="1"/>
        <v>#REF!</v>
      </c>
      <c r="X10" s="16" t="e">
        <f t="shared" si="1"/>
        <v>#REF!</v>
      </c>
      <c r="Y10" s="16" t="e">
        <f t="shared" si="1"/>
        <v>#REF!</v>
      </c>
      <c r="Z10" s="16" t="e">
        <f t="shared" si="1"/>
        <v>#REF!</v>
      </c>
      <c r="AA10" s="16" t="e">
        <f t="shared" si="1"/>
        <v>#REF!</v>
      </c>
      <c r="AB10" s="16" t="e">
        <f t="shared" si="2"/>
        <v>#REF!</v>
      </c>
      <c r="AC10" s="16" t="e">
        <f t="shared" si="2"/>
        <v>#REF!</v>
      </c>
      <c r="AD10" s="16" t="e">
        <f t="shared" si="2"/>
        <v>#REF!</v>
      </c>
      <c r="AE10" s="16" t="e">
        <f t="shared" si="2"/>
        <v>#REF!</v>
      </c>
      <c r="AF10" s="16" t="e">
        <f t="shared" si="2"/>
        <v>#REF!</v>
      </c>
      <c r="AG10" s="16" t="e">
        <f t="shared" si="2"/>
        <v>#REF!</v>
      </c>
      <c r="AH10" s="16" t="e">
        <f t="shared" si="2"/>
        <v>#REF!</v>
      </c>
      <c r="AI10" s="16" t="e">
        <f t="shared" si="2"/>
        <v>#REF!</v>
      </c>
      <c r="AJ10" s="16" t="e">
        <f t="shared" si="2"/>
        <v>#REF!</v>
      </c>
      <c r="AK10" s="16" t="e">
        <f t="shared" si="2"/>
        <v>#REF!</v>
      </c>
      <c r="AL10" s="16" t="e">
        <f t="shared" si="2"/>
        <v>#REF!</v>
      </c>
      <c r="AM10" s="16" t="e">
        <f t="shared" si="2"/>
        <v>#REF!</v>
      </c>
      <c r="AN10" s="16" t="e">
        <f t="shared" si="3"/>
        <v>#REF!</v>
      </c>
      <c r="AO10" s="16" t="e">
        <f t="shared" si="3"/>
        <v>#REF!</v>
      </c>
      <c r="AP10" s="16" t="e">
        <f t="shared" si="3"/>
        <v>#REF!</v>
      </c>
      <c r="AQ10" s="16" t="e">
        <f t="shared" si="3"/>
        <v>#REF!</v>
      </c>
      <c r="AR10" s="16" t="e">
        <f t="shared" si="3"/>
        <v>#REF!</v>
      </c>
      <c r="AS10" s="16" t="e">
        <f t="shared" si="3"/>
        <v>#REF!</v>
      </c>
      <c r="AT10" s="16" t="e">
        <f t="shared" si="3"/>
        <v>#REF!</v>
      </c>
      <c r="AU10" s="16" t="e">
        <f t="shared" si="3"/>
        <v>#REF!</v>
      </c>
      <c r="AV10" s="16" t="e">
        <f t="shared" si="3"/>
        <v>#REF!</v>
      </c>
      <c r="AW10" s="16" t="e">
        <f t="shared" si="3"/>
        <v>#REF!</v>
      </c>
      <c r="AX10" s="16" t="e">
        <f t="shared" si="3"/>
        <v>#REF!</v>
      </c>
      <c r="AY10" s="16" t="e">
        <f t="shared" si="3"/>
        <v>#REF!</v>
      </c>
      <c r="AZ10" s="16" t="e">
        <f t="shared" si="4"/>
        <v>#REF!</v>
      </c>
      <c r="BA10" s="16" t="e">
        <f t="shared" si="4"/>
        <v>#REF!</v>
      </c>
      <c r="BB10" s="16" t="e">
        <f t="shared" si="4"/>
        <v>#REF!</v>
      </c>
      <c r="BC10" s="16" t="e">
        <f t="shared" si="4"/>
        <v>#REF!</v>
      </c>
      <c r="BD10" s="16" t="e">
        <f t="shared" si="4"/>
        <v>#REF!</v>
      </c>
      <c r="BE10" s="16" t="e">
        <f t="shared" si="4"/>
        <v>#REF!</v>
      </c>
      <c r="BF10" s="16" t="e">
        <f t="shared" si="4"/>
        <v>#REF!</v>
      </c>
      <c r="BG10" s="16" t="e">
        <f t="shared" si="4"/>
        <v>#REF!</v>
      </c>
      <c r="BH10" s="16" t="e">
        <f t="shared" si="4"/>
        <v>#REF!</v>
      </c>
      <c r="BI10" s="16" t="e">
        <f t="shared" si="4"/>
        <v>#REF!</v>
      </c>
      <c r="BJ10" s="16" t="e">
        <f t="shared" si="4"/>
        <v>#REF!</v>
      </c>
      <c r="BK10" s="16" t="e">
        <f t="shared" si="4"/>
        <v>#REF!</v>
      </c>
    </row>
    <row r="11" spans="1:63" x14ac:dyDescent="0.25">
      <c r="A11" s="10"/>
      <c r="B11" s="11"/>
      <c r="C11" s="11"/>
      <c r="D11" s="11"/>
      <c r="E11" s="11"/>
      <c r="G11" s="22" t="e">
        <f>#REF!</f>
        <v>#REF!</v>
      </c>
      <c r="H11" s="22" t="e">
        <f>#REF!</f>
        <v>#REF!</v>
      </c>
      <c r="I11" s="23" t="e">
        <f>#REF!</f>
        <v>#REF!</v>
      </c>
      <c r="J11" s="13"/>
      <c r="K11" s="14"/>
      <c r="L11" s="14"/>
      <c r="M11" s="14"/>
      <c r="N11" s="14"/>
      <c r="O11" s="13"/>
      <c r="P11" s="16" t="e">
        <f t="shared" si="1"/>
        <v>#REF!</v>
      </c>
      <c r="Q11" s="16" t="e">
        <f t="shared" si="1"/>
        <v>#REF!</v>
      </c>
      <c r="R11" s="16" t="e">
        <f t="shared" si="1"/>
        <v>#REF!</v>
      </c>
      <c r="S11" s="16" t="e">
        <f t="shared" si="1"/>
        <v>#REF!</v>
      </c>
      <c r="T11" s="16" t="e">
        <f t="shared" si="1"/>
        <v>#REF!</v>
      </c>
      <c r="U11" s="16" t="e">
        <f t="shared" si="1"/>
        <v>#REF!</v>
      </c>
      <c r="V11" s="16" t="e">
        <f t="shared" si="1"/>
        <v>#REF!</v>
      </c>
      <c r="W11" s="16" t="e">
        <f t="shared" si="1"/>
        <v>#REF!</v>
      </c>
      <c r="X11" s="16" t="e">
        <f t="shared" si="1"/>
        <v>#REF!</v>
      </c>
      <c r="Y11" s="16" t="e">
        <f t="shared" si="1"/>
        <v>#REF!</v>
      </c>
      <c r="Z11" s="16" t="e">
        <f t="shared" si="1"/>
        <v>#REF!</v>
      </c>
      <c r="AA11" s="16" t="e">
        <f t="shared" si="1"/>
        <v>#REF!</v>
      </c>
      <c r="AB11" s="16" t="e">
        <f t="shared" si="2"/>
        <v>#REF!</v>
      </c>
      <c r="AC11" s="16" t="e">
        <f t="shared" si="2"/>
        <v>#REF!</v>
      </c>
      <c r="AD11" s="16" t="e">
        <f t="shared" si="2"/>
        <v>#REF!</v>
      </c>
      <c r="AE11" s="16" t="e">
        <f t="shared" si="2"/>
        <v>#REF!</v>
      </c>
      <c r="AF11" s="16" t="e">
        <f t="shared" si="2"/>
        <v>#REF!</v>
      </c>
      <c r="AG11" s="16" t="e">
        <f t="shared" si="2"/>
        <v>#REF!</v>
      </c>
      <c r="AH11" s="16" t="e">
        <f t="shared" si="2"/>
        <v>#REF!</v>
      </c>
      <c r="AI11" s="16" t="e">
        <f t="shared" si="2"/>
        <v>#REF!</v>
      </c>
      <c r="AJ11" s="16" t="e">
        <f t="shared" si="2"/>
        <v>#REF!</v>
      </c>
      <c r="AK11" s="16" t="e">
        <f t="shared" si="2"/>
        <v>#REF!</v>
      </c>
      <c r="AL11" s="16" t="e">
        <f t="shared" si="2"/>
        <v>#REF!</v>
      </c>
      <c r="AM11" s="16" t="e">
        <f t="shared" si="2"/>
        <v>#REF!</v>
      </c>
      <c r="AN11" s="16" t="e">
        <f t="shared" si="3"/>
        <v>#REF!</v>
      </c>
      <c r="AO11" s="16" t="e">
        <f t="shared" si="3"/>
        <v>#REF!</v>
      </c>
      <c r="AP11" s="16" t="e">
        <f t="shared" si="3"/>
        <v>#REF!</v>
      </c>
      <c r="AQ11" s="16" t="e">
        <f t="shared" si="3"/>
        <v>#REF!</v>
      </c>
      <c r="AR11" s="16" t="e">
        <f t="shared" si="3"/>
        <v>#REF!</v>
      </c>
      <c r="AS11" s="16" t="e">
        <f t="shared" si="3"/>
        <v>#REF!</v>
      </c>
      <c r="AT11" s="16" t="e">
        <f t="shared" si="3"/>
        <v>#REF!</v>
      </c>
      <c r="AU11" s="16" t="e">
        <f t="shared" si="3"/>
        <v>#REF!</v>
      </c>
      <c r="AV11" s="16" t="e">
        <f t="shared" si="3"/>
        <v>#REF!</v>
      </c>
      <c r="AW11" s="16" t="e">
        <f t="shared" si="3"/>
        <v>#REF!</v>
      </c>
      <c r="AX11" s="16" t="e">
        <f t="shared" si="3"/>
        <v>#REF!</v>
      </c>
      <c r="AY11" s="16" t="e">
        <f t="shared" si="3"/>
        <v>#REF!</v>
      </c>
      <c r="AZ11" s="16" t="e">
        <f t="shared" si="4"/>
        <v>#REF!</v>
      </c>
      <c r="BA11" s="16" t="e">
        <f t="shared" si="4"/>
        <v>#REF!</v>
      </c>
      <c r="BB11" s="16" t="e">
        <f t="shared" si="4"/>
        <v>#REF!</v>
      </c>
      <c r="BC11" s="16" t="e">
        <f t="shared" si="4"/>
        <v>#REF!</v>
      </c>
      <c r="BD11" s="16" t="e">
        <f t="shared" si="4"/>
        <v>#REF!</v>
      </c>
      <c r="BE11" s="16" t="e">
        <f t="shared" si="4"/>
        <v>#REF!</v>
      </c>
      <c r="BF11" s="16" t="e">
        <f t="shared" si="4"/>
        <v>#REF!</v>
      </c>
      <c r="BG11" s="16" t="e">
        <f t="shared" si="4"/>
        <v>#REF!</v>
      </c>
      <c r="BH11" s="16" t="e">
        <f t="shared" si="4"/>
        <v>#REF!</v>
      </c>
      <c r="BI11" s="16" t="e">
        <f t="shared" si="4"/>
        <v>#REF!</v>
      </c>
      <c r="BJ11" s="16" t="e">
        <f t="shared" si="4"/>
        <v>#REF!</v>
      </c>
      <c r="BK11" s="16" t="e">
        <f t="shared" si="4"/>
        <v>#REF!</v>
      </c>
    </row>
    <row r="12" spans="1:63" x14ac:dyDescent="0.25">
      <c r="A12" s="10"/>
      <c r="B12" s="11"/>
      <c r="C12" s="11"/>
      <c r="D12" s="11"/>
      <c r="E12" s="11"/>
      <c r="G12" s="22" t="e">
        <f>#REF!</f>
        <v>#REF!</v>
      </c>
      <c r="H12" s="22" t="e">
        <f>#REF!</f>
        <v>#REF!</v>
      </c>
      <c r="I12" s="23" t="e">
        <f>#REF!</f>
        <v>#REF!</v>
      </c>
      <c r="J12" s="13"/>
      <c r="K12" s="14"/>
      <c r="L12" s="14"/>
      <c r="M12" s="14"/>
      <c r="N12" s="14"/>
      <c r="O12" s="13"/>
      <c r="P12" s="16" t="e">
        <f t="shared" si="1"/>
        <v>#REF!</v>
      </c>
      <c r="Q12" s="16" t="e">
        <f t="shared" si="1"/>
        <v>#REF!</v>
      </c>
      <c r="R12" s="16" t="e">
        <f t="shared" si="1"/>
        <v>#REF!</v>
      </c>
      <c r="S12" s="16" t="e">
        <f t="shared" si="1"/>
        <v>#REF!</v>
      </c>
      <c r="T12" s="16" t="e">
        <f t="shared" si="1"/>
        <v>#REF!</v>
      </c>
      <c r="U12" s="16" t="e">
        <f t="shared" si="1"/>
        <v>#REF!</v>
      </c>
      <c r="V12" s="16" t="e">
        <f t="shared" si="1"/>
        <v>#REF!</v>
      </c>
      <c r="W12" s="16" t="e">
        <f t="shared" si="1"/>
        <v>#REF!</v>
      </c>
      <c r="X12" s="16" t="e">
        <f t="shared" si="1"/>
        <v>#REF!</v>
      </c>
      <c r="Y12" s="16" t="e">
        <f t="shared" si="1"/>
        <v>#REF!</v>
      </c>
      <c r="Z12" s="16" t="e">
        <f t="shared" si="1"/>
        <v>#REF!</v>
      </c>
      <c r="AA12" s="16" t="e">
        <f t="shared" si="1"/>
        <v>#REF!</v>
      </c>
      <c r="AB12" s="16" t="e">
        <f t="shared" si="2"/>
        <v>#REF!</v>
      </c>
      <c r="AC12" s="16" t="e">
        <f t="shared" si="2"/>
        <v>#REF!</v>
      </c>
      <c r="AD12" s="16" t="e">
        <f t="shared" si="2"/>
        <v>#REF!</v>
      </c>
      <c r="AE12" s="16" t="e">
        <f t="shared" si="2"/>
        <v>#REF!</v>
      </c>
      <c r="AF12" s="16" t="e">
        <f t="shared" si="2"/>
        <v>#REF!</v>
      </c>
      <c r="AG12" s="16" t="e">
        <f t="shared" si="2"/>
        <v>#REF!</v>
      </c>
      <c r="AH12" s="16" t="e">
        <f t="shared" si="2"/>
        <v>#REF!</v>
      </c>
      <c r="AI12" s="16" t="e">
        <f t="shared" si="2"/>
        <v>#REF!</v>
      </c>
      <c r="AJ12" s="16" t="e">
        <f t="shared" si="2"/>
        <v>#REF!</v>
      </c>
      <c r="AK12" s="16" t="e">
        <f t="shared" si="2"/>
        <v>#REF!</v>
      </c>
      <c r="AL12" s="16" t="e">
        <f t="shared" si="2"/>
        <v>#REF!</v>
      </c>
      <c r="AM12" s="16" t="e">
        <f t="shared" si="2"/>
        <v>#REF!</v>
      </c>
      <c r="AN12" s="16" t="e">
        <f t="shared" si="3"/>
        <v>#REF!</v>
      </c>
      <c r="AO12" s="16" t="e">
        <f t="shared" si="3"/>
        <v>#REF!</v>
      </c>
      <c r="AP12" s="16" t="e">
        <f t="shared" si="3"/>
        <v>#REF!</v>
      </c>
      <c r="AQ12" s="16" t="e">
        <f t="shared" si="3"/>
        <v>#REF!</v>
      </c>
      <c r="AR12" s="16" t="e">
        <f t="shared" si="3"/>
        <v>#REF!</v>
      </c>
      <c r="AS12" s="16" t="e">
        <f t="shared" si="3"/>
        <v>#REF!</v>
      </c>
      <c r="AT12" s="16" t="e">
        <f t="shared" si="3"/>
        <v>#REF!</v>
      </c>
      <c r="AU12" s="16" t="e">
        <f t="shared" si="3"/>
        <v>#REF!</v>
      </c>
      <c r="AV12" s="16" t="e">
        <f t="shared" si="3"/>
        <v>#REF!</v>
      </c>
      <c r="AW12" s="16" t="e">
        <f t="shared" si="3"/>
        <v>#REF!</v>
      </c>
      <c r="AX12" s="16" t="e">
        <f t="shared" si="3"/>
        <v>#REF!</v>
      </c>
      <c r="AY12" s="16" t="e">
        <f t="shared" si="3"/>
        <v>#REF!</v>
      </c>
      <c r="AZ12" s="16" t="e">
        <f t="shared" si="4"/>
        <v>#REF!</v>
      </c>
      <c r="BA12" s="16" t="e">
        <f t="shared" si="4"/>
        <v>#REF!</v>
      </c>
      <c r="BB12" s="16" t="e">
        <f t="shared" si="4"/>
        <v>#REF!</v>
      </c>
      <c r="BC12" s="16" t="e">
        <f t="shared" si="4"/>
        <v>#REF!</v>
      </c>
      <c r="BD12" s="16" t="e">
        <f t="shared" si="4"/>
        <v>#REF!</v>
      </c>
      <c r="BE12" s="16" t="e">
        <f t="shared" si="4"/>
        <v>#REF!</v>
      </c>
      <c r="BF12" s="16" t="e">
        <f t="shared" si="4"/>
        <v>#REF!</v>
      </c>
      <c r="BG12" s="16" t="e">
        <f t="shared" si="4"/>
        <v>#REF!</v>
      </c>
      <c r="BH12" s="16" t="e">
        <f t="shared" si="4"/>
        <v>#REF!</v>
      </c>
      <c r="BI12" s="16" t="e">
        <f t="shared" si="4"/>
        <v>#REF!</v>
      </c>
      <c r="BJ12" s="16" t="e">
        <f t="shared" si="4"/>
        <v>#REF!</v>
      </c>
      <c r="BK12" s="16" t="e">
        <f t="shared" si="4"/>
        <v>#REF!</v>
      </c>
    </row>
    <row r="13" spans="1:63" x14ac:dyDescent="0.25">
      <c r="A13" s="10"/>
      <c r="B13" s="11"/>
      <c r="C13" s="11"/>
      <c r="D13" s="11"/>
      <c r="E13" s="11"/>
      <c r="G13" s="22" t="e">
        <f>#REF!</f>
        <v>#REF!</v>
      </c>
      <c r="H13" s="22" t="e">
        <f>#REF!</f>
        <v>#REF!</v>
      </c>
      <c r="I13" s="23" t="e">
        <f>#REF!</f>
        <v>#REF!</v>
      </c>
      <c r="J13" s="13"/>
      <c r="K13" s="14"/>
      <c r="L13" s="14"/>
      <c r="M13" s="14"/>
      <c r="N13" s="14"/>
      <c r="O13" s="13"/>
      <c r="P13" s="16" t="e">
        <f t="shared" si="1"/>
        <v>#REF!</v>
      </c>
      <c r="Q13" s="16" t="e">
        <f t="shared" si="1"/>
        <v>#REF!</v>
      </c>
      <c r="R13" s="16" t="e">
        <f t="shared" si="1"/>
        <v>#REF!</v>
      </c>
      <c r="S13" s="16" t="e">
        <f t="shared" si="1"/>
        <v>#REF!</v>
      </c>
      <c r="T13" s="16" t="e">
        <f t="shared" si="1"/>
        <v>#REF!</v>
      </c>
      <c r="U13" s="16" t="e">
        <f t="shared" si="1"/>
        <v>#REF!</v>
      </c>
      <c r="V13" s="16" t="e">
        <f t="shared" si="1"/>
        <v>#REF!</v>
      </c>
      <c r="W13" s="16" t="e">
        <f t="shared" si="1"/>
        <v>#REF!</v>
      </c>
      <c r="X13" s="16" t="e">
        <f t="shared" si="1"/>
        <v>#REF!</v>
      </c>
      <c r="Y13" s="16" t="e">
        <f t="shared" si="1"/>
        <v>#REF!</v>
      </c>
      <c r="Z13" s="16" t="e">
        <f t="shared" si="1"/>
        <v>#REF!</v>
      </c>
      <c r="AA13" s="16" t="e">
        <f t="shared" si="1"/>
        <v>#REF!</v>
      </c>
      <c r="AB13" s="16" t="e">
        <f t="shared" si="2"/>
        <v>#REF!</v>
      </c>
      <c r="AC13" s="16" t="e">
        <f t="shared" si="2"/>
        <v>#REF!</v>
      </c>
      <c r="AD13" s="16" t="e">
        <f t="shared" si="2"/>
        <v>#REF!</v>
      </c>
      <c r="AE13" s="16" t="e">
        <f t="shared" si="2"/>
        <v>#REF!</v>
      </c>
      <c r="AF13" s="16" t="e">
        <f t="shared" si="2"/>
        <v>#REF!</v>
      </c>
      <c r="AG13" s="16" t="e">
        <f t="shared" si="2"/>
        <v>#REF!</v>
      </c>
      <c r="AH13" s="16" t="e">
        <f t="shared" si="2"/>
        <v>#REF!</v>
      </c>
      <c r="AI13" s="16" t="e">
        <f t="shared" si="2"/>
        <v>#REF!</v>
      </c>
      <c r="AJ13" s="16" t="e">
        <f t="shared" si="2"/>
        <v>#REF!</v>
      </c>
      <c r="AK13" s="16" t="e">
        <f t="shared" si="2"/>
        <v>#REF!</v>
      </c>
      <c r="AL13" s="16" t="e">
        <f t="shared" si="2"/>
        <v>#REF!</v>
      </c>
      <c r="AM13" s="16" t="e">
        <f t="shared" si="2"/>
        <v>#REF!</v>
      </c>
      <c r="AN13" s="16" t="e">
        <f t="shared" si="3"/>
        <v>#REF!</v>
      </c>
      <c r="AO13" s="16" t="e">
        <f t="shared" si="3"/>
        <v>#REF!</v>
      </c>
      <c r="AP13" s="16" t="e">
        <f t="shared" si="3"/>
        <v>#REF!</v>
      </c>
      <c r="AQ13" s="16" t="e">
        <f t="shared" si="3"/>
        <v>#REF!</v>
      </c>
      <c r="AR13" s="16" t="e">
        <f t="shared" si="3"/>
        <v>#REF!</v>
      </c>
      <c r="AS13" s="16" t="e">
        <f t="shared" si="3"/>
        <v>#REF!</v>
      </c>
      <c r="AT13" s="16" t="e">
        <f t="shared" si="3"/>
        <v>#REF!</v>
      </c>
      <c r="AU13" s="16" t="e">
        <f t="shared" si="3"/>
        <v>#REF!</v>
      </c>
      <c r="AV13" s="16" t="e">
        <f t="shared" si="3"/>
        <v>#REF!</v>
      </c>
      <c r="AW13" s="16" t="e">
        <f t="shared" si="3"/>
        <v>#REF!</v>
      </c>
      <c r="AX13" s="16" t="e">
        <f t="shared" si="3"/>
        <v>#REF!</v>
      </c>
      <c r="AY13" s="16" t="e">
        <f t="shared" si="3"/>
        <v>#REF!</v>
      </c>
      <c r="AZ13" s="16" t="e">
        <f t="shared" si="4"/>
        <v>#REF!</v>
      </c>
      <c r="BA13" s="16" t="e">
        <f t="shared" si="4"/>
        <v>#REF!</v>
      </c>
      <c r="BB13" s="16" t="e">
        <f t="shared" si="4"/>
        <v>#REF!</v>
      </c>
      <c r="BC13" s="16" t="e">
        <f t="shared" si="4"/>
        <v>#REF!</v>
      </c>
      <c r="BD13" s="16" t="e">
        <f t="shared" si="4"/>
        <v>#REF!</v>
      </c>
      <c r="BE13" s="16" t="e">
        <f t="shared" si="4"/>
        <v>#REF!</v>
      </c>
      <c r="BF13" s="16" t="e">
        <f t="shared" si="4"/>
        <v>#REF!</v>
      </c>
      <c r="BG13" s="16" t="e">
        <f t="shared" si="4"/>
        <v>#REF!</v>
      </c>
      <c r="BH13" s="16" t="e">
        <f t="shared" si="4"/>
        <v>#REF!</v>
      </c>
      <c r="BI13" s="16" t="e">
        <f t="shared" si="4"/>
        <v>#REF!</v>
      </c>
      <c r="BJ13" s="16" t="e">
        <f t="shared" si="4"/>
        <v>#REF!</v>
      </c>
      <c r="BK13" s="16" t="e">
        <f t="shared" si="4"/>
        <v>#REF!</v>
      </c>
    </row>
    <row r="14" spans="1:63" x14ac:dyDescent="0.25">
      <c r="A14" s="10"/>
      <c r="B14" s="11"/>
      <c r="C14" s="11"/>
      <c r="D14" s="11"/>
      <c r="E14" s="11"/>
      <c r="G14" s="22" t="e">
        <f>#REF!</f>
        <v>#REF!</v>
      </c>
      <c r="H14" s="22" t="e">
        <f>#REF!</f>
        <v>#REF!</v>
      </c>
      <c r="I14" s="23" t="e">
        <f>#REF!</f>
        <v>#REF!</v>
      </c>
      <c r="J14" s="13"/>
      <c r="K14" s="14"/>
      <c r="L14" s="14"/>
      <c r="M14" s="14"/>
      <c r="N14" s="14"/>
      <c r="O14" s="13"/>
      <c r="P14" s="16" t="e">
        <f t="shared" si="1"/>
        <v>#REF!</v>
      </c>
      <c r="Q14" s="16" t="e">
        <f t="shared" si="1"/>
        <v>#REF!</v>
      </c>
      <c r="R14" s="16" t="e">
        <f t="shared" si="1"/>
        <v>#REF!</v>
      </c>
      <c r="S14" s="16" t="e">
        <f t="shared" si="1"/>
        <v>#REF!</v>
      </c>
      <c r="T14" s="16" t="e">
        <f t="shared" si="1"/>
        <v>#REF!</v>
      </c>
      <c r="U14" s="16" t="e">
        <f t="shared" si="1"/>
        <v>#REF!</v>
      </c>
      <c r="V14" s="16" t="e">
        <f t="shared" si="1"/>
        <v>#REF!</v>
      </c>
      <c r="W14" s="16" t="e">
        <f t="shared" si="1"/>
        <v>#REF!</v>
      </c>
      <c r="X14" s="16" t="e">
        <f t="shared" si="1"/>
        <v>#REF!</v>
      </c>
      <c r="Y14" s="16" t="e">
        <f t="shared" si="1"/>
        <v>#REF!</v>
      </c>
      <c r="Z14" s="16" t="e">
        <f t="shared" si="1"/>
        <v>#REF!</v>
      </c>
      <c r="AA14" s="16" t="e">
        <f t="shared" si="1"/>
        <v>#REF!</v>
      </c>
      <c r="AB14" s="16" t="e">
        <f t="shared" si="2"/>
        <v>#REF!</v>
      </c>
      <c r="AC14" s="16" t="e">
        <f t="shared" si="2"/>
        <v>#REF!</v>
      </c>
      <c r="AD14" s="16" t="e">
        <f t="shared" si="2"/>
        <v>#REF!</v>
      </c>
      <c r="AE14" s="16" t="e">
        <f t="shared" si="2"/>
        <v>#REF!</v>
      </c>
      <c r="AF14" s="16" t="e">
        <f t="shared" si="2"/>
        <v>#REF!</v>
      </c>
      <c r="AG14" s="16" t="e">
        <f t="shared" si="2"/>
        <v>#REF!</v>
      </c>
      <c r="AH14" s="16" t="e">
        <f t="shared" si="2"/>
        <v>#REF!</v>
      </c>
      <c r="AI14" s="16" t="e">
        <f t="shared" si="2"/>
        <v>#REF!</v>
      </c>
      <c r="AJ14" s="16" t="e">
        <f t="shared" si="2"/>
        <v>#REF!</v>
      </c>
      <c r="AK14" s="16" t="e">
        <f t="shared" si="2"/>
        <v>#REF!</v>
      </c>
      <c r="AL14" s="16" t="e">
        <f t="shared" si="2"/>
        <v>#REF!</v>
      </c>
      <c r="AM14" s="16" t="e">
        <f t="shared" si="2"/>
        <v>#REF!</v>
      </c>
      <c r="AN14" s="16" t="e">
        <f t="shared" si="3"/>
        <v>#REF!</v>
      </c>
      <c r="AO14" s="16" t="e">
        <f t="shared" si="3"/>
        <v>#REF!</v>
      </c>
      <c r="AP14" s="16" t="e">
        <f t="shared" si="3"/>
        <v>#REF!</v>
      </c>
      <c r="AQ14" s="16" t="e">
        <f t="shared" si="3"/>
        <v>#REF!</v>
      </c>
      <c r="AR14" s="16" t="e">
        <f t="shared" si="3"/>
        <v>#REF!</v>
      </c>
      <c r="AS14" s="16" t="e">
        <f t="shared" si="3"/>
        <v>#REF!</v>
      </c>
      <c r="AT14" s="16" t="e">
        <f t="shared" si="3"/>
        <v>#REF!</v>
      </c>
      <c r="AU14" s="16" t="e">
        <f t="shared" si="3"/>
        <v>#REF!</v>
      </c>
      <c r="AV14" s="16" t="e">
        <f t="shared" si="3"/>
        <v>#REF!</v>
      </c>
      <c r="AW14" s="16" t="e">
        <f t="shared" si="3"/>
        <v>#REF!</v>
      </c>
      <c r="AX14" s="16" t="e">
        <f t="shared" si="3"/>
        <v>#REF!</v>
      </c>
      <c r="AY14" s="16" t="e">
        <f t="shared" si="3"/>
        <v>#REF!</v>
      </c>
      <c r="AZ14" s="16" t="e">
        <f t="shared" si="4"/>
        <v>#REF!</v>
      </c>
      <c r="BA14" s="16" t="e">
        <f t="shared" si="4"/>
        <v>#REF!</v>
      </c>
      <c r="BB14" s="16" t="e">
        <f t="shared" si="4"/>
        <v>#REF!</v>
      </c>
      <c r="BC14" s="16" t="e">
        <f t="shared" si="4"/>
        <v>#REF!</v>
      </c>
      <c r="BD14" s="16" t="e">
        <f t="shared" si="4"/>
        <v>#REF!</v>
      </c>
      <c r="BE14" s="16" t="e">
        <f t="shared" si="4"/>
        <v>#REF!</v>
      </c>
      <c r="BF14" s="16" t="e">
        <f t="shared" si="4"/>
        <v>#REF!</v>
      </c>
      <c r="BG14" s="16" t="e">
        <f t="shared" si="4"/>
        <v>#REF!</v>
      </c>
      <c r="BH14" s="16" t="e">
        <f t="shared" si="4"/>
        <v>#REF!</v>
      </c>
      <c r="BI14" s="16" t="e">
        <f t="shared" si="4"/>
        <v>#REF!</v>
      </c>
      <c r="BJ14" s="16" t="e">
        <f t="shared" si="4"/>
        <v>#REF!</v>
      </c>
      <c r="BK14" s="16" t="e">
        <f t="shared" si="4"/>
        <v>#REF!</v>
      </c>
    </row>
    <row r="15" spans="1:63" x14ac:dyDescent="0.25">
      <c r="A15" s="10"/>
      <c r="B15" s="11"/>
      <c r="C15" s="11"/>
      <c r="D15" s="11"/>
      <c r="E15" s="11"/>
      <c r="G15" s="22" t="e">
        <f>#REF!</f>
        <v>#REF!</v>
      </c>
      <c r="H15" s="22" t="e">
        <f>#REF!</f>
        <v>#REF!</v>
      </c>
      <c r="I15" s="23" t="e">
        <f>#REF!</f>
        <v>#REF!</v>
      </c>
      <c r="J15" s="13"/>
      <c r="K15" s="14"/>
      <c r="L15" s="14"/>
      <c r="M15" s="14"/>
      <c r="N15" s="14"/>
      <c r="O15" s="13"/>
      <c r="P15" s="16" t="e">
        <f t="shared" si="1"/>
        <v>#REF!</v>
      </c>
      <c r="Q15" s="16" t="e">
        <f t="shared" si="1"/>
        <v>#REF!</v>
      </c>
      <c r="R15" s="16" t="e">
        <f t="shared" si="1"/>
        <v>#REF!</v>
      </c>
      <c r="S15" s="16" t="e">
        <f t="shared" si="1"/>
        <v>#REF!</v>
      </c>
      <c r="T15" s="16" t="e">
        <f t="shared" si="1"/>
        <v>#REF!</v>
      </c>
      <c r="U15" s="16" t="e">
        <f t="shared" si="1"/>
        <v>#REF!</v>
      </c>
      <c r="V15" s="16" t="e">
        <f t="shared" si="1"/>
        <v>#REF!</v>
      </c>
      <c r="W15" s="16" t="e">
        <f t="shared" si="1"/>
        <v>#REF!</v>
      </c>
      <c r="X15" s="16" t="e">
        <f t="shared" si="1"/>
        <v>#REF!</v>
      </c>
      <c r="Y15" s="16" t="e">
        <f t="shared" si="1"/>
        <v>#REF!</v>
      </c>
      <c r="Z15" s="16" t="e">
        <f t="shared" si="1"/>
        <v>#REF!</v>
      </c>
      <c r="AA15" s="16" t="e">
        <f t="shared" si="1"/>
        <v>#REF!</v>
      </c>
      <c r="AB15" s="16" t="e">
        <f t="shared" si="2"/>
        <v>#REF!</v>
      </c>
      <c r="AC15" s="16" t="e">
        <f t="shared" si="2"/>
        <v>#REF!</v>
      </c>
      <c r="AD15" s="16" t="e">
        <f t="shared" si="2"/>
        <v>#REF!</v>
      </c>
      <c r="AE15" s="16" t="e">
        <f t="shared" si="2"/>
        <v>#REF!</v>
      </c>
      <c r="AF15" s="16" t="e">
        <f t="shared" si="2"/>
        <v>#REF!</v>
      </c>
      <c r="AG15" s="16" t="e">
        <f t="shared" si="2"/>
        <v>#REF!</v>
      </c>
      <c r="AH15" s="16" t="e">
        <f t="shared" si="2"/>
        <v>#REF!</v>
      </c>
      <c r="AI15" s="16" t="e">
        <f t="shared" si="2"/>
        <v>#REF!</v>
      </c>
      <c r="AJ15" s="16" t="e">
        <f t="shared" si="2"/>
        <v>#REF!</v>
      </c>
      <c r="AK15" s="16" t="e">
        <f t="shared" si="2"/>
        <v>#REF!</v>
      </c>
      <c r="AL15" s="16" t="e">
        <f t="shared" si="2"/>
        <v>#REF!</v>
      </c>
      <c r="AM15" s="16" t="e">
        <f t="shared" si="2"/>
        <v>#REF!</v>
      </c>
      <c r="AN15" s="16" t="e">
        <f t="shared" si="3"/>
        <v>#REF!</v>
      </c>
      <c r="AO15" s="16" t="e">
        <f t="shared" si="3"/>
        <v>#REF!</v>
      </c>
      <c r="AP15" s="16" t="e">
        <f t="shared" si="3"/>
        <v>#REF!</v>
      </c>
      <c r="AQ15" s="16" t="e">
        <f t="shared" si="3"/>
        <v>#REF!</v>
      </c>
      <c r="AR15" s="16" t="e">
        <f t="shared" si="3"/>
        <v>#REF!</v>
      </c>
      <c r="AS15" s="16" t="e">
        <f t="shared" si="3"/>
        <v>#REF!</v>
      </c>
      <c r="AT15" s="16" t="e">
        <f t="shared" si="3"/>
        <v>#REF!</v>
      </c>
      <c r="AU15" s="16" t="e">
        <f t="shared" si="3"/>
        <v>#REF!</v>
      </c>
      <c r="AV15" s="16" t="e">
        <f t="shared" si="3"/>
        <v>#REF!</v>
      </c>
      <c r="AW15" s="16" t="e">
        <f t="shared" si="3"/>
        <v>#REF!</v>
      </c>
      <c r="AX15" s="16" t="e">
        <f t="shared" si="3"/>
        <v>#REF!</v>
      </c>
      <c r="AY15" s="16" t="e">
        <f t="shared" si="3"/>
        <v>#REF!</v>
      </c>
      <c r="AZ15" s="16" t="e">
        <f t="shared" si="4"/>
        <v>#REF!</v>
      </c>
      <c r="BA15" s="16" t="e">
        <f t="shared" si="4"/>
        <v>#REF!</v>
      </c>
      <c r="BB15" s="16" t="e">
        <f t="shared" si="4"/>
        <v>#REF!</v>
      </c>
      <c r="BC15" s="16" t="e">
        <f t="shared" si="4"/>
        <v>#REF!</v>
      </c>
      <c r="BD15" s="16" t="e">
        <f t="shared" si="4"/>
        <v>#REF!</v>
      </c>
      <c r="BE15" s="16" t="e">
        <f t="shared" si="4"/>
        <v>#REF!</v>
      </c>
      <c r="BF15" s="16" t="e">
        <f t="shared" si="4"/>
        <v>#REF!</v>
      </c>
      <c r="BG15" s="16" t="e">
        <f t="shared" si="4"/>
        <v>#REF!</v>
      </c>
      <c r="BH15" s="16" t="e">
        <f t="shared" si="4"/>
        <v>#REF!</v>
      </c>
      <c r="BI15" s="16" t="e">
        <f t="shared" si="4"/>
        <v>#REF!</v>
      </c>
      <c r="BJ15" s="16" t="e">
        <f t="shared" si="4"/>
        <v>#REF!</v>
      </c>
      <c r="BK15" s="16" t="e">
        <f t="shared" si="4"/>
        <v>#REF!</v>
      </c>
    </row>
    <row r="16" spans="1:63" x14ac:dyDescent="0.25">
      <c r="A16" s="10"/>
      <c r="B16" s="11"/>
      <c r="C16" s="11"/>
      <c r="D16" s="11"/>
      <c r="E16" s="11"/>
      <c r="G16" s="22" t="e">
        <f>#REF!</f>
        <v>#REF!</v>
      </c>
      <c r="H16" s="22" t="e">
        <f>#REF!</f>
        <v>#REF!</v>
      </c>
      <c r="I16" s="23" t="e">
        <f>#REF!</f>
        <v>#REF!</v>
      </c>
      <c r="J16" s="13"/>
      <c r="K16" s="14"/>
      <c r="L16" s="14"/>
      <c r="M16" s="14"/>
      <c r="N16" s="14"/>
      <c r="O16" s="13"/>
      <c r="P16" s="16" t="e">
        <f t="shared" si="1"/>
        <v>#REF!</v>
      </c>
      <c r="Q16" s="16" t="e">
        <f t="shared" si="1"/>
        <v>#REF!</v>
      </c>
      <c r="R16" s="16" t="e">
        <f t="shared" si="1"/>
        <v>#REF!</v>
      </c>
      <c r="S16" s="16" t="e">
        <f t="shared" si="1"/>
        <v>#REF!</v>
      </c>
      <c r="T16" s="16" t="e">
        <f t="shared" si="1"/>
        <v>#REF!</v>
      </c>
      <c r="U16" s="16" t="e">
        <f t="shared" si="1"/>
        <v>#REF!</v>
      </c>
      <c r="V16" s="16" t="e">
        <f t="shared" si="1"/>
        <v>#REF!</v>
      </c>
      <c r="W16" s="16" t="e">
        <f t="shared" si="1"/>
        <v>#REF!</v>
      </c>
      <c r="X16" s="16" t="e">
        <f t="shared" si="1"/>
        <v>#REF!</v>
      </c>
      <c r="Y16" s="16" t="e">
        <f t="shared" si="1"/>
        <v>#REF!</v>
      </c>
      <c r="Z16" s="16" t="e">
        <f t="shared" si="1"/>
        <v>#REF!</v>
      </c>
      <c r="AA16" s="16" t="e">
        <f t="shared" si="1"/>
        <v>#REF!</v>
      </c>
      <c r="AB16" s="16" t="e">
        <f t="shared" si="2"/>
        <v>#REF!</v>
      </c>
      <c r="AC16" s="16" t="e">
        <f t="shared" si="2"/>
        <v>#REF!</v>
      </c>
      <c r="AD16" s="16" t="e">
        <f t="shared" si="2"/>
        <v>#REF!</v>
      </c>
      <c r="AE16" s="16" t="e">
        <f t="shared" si="2"/>
        <v>#REF!</v>
      </c>
      <c r="AF16" s="16" t="e">
        <f t="shared" si="2"/>
        <v>#REF!</v>
      </c>
      <c r="AG16" s="16" t="e">
        <f t="shared" si="2"/>
        <v>#REF!</v>
      </c>
      <c r="AH16" s="16" t="e">
        <f t="shared" si="2"/>
        <v>#REF!</v>
      </c>
      <c r="AI16" s="16" t="e">
        <f t="shared" si="2"/>
        <v>#REF!</v>
      </c>
      <c r="AJ16" s="16" t="e">
        <f t="shared" si="2"/>
        <v>#REF!</v>
      </c>
      <c r="AK16" s="16" t="e">
        <f t="shared" si="2"/>
        <v>#REF!</v>
      </c>
      <c r="AL16" s="16" t="e">
        <f t="shared" si="2"/>
        <v>#REF!</v>
      </c>
      <c r="AM16" s="16" t="e">
        <f t="shared" si="2"/>
        <v>#REF!</v>
      </c>
      <c r="AN16" s="16" t="e">
        <f t="shared" si="3"/>
        <v>#REF!</v>
      </c>
      <c r="AO16" s="16" t="e">
        <f t="shared" si="3"/>
        <v>#REF!</v>
      </c>
      <c r="AP16" s="16" t="e">
        <f t="shared" si="3"/>
        <v>#REF!</v>
      </c>
      <c r="AQ16" s="16" t="e">
        <f t="shared" si="3"/>
        <v>#REF!</v>
      </c>
      <c r="AR16" s="16" t="e">
        <f t="shared" si="3"/>
        <v>#REF!</v>
      </c>
      <c r="AS16" s="16" t="e">
        <f t="shared" si="3"/>
        <v>#REF!</v>
      </c>
      <c r="AT16" s="16" t="e">
        <f t="shared" si="3"/>
        <v>#REF!</v>
      </c>
      <c r="AU16" s="16" t="e">
        <f t="shared" si="3"/>
        <v>#REF!</v>
      </c>
      <c r="AV16" s="16" t="e">
        <f t="shared" si="3"/>
        <v>#REF!</v>
      </c>
      <c r="AW16" s="16" t="e">
        <f t="shared" si="3"/>
        <v>#REF!</v>
      </c>
      <c r="AX16" s="16" t="e">
        <f t="shared" si="3"/>
        <v>#REF!</v>
      </c>
      <c r="AY16" s="16" t="e">
        <f t="shared" si="3"/>
        <v>#REF!</v>
      </c>
      <c r="AZ16" s="16" t="e">
        <f t="shared" si="4"/>
        <v>#REF!</v>
      </c>
      <c r="BA16" s="16" t="e">
        <f t="shared" si="4"/>
        <v>#REF!</v>
      </c>
      <c r="BB16" s="16" t="e">
        <f t="shared" si="4"/>
        <v>#REF!</v>
      </c>
      <c r="BC16" s="16" t="e">
        <f t="shared" si="4"/>
        <v>#REF!</v>
      </c>
      <c r="BD16" s="16" t="e">
        <f t="shared" si="4"/>
        <v>#REF!</v>
      </c>
      <c r="BE16" s="16" t="e">
        <f t="shared" si="4"/>
        <v>#REF!</v>
      </c>
      <c r="BF16" s="16" t="e">
        <f t="shared" si="4"/>
        <v>#REF!</v>
      </c>
      <c r="BG16" s="16" t="e">
        <f t="shared" si="4"/>
        <v>#REF!</v>
      </c>
      <c r="BH16" s="16" t="e">
        <f t="shared" si="4"/>
        <v>#REF!</v>
      </c>
      <c r="BI16" s="16" t="e">
        <f t="shared" si="4"/>
        <v>#REF!</v>
      </c>
      <c r="BJ16" s="16" t="e">
        <f t="shared" si="4"/>
        <v>#REF!</v>
      </c>
      <c r="BK16" s="16" t="e">
        <f t="shared" si="4"/>
        <v>#REF!</v>
      </c>
    </row>
    <row r="17" spans="1:63" x14ac:dyDescent="0.25">
      <c r="A17" s="10"/>
      <c r="B17" s="11"/>
      <c r="C17" s="11"/>
      <c r="D17" s="11"/>
      <c r="E17" s="11"/>
      <c r="G17" s="22" t="e">
        <f>#REF!</f>
        <v>#REF!</v>
      </c>
      <c r="H17" s="22" t="e">
        <f>#REF!</f>
        <v>#REF!</v>
      </c>
      <c r="I17" s="23" t="e">
        <f>#REF!</f>
        <v>#REF!</v>
      </c>
      <c r="J17" s="13"/>
      <c r="K17" s="14"/>
      <c r="L17" s="14"/>
      <c r="M17" s="14"/>
      <c r="N17" s="14"/>
      <c r="O17" s="13"/>
      <c r="P17" s="16" t="e">
        <f t="shared" si="1"/>
        <v>#REF!</v>
      </c>
      <c r="Q17" s="16" t="e">
        <f t="shared" si="1"/>
        <v>#REF!</v>
      </c>
      <c r="R17" s="16" t="e">
        <f t="shared" si="1"/>
        <v>#REF!</v>
      </c>
      <c r="S17" s="16" t="e">
        <f t="shared" si="1"/>
        <v>#REF!</v>
      </c>
      <c r="T17" s="16" t="e">
        <f t="shared" si="1"/>
        <v>#REF!</v>
      </c>
      <c r="U17" s="16" t="e">
        <f t="shared" si="1"/>
        <v>#REF!</v>
      </c>
      <c r="V17" s="16" t="e">
        <f t="shared" si="1"/>
        <v>#REF!</v>
      </c>
      <c r="W17" s="16" t="e">
        <f t="shared" si="1"/>
        <v>#REF!</v>
      </c>
      <c r="X17" s="16" t="e">
        <f t="shared" si="1"/>
        <v>#REF!</v>
      </c>
      <c r="Y17" s="16" t="e">
        <f t="shared" si="1"/>
        <v>#REF!</v>
      </c>
      <c r="Z17" s="16" t="e">
        <f t="shared" si="1"/>
        <v>#REF!</v>
      </c>
      <c r="AA17" s="16" t="e">
        <f t="shared" si="1"/>
        <v>#REF!</v>
      </c>
      <c r="AB17" s="16" t="e">
        <f t="shared" si="2"/>
        <v>#REF!</v>
      </c>
      <c r="AC17" s="16" t="e">
        <f t="shared" si="2"/>
        <v>#REF!</v>
      </c>
      <c r="AD17" s="16" t="e">
        <f t="shared" si="2"/>
        <v>#REF!</v>
      </c>
      <c r="AE17" s="16" t="e">
        <f t="shared" si="2"/>
        <v>#REF!</v>
      </c>
      <c r="AF17" s="16" t="e">
        <f t="shared" si="2"/>
        <v>#REF!</v>
      </c>
      <c r="AG17" s="16" t="e">
        <f t="shared" si="2"/>
        <v>#REF!</v>
      </c>
      <c r="AH17" s="16" t="e">
        <f t="shared" si="2"/>
        <v>#REF!</v>
      </c>
      <c r="AI17" s="16" t="e">
        <f t="shared" si="2"/>
        <v>#REF!</v>
      </c>
      <c r="AJ17" s="16" t="e">
        <f t="shared" si="2"/>
        <v>#REF!</v>
      </c>
      <c r="AK17" s="16" t="e">
        <f t="shared" si="2"/>
        <v>#REF!</v>
      </c>
      <c r="AL17" s="16" t="e">
        <f t="shared" si="2"/>
        <v>#REF!</v>
      </c>
      <c r="AM17" s="16" t="e">
        <f t="shared" si="2"/>
        <v>#REF!</v>
      </c>
      <c r="AN17" s="16" t="e">
        <f t="shared" si="3"/>
        <v>#REF!</v>
      </c>
      <c r="AO17" s="16" t="e">
        <f t="shared" si="3"/>
        <v>#REF!</v>
      </c>
      <c r="AP17" s="16" t="e">
        <f t="shared" si="3"/>
        <v>#REF!</v>
      </c>
      <c r="AQ17" s="16" t="e">
        <f t="shared" si="3"/>
        <v>#REF!</v>
      </c>
      <c r="AR17" s="16" t="e">
        <f t="shared" si="3"/>
        <v>#REF!</v>
      </c>
      <c r="AS17" s="16" t="e">
        <f t="shared" si="3"/>
        <v>#REF!</v>
      </c>
      <c r="AT17" s="16" t="e">
        <f t="shared" si="3"/>
        <v>#REF!</v>
      </c>
      <c r="AU17" s="16" t="e">
        <f t="shared" si="3"/>
        <v>#REF!</v>
      </c>
      <c r="AV17" s="16" t="e">
        <f t="shared" si="3"/>
        <v>#REF!</v>
      </c>
      <c r="AW17" s="16" t="e">
        <f t="shared" si="3"/>
        <v>#REF!</v>
      </c>
      <c r="AX17" s="16" t="e">
        <f t="shared" si="3"/>
        <v>#REF!</v>
      </c>
      <c r="AY17" s="16" t="e">
        <f t="shared" si="3"/>
        <v>#REF!</v>
      </c>
      <c r="AZ17" s="16" t="e">
        <f t="shared" si="4"/>
        <v>#REF!</v>
      </c>
      <c r="BA17" s="16" t="e">
        <f t="shared" si="4"/>
        <v>#REF!</v>
      </c>
      <c r="BB17" s="16" t="e">
        <f t="shared" si="4"/>
        <v>#REF!</v>
      </c>
      <c r="BC17" s="16" t="e">
        <f t="shared" si="4"/>
        <v>#REF!</v>
      </c>
      <c r="BD17" s="16" t="e">
        <f t="shared" si="4"/>
        <v>#REF!</v>
      </c>
      <c r="BE17" s="16" t="e">
        <f t="shared" si="4"/>
        <v>#REF!</v>
      </c>
      <c r="BF17" s="16" t="e">
        <f t="shared" si="4"/>
        <v>#REF!</v>
      </c>
      <c r="BG17" s="16" t="e">
        <f t="shared" si="4"/>
        <v>#REF!</v>
      </c>
      <c r="BH17" s="16" t="e">
        <f t="shared" si="4"/>
        <v>#REF!</v>
      </c>
      <c r="BI17" s="16" t="e">
        <f t="shared" si="4"/>
        <v>#REF!</v>
      </c>
      <c r="BJ17" s="16" t="e">
        <f t="shared" si="4"/>
        <v>#REF!</v>
      </c>
      <c r="BK17" s="16" t="e">
        <f t="shared" si="4"/>
        <v>#REF!</v>
      </c>
    </row>
    <row r="18" spans="1:63" x14ac:dyDescent="0.25">
      <c r="A18" s="10"/>
      <c r="B18" s="11"/>
      <c r="C18" s="11"/>
      <c r="D18" s="11"/>
      <c r="E18" s="11"/>
      <c r="G18" s="22" t="e">
        <f>#REF!</f>
        <v>#REF!</v>
      </c>
      <c r="H18" s="22" t="e">
        <f>#REF!</f>
        <v>#REF!</v>
      </c>
      <c r="I18" s="23" t="e">
        <f>#REF!</f>
        <v>#REF!</v>
      </c>
      <c r="J18" s="13"/>
      <c r="K18" s="14"/>
      <c r="L18" s="14"/>
      <c r="M18" s="14"/>
      <c r="N18" s="14"/>
      <c r="O18" s="13"/>
      <c r="P18" s="16" t="e">
        <f t="shared" si="1"/>
        <v>#REF!</v>
      </c>
      <c r="Q18" s="16" t="e">
        <f t="shared" si="1"/>
        <v>#REF!</v>
      </c>
      <c r="R18" s="16" t="e">
        <f t="shared" si="1"/>
        <v>#REF!</v>
      </c>
      <c r="S18" s="16" t="e">
        <f t="shared" si="1"/>
        <v>#REF!</v>
      </c>
      <c r="T18" s="16" t="e">
        <f t="shared" si="1"/>
        <v>#REF!</v>
      </c>
      <c r="U18" s="16" t="e">
        <f t="shared" si="1"/>
        <v>#REF!</v>
      </c>
      <c r="V18" s="16" t="e">
        <f t="shared" si="1"/>
        <v>#REF!</v>
      </c>
      <c r="W18" s="16" t="e">
        <f t="shared" si="1"/>
        <v>#REF!</v>
      </c>
      <c r="X18" s="16" t="e">
        <f t="shared" si="1"/>
        <v>#REF!</v>
      </c>
      <c r="Y18" s="16" t="e">
        <f t="shared" si="1"/>
        <v>#REF!</v>
      </c>
      <c r="Z18" s="16" t="e">
        <f t="shared" si="1"/>
        <v>#REF!</v>
      </c>
      <c r="AA18" s="16" t="e">
        <f t="shared" si="1"/>
        <v>#REF!</v>
      </c>
      <c r="AB18" s="16" t="e">
        <f t="shared" si="2"/>
        <v>#REF!</v>
      </c>
      <c r="AC18" s="16" t="e">
        <f t="shared" si="2"/>
        <v>#REF!</v>
      </c>
      <c r="AD18" s="16" t="e">
        <f t="shared" si="2"/>
        <v>#REF!</v>
      </c>
      <c r="AE18" s="16" t="e">
        <f t="shared" si="2"/>
        <v>#REF!</v>
      </c>
      <c r="AF18" s="16" t="e">
        <f t="shared" si="2"/>
        <v>#REF!</v>
      </c>
      <c r="AG18" s="16" t="e">
        <f t="shared" si="2"/>
        <v>#REF!</v>
      </c>
      <c r="AH18" s="16" t="e">
        <f t="shared" si="2"/>
        <v>#REF!</v>
      </c>
      <c r="AI18" s="16" t="e">
        <f t="shared" si="2"/>
        <v>#REF!</v>
      </c>
      <c r="AJ18" s="16" t="e">
        <f t="shared" si="2"/>
        <v>#REF!</v>
      </c>
      <c r="AK18" s="16" t="e">
        <f t="shared" si="2"/>
        <v>#REF!</v>
      </c>
      <c r="AL18" s="16" t="e">
        <f t="shared" si="2"/>
        <v>#REF!</v>
      </c>
      <c r="AM18" s="16" t="e">
        <f t="shared" si="2"/>
        <v>#REF!</v>
      </c>
      <c r="AN18" s="16" t="e">
        <f t="shared" si="3"/>
        <v>#REF!</v>
      </c>
      <c r="AO18" s="16" t="e">
        <f t="shared" si="3"/>
        <v>#REF!</v>
      </c>
      <c r="AP18" s="16" t="e">
        <f t="shared" si="3"/>
        <v>#REF!</v>
      </c>
      <c r="AQ18" s="16" t="e">
        <f t="shared" si="3"/>
        <v>#REF!</v>
      </c>
      <c r="AR18" s="16" t="e">
        <f t="shared" si="3"/>
        <v>#REF!</v>
      </c>
      <c r="AS18" s="16" t="e">
        <f t="shared" si="3"/>
        <v>#REF!</v>
      </c>
      <c r="AT18" s="16" t="e">
        <f t="shared" si="3"/>
        <v>#REF!</v>
      </c>
      <c r="AU18" s="16" t="e">
        <f t="shared" si="3"/>
        <v>#REF!</v>
      </c>
      <c r="AV18" s="16" t="e">
        <f t="shared" si="3"/>
        <v>#REF!</v>
      </c>
      <c r="AW18" s="16" t="e">
        <f t="shared" si="3"/>
        <v>#REF!</v>
      </c>
      <c r="AX18" s="16" t="e">
        <f t="shared" si="3"/>
        <v>#REF!</v>
      </c>
      <c r="AY18" s="16" t="e">
        <f t="shared" si="3"/>
        <v>#REF!</v>
      </c>
      <c r="AZ18" s="16" t="e">
        <f t="shared" si="4"/>
        <v>#REF!</v>
      </c>
      <c r="BA18" s="16" t="e">
        <f t="shared" si="4"/>
        <v>#REF!</v>
      </c>
      <c r="BB18" s="16" t="e">
        <f t="shared" si="4"/>
        <v>#REF!</v>
      </c>
      <c r="BC18" s="16" t="e">
        <f t="shared" si="4"/>
        <v>#REF!</v>
      </c>
      <c r="BD18" s="16" t="e">
        <f t="shared" si="4"/>
        <v>#REF!</v>
      </c>
      <c r="BE18" s="16" t="e">
        <f t="shared" si="4"/>
        <v>#REF!</v>
      </c>
      <c r="BF18" s="16" t="e">
        <f t="shared" si="4"/>
        <v>#REF!</v>
      </c>
      <c r="BG18" s="16" t="e">
        <f t="shared" si="4"/>
        <v>#REF!</v>
      </c>
      <c r="BH18" s="16" t="e">
        <f t="shared" si="4"/>
        <v>#REF!</v>
      </c>
      <c r="BI18" s="16" t="e">
        <f t="shared" si="4"/>
        <v>#REF!</v>
      </c>
      <c r="BJ18" s="16" t="e">
        <f t="shared" si="4"/>
        <v>#REF!</v>
      </c>
      <c r="BK18" s="16" t="e">
        <f t="shared" si="4"/>
        <v>#REF!</v>
      </c>
    </row>
    <row r="19" spans="1:63" ht="15.75" customHeight="1" thickBot="1" x14ac:dyDescent="0.3">
      <c r="A19" s="10"/>
      <c r="B19" s="11"/>
      <c r="C19" s="11"/>
      <c r="D19" s="11"/>
      <c r="E19" s="11"/>
      <c r="F19" s="5" t="s">
        <v>83</v>
      </c>
      <c r="G19" s="17" t="s">
        <v>84</v>
      </c>
      <c r="H19" s="18"/>
      <c r="I19" s="18"/>
      <c r="J19" s="18"/>
      <c r="K19" s="18"/>
      <c r="L19" s="18"/>
      <c r="M19" s="18"/>
      <c r="N19" s="18"/>
      <c r="O19" s="18"/>
      <c r="P19" s="19" t="e">
        <f t="shared" ref="P19:BK19" si="5">SUM(P6:P18)</f>
        <v>#REF!</v>
      </c>
      <c r="Q19" s="19" t="e">
        <f t="shared" si="5"/>
        <v>#REF!</v>
      </c>
      <c r="R19" s="19" t="e">
        <f t="shared" si="5"/>
        <v>#REF!</v>
      </c>
      <c r="S19" s="19" t="e">
        <f t="shared" si="5"/>
        <v>#REF!</v>
      </c>
      <c r="T19" s="19" t="e">
        <f t="shared" si="5"/>
        <v>#REF!</v>
      </c>
      <c r="U19" s="19" t="e">
        <f t="shared" si="5"/>
        <v>#REF!</v>
      </c>
      <c r="V19" s="19" t="e">
        <f t="shared" si="5"/>
        <v>#REF!</v>
      </c>
      <c r="W19" s="19" t="e">
        <f t="shared" si="5"/>
        <v>#REF!</v>
      </c>
      <c r="X19" s="19" t="e">
        <f t="shared" si="5"/>
        <v>#REF!</v>
      </c>
      <c r="Y19" s="19" t="e">
        <f t="shared" si="5"/>
        <v>#REF!</v>
      </c>
      <c r="Z19" s="19" t="e">
        <f t="shared" si="5"/>
        <v>#REF!</v>
      </c>
      <c r="AA19" s="19" t="e">
        <f t="shared" si="5"/>
        <v>#REF!</v>
      </c>
      <c r="AB19" s="19" t="e">
        <f t="shared" si="5"/>
        <v>#REF!</v>
      </c>
      <c r="AC19" s="19" t="e">
        <f t="shared" si="5"/>
        <v>#REF!</v>
      </c>
      <c r="AD19" s="19" t="e">
        <f t="shared" si="5"/>
        <v>#REF!</v>
      </c>
      <c r="AE19" s="19" t="e">
        <f t="shared" si="5"/>
        <v>#REF!</v>
      </c>
      <c r="AF19" s="19" t="e">
        <f t="shared" si="5"/>
        <v>#REF!</v>
      </c>
      <c r="AG19" s="19" t="e">
        <f t="shared" si="5"/>
        <v>#REF!</v>
      </c>
      <c r="AH19" s="19" t="e">
        <f t="shared" si="5"/>
        <v>#REF!</v>
      </c>
      <c r="AI19" s="19" t="e">
        <f t="shared" si="5"/>
        <v>#REF!</v>
      </c>
      <c r="AJ19" s="19" t="e">
        <f t="shared" si="5"/>
        <v>#REF!</v>
      </c>
      <c r="AK19" s="19" t="e">
        <f t="shared" si="5"/>
        <v>#REF!</v>
      </c>
      <c r="AL19" s="19" t="e">
        <f t="shared" si="5"/>
        <v>#REF!</v>
      </c>
      <c r="AM19" s="19" t="e">
        <f t="shared" si="5"/>
        <v>#REF!</v>
      </c>
      <c r="AN19" s="19" t="e">
        <f t="shared" si="5"/>
        <v>#REF!</v>
      </c>
      <c r="AO19" s="19" t="e">
        <f t="shared" si="5"/>
        <v>#REF!</v>
      </c>
      <c r="AP19" s="19" t="e">
        <f t="shared" si="5"/>
        <v>#REF!</v>
      </c>
      <c r="AQ19" s="19" t="e">
        <f t="shared" si="5"/>
        <v>#REF!</v>
      </c>
      <c r="AR19" s="19" t="e">
        <f t="shared" si="5"/>
        <v>#REF!</v>
      </c>
      <c r="AS19" s="19" t="e">
        <f t="shared" si="5"/>
        <v>#REF!</v>
      </c>
      <c r="AT19" s="19" t="e">
        <f t="shared" si="5"/>
        <v>#REF!</v>
      </c>
      <c r="AU19" s="19" t="e">
        <f t="shared" si="5"/>
        <v>#REF!</v>
      </c>
      <c r="AV19" s="19" t="e">
        <f t="shared" si="5"/>
        <v>#REF!</v>
      </c>
      <c r="AW19" s="19" t="e">
        <f t="shared" si="5"/>
        <v>#REF!</v>
      </c>
      <c r="AX19" s="19" t="e">
        <f t="shared" si="5"/>
        <v>#REF!</v>
      </c>
      <c r="AY19" s="19" t="e">
        <f t="shared" si="5"/>
        <v>#REF!</v>
      </c>
      <c r="AZ19" s="19" t="e">
        <f t="shared" si="5"/>
        <v>#REF!</v>
      </c>
      <c r="BA19" s="19" t="e">
        <f t="shared" si="5"/>
        <v>#REF!</v>
      </c>
      <c r="BB19" s="19" t="e">
        <f t="shared" si="5"/>
        <v>#REF!</v>
      </c>
      <c r="BC19" s="19" t="e">
        <f t="shared" si="5"/>
        <v>#REF!</v>
      </c>
      <c r="BD19" s="19" t="e">
        <f t="shared" si="5"/>
        <v>#REF!</v>
      </c>
      <c r="BE19" s="19" t="e">
        <f t="shared" si="5"/>
        <v>#REF!</v>
      </c>
      <c r="BF19" s="19" t="e">
        <f t="shared" si="5"/>
        <v>#REF!</v>
      </c>
      <c r="BG19" s="19" t="e">
        <f t="shared" si="5"/>
        <v>#REF!</v>
      </c>
      <c r="BH19" s="19" t="e">
        <f t="shared" si="5"/>
        <v>#REF!</v>
      </c>
      <c r="BI19" s="19" t="e">
        <f t="shared" si="5"/>
        <v>#REF!</v>
      </c>
      <c r="BJ19" s="19" t="e">
        <f t="shared" si="5"/>
        <v>#REF!</v>
      </c>
      <c r="BK19" s="19" t="e">
        <f t="shared" si="5"/>
        <v>#REF!</v>
      </c>
    </row>
    <row r="20" spans="1:63" x14ac:dyDescent="0.25">
      <c r="A20" s="10"/>
      <c r="B20" s="11"/>
      <c r="C20" s="11"/>
      <c r="D20" s="11"/>
      <c r="E20" s="11"/>
      <c r="S20" s="16"/>
    </row>
    <row r="21" spans="1:63" x14ac:dyDescent="0.25">
      <c r="A21" s="10"/>
      <c r="B21" s="11"/>
      <c r="C21" s="11"/>
      <c r="D21" s="11"/>
      <c r="E21" s="11"/>
    </row>
    <row r="22" spans="1:63" x14ac:dyDescent="0.25">
      <c r="B22" s="11"/>
      <c r="C22" s="11"/>
      <c r="D22" s="11"/>
      <c r="E22" s="11"/>
      <c r="F22" s="5" t="s">
        <v>85</v>
      </c>
      <c r="G22" s="3" t="s">
        <v>74</v>
      </c>
      <c r="H22" s="3" t="s">
        <v>86</v>
      </c>
      <c r="I22" s="3" t="s">
        <v>87</v>
      </c>
      <c r="J22" s="3"/>
      <c r="K22" s="3"/>
      <c r="L22" s="3"/>
      <c r="M22" s="3"/>
      <c r="N22" s="3"/>
      <c r="O22" s="3"/>
      <c r="P22" s="4">
        <v>44927</v>
      </c>
      <c r="Q22" s="4">
        <v>44958</v>
      </c>
      <c r="R22" s="4">
        <v>44986</v>
      </c>
      <c r="S22" s="4">
        <v>45017</v>
      </c>
      <c r="T22" s="4">
        <v>45047</v>
      </c>
      <c r="U22" s="4">
        <v>45078</v>
      </c>
      <c r="V22" s="4">
        <v>45108</v>
      </c>
      <c r="W22" s="4">
        <v>45139</v>
      </c>
      <c r="X22" s="4">
        <v>45170</v>
      </c>
      <c r="Y22" s="4">
        <v>45200</v>
      </c>
      <c r="Z22" s="4">
        <v>45231</v>
      </c>
      <c r="AA22" s="4">
        <v>45261</v>
      </c>
      <c r="AB22" s="4">
        <v>45292</v>
      </c>
      <c r="AC22" s="4">
        <v>45323</v>
      </c>
      <c r="AD22" s="4">
        <v>45352</v>
      </c>
      <c r="AE22" s="4">
        <v>45383</v>
      </c>
      <c r="AF22" s="4">
        <v>45413</v>
      </c>
      <c r="AG22" s="4">
        <v>45444</v>
      </c>
      <c r="AH22" s="4">
        <v>45474</v>
      </c>
      <c r="AI22" s="4">
        <v>45505</v>
      </c>
      <c r="AJ22" s="4">
        <v>45536</v>
      </c>
      <c r="AK22" s="4">
        <v>45566</v>
      </c>
      <c r="AL22" s="4">
        <v>45597</v>
      </c>
      <c r="AM22" s="4">
        <v>45627</v>
      </c>
      <c r="AN22" s="4">
        <v>45658</v>
      </c>
      <c r="AO22" s="4">
        <v>45689</v>
      </c>
      <c r="AP22" s="4">
        <v>45717</v>
      </c>
      <c r="AQ22" s="4">
        <v>45748</v>
      </c>
      <c r="AR22" s="4">
        <v>45778</v>
      </c>
      <c r="AS22" s="4">
        <v>45809</v>
      </c>
      <c r="AT22" s="4">
        <v>45839</v>
      </c>
      <c r="AU22" s="4">
        <v>45870</v>
      </c>
      <c r="AV22" s="4">
        <v>45901</v>
      </c>
      <c r="AW22" s="4">
        <v>45931</v>
      </c>
      <c r="AX22" s="4">
        <v>45962</v>
      </c>
      <c r="AY22" s="4">
        <v>45992</v>
      </c>
      <c r="AZ22" s="4">
        <v>46023</v>
      </c>
      <c r="BA22" s="4">
        <v>46054</v>
      </c>
      <c r="BB22" s="4">
        <v>46082</v>
      </c>
      <c r="BC22" s="4">
        <v>46113</v>
      </c>
      <c r="BD22" s="4">
        <v>46143</v>
      </c>
      <c r="BE22" s="4">
        <v>46174</v>
      </c>
      <c r="BF22" s="4">
        <v>46204</v>
      </c>
      <c r="BG22" s="4">
        <v>46235</v>
      </c>
      <c r="BH22" s="4">
        <v>46266</v>
      </c>
      <c r="BI22" s="4">
        <v>46296</v>
      </c>
      <c r="BJ22" s="4">
        <v>46327</v>
      </c>
      <c r="BK22" s="4">
        <v>46357</v>
      </c>
    </row>
    <row r="23" spans="1:63" x14ac:dyDescent="0.25">
      <c r="B23" s="11"/>
      <c r="C23" s="11"/>
      <c r="D23" s="11"/>
      <c r="E23" s="11"/>
      <c r="G23" s="20" t="e">
        <f t="shared" ref="G23:I35" si="6">G6</f>
        <v>#REF!</v>
      </c>
      <c r="H23" s="20" t="e">
        <f t="shared" si="6"/>
        <v>#REF!</v>
      </c>
      <c r="I23" s="21" t="e">
        <f t="shared" si="6"/>
        <v>#REF!</v>
      </c>
      <c r="J23" s="13">
        <f>2000*12</f>
        <v>24000</v>
      </c>
      <c r="K23" s="14">
        <v>1</v>
      </c>
      <c r="L23" s="14">
        <v>1</v>
      </c>
      <c r="M23" s="14">
        <v>1</v>
      </c>
      <c r="N23" s="14">
        <v>1</v>
      </c>
      <c r="O23" s="13">
        <v>1</v>
      </c>
      <c r="P23" s="16" t="e">
        <f t="shared" ref="P23:AA35" si="7">IF(P$4&gt;=($O23+($I23-$P$5)/30.5),$K23*$J23/12,0)</f>
        <v>#REF!</v>
      </c>
      <c r="Q23" s="16" t="e">
        <f t="shared" si="7"/>
        <v>#REF!</v>
      </c>
      <c r="R23" s="16" t="e">
        <f t="shared" si="7"/>
        <v>#REF!</v>
      </c>
      <c r="S23" s="16" t="e">
        <f t="shared" si="7"/>
        <v>#REF!</v>
      </c>
      <c r="T23" s="16" t="e">
        <f t="shared" si="7"/>
        <v>#REF!</v>
      </c>
      <c r="U23" s="16" t="e">
        <f t="shared" si="7"/>
        <v>#REF!</v>
      </c>
      <c r="V23" s="16" t="e">
        <f t="shared" si="7"/>
        <v>#REF!</v>
      </c>
      <c r="W23" s="16" t="e">
        <f t="shared" si="7"/>
        <v>#REF!</v>
      </c>
      <c r="X23" s="16" t="e">
        <f t="shared" si="7"/>
        <v>#REF!</v>
      </c>
      <c r="Y23" s="16" t="e">
        <f t="shared" si="7"/>
        <v>#REF!</v>
      </c>
      <c r="Z23" s="16" t="e">
        <f t="shared" si="7"/>
        <v>#REF!</v>
      </c>
      <c r="AA23" s="16" t="e">
        <f t="shared" si="7"/>
        <v>#REF!</v>
      </c>
      <c r="AB23" s="16" t="e">
        <f t="shared" ref="AB23:AM35" si="8">IF(AB$4&gt;=($O23+($I23-$P$5)/30.5),$L23*$J23/12,0)</f>
        <v>#REF!</v>
      </c>
      <c r="AC23" s="16" t="e">
        <f t="shared" si="8"/>
        <v>#REF!</v>
      </c>
      <c r="AD23" s="16" t="e">
        <f t="shared" si="8"/>
        <v>#REF!</v>
      </c>
      <c r="AE23" s="16" t="e">
        <f t="shared" si="8"/>
        <v>#REF!</v>
      </c>
      <c r="AF23" s="16" t="e">
        <f t="shared" si="8"/>
        <v>#REF!</v>
      </c>
      <c r="AG23" s="16" t="e">
        <f t="shared" si="8"/>
        <v>#REF!</v>
      </c>
      <c r="AH23" s="16" t="e">
        <f t="shared" si="8"/>
        <v>#REF!</v>
      </c>
      <c r="AI23" s="16" t="e">
        <f t="shared" si="8"/>
        <v>#REF!</v>
      </c>
      <c r="AJ23" s="16" t="e">
        <f t="shared" si="8"/>
        <v>#REF!</v>
      </c>
      <c r="AK23" s="16" t="e">
        <f t="shared" si="8"/>
        <v>#REF!</v>
      </c>
      <c r="AL23" s="16" t="e">
        <f t="shared" si="8"/>
        <v>#REF!</v>
      </c>
      <c r="AM23" s="16" t="e">
        <f t="shared" si="8"/>
        <v>#REF!</v>
      </c>
      <c r="AN23" s="16" t="e">
        <f t="shared" ref="AN23:AY35" si="9">IF(AN$4&gt;=($O23+($I23-$P$5)/30.5),$M23*$J23/12,0)</f>
        <v>#REF!</v>
      </c>
      <c r="AO23" s="16" t="e">
        <f t="shared" si="9"/>
        <v>#REF!</v>
      </c>
      <c r="AP23" s="16" t="e">
        <f t="shared" si="9"/>
        <v>#REF!</v>
      </c>
      <c r="AQ23" s="16" t="e">
        <f t="shared" si="9"/>
        <v>#REF!</v>
      </c>
      <c r="AR23" s="16" t="e">
        <f t="shared" si="9"/>
        <v>#REF!</v>
      </c>
      <c r="AS23" s="16" t="e">
        <f t="shared" si="9"/>
        <v>#REF!</v>
      </c>
      <c r="AT23" s="16" t="e">
        <f t="shared" si="9"/>
        <v>#REF!</v>
      </c>
      <c r="AU23" s="16" t="e">
        <f t="shared" si="9"/>
        <v>#REF!</v>
      </c>
      <c r="AV23" s="16" t="e">
        <f t="shared" si="9"/>
        <v>#REF!</v>
      </c>
      <c r="AW23" s="16" t="e">
        <f t="shared" si="9"/>
        <v>#REF!</v>
      </c>
      <c r="AX23" s="16" t="e">
        <f t="shared" si="9"/>
        <v>#REF!</v>
      </c>
      <c r="AY23" s="16" t="e">
        <f t="shared" si="9"/>
        <v>#REF!</v>
      </c>
      <c r="AZ23" s="16" t="e">
        <f t="shared" ref="AZ23:BK35" si="10">IF(AZ$4&gt;=($O23+($I23-$P$5)/30.5),$N23*$J23/12,0)</f>
        <v>#REF!</v>
      </c>
      <c r="BA23" s="16" t="e">
        <f t="shared" si="10"/>
        <v>#REF!</v>
      </c>
      <c r="BB23" s="16" t="e">
        <f t="shared" si="10"/>
        <v>#REF!</v>
      </c>
      <c r="BC23" s="16" t="e">
        <f t="shared" si="10"/>
        <v>#REF!</v>
      </c>
      <c r="BD23" s="16" t="e">
        <f t="shared" si="10"/>
        <v>#REF!</v>
      </c>
      <c r="BE23" s="16" t="e">
        <f t="shared" si="10"/>
        <v>#REF!</v>
      </c>
      <c r="BF23" s="16" t="e">
        <f t="shared" si="10"/>
        <v>#REF!</v>
      </c>
      <c r="BG23" s="16" t="e">
        <f t="shared" si="10"/>
        <v>#REF!</v>
      </c>
      <c r="BH23" s="16" t="e">
        <f t="shared" si="10"/>
        <v>#REF!</v>
      </c>
      <c r="BI23" s="16" t="e">
        <f t="shared" si="10"/>
        <v>#REF!</v>
      </c>
      <c r="BJ23" s="16" t="e">
        <f t="shared" si="10"/>
        <v>#REF!</v>
      </c>
      <c r="BK23" s="16" t="e">
        <f t="shared" si="10"/>
        <v>#REF!</v>
      </c>
    </row>
    <row r="24" spans="1:63" x14ac:dyDescent="0.25">
      <c r="B24" s="11"/>
      <c r="C24" s="11"/>
      <c r="D24" s="11"/>
      <c r="E24" s="11"/>
      <c r="G24" s="20" t="e">
        <f t="shared" si="6"/>
        <v>#REF!</v>
      </c>
      <c r="H24" s="20" t="e">
        <f t="shared" si="6"/>
        <v>#REF!</v>
      </c>
      <c r="I24" s="21" t="e">
        <f t="shared" si="6"/>
        <v>#REF!</v>
      </c>
      <c r="J24" s="13"/>
      <c r="K24" s="14">
        <v>0.8</v>
      </c>
      <c r="L24" s="14">
        <v>1</v>
      </c>
      <c r="M24" s="14">
        <v>1</v>
      </c>
      <c r="N24" s="14">
        <v>1</v>
      </c>
      <c r="O24" s="13">
        <v>4</v>
      </c>
      <c r="P24" s="16" t="e">
        <f t="shared" si="7"/>
        <v>#REF!</v>
      </c>
      <c r="Q24" s="16" t="e">
        <f t="shared" si="7"/>
        <v>#REF!</v>
      </c>
      <c r="R24" s="16" t="e">
        <f t="shared" si="7"/>
        <v>#REF!</v>
      </c>
      <c r="S24" s="16" t="e">
        <f t="shared" si="7"/>
        <v>#REF!</v>
      </c>
      <c r="T24" s="16" t="e">
        <f t="shared" si="7"/>
        <v>#REF!</v>
      </c>
      <c r="U24" s="16" t="e">
        <f t="shared" si="7"/>
        <v>#REF!</v>
      </c>
      <c r="V24" s="16" t="e">
        <f t="shared" si="7"/>
        <v>#REF!</v>
      </c>
      <c r="W24" s="16" t="e">
        <f t="shared" si="7"/>
        <v>#REF!</v>
      </c>
      <c r="X24" s="16" t="e">
        <f t="shared" si="7"/>
        <v>#REF!</v>
      </c>
      <c r="Y24" s="16" t="e">
        <f t="shared" si="7"/>
        <v>#REF!</v>
      </c>
      <c r="Z24" s="16" t="e">
        <f t="shared" si="7"/>
        <v>#REF!</v>
      </c>
      <c r="AA24" s="16" t="e">
        <f t="shared" si="7"/>
        <v>#REF!</v>
      </c>
      <c r="AB24" s="16" t="e">
        <f t="shared" si="8"/>
        <v>#REF!</v>
      </c>
      <c r="AC24" s="16" t="e">
        <f t="shared" si="8"/>
        <v>#REF!</v>
      </c>
      <c r="AD24" s="16" t="e">
        <f t="shared" si="8"/>
        <v>#REF!</v>
      </c>
      <c r="AE24" s="16" t="e">
        <f t="shared" si="8"/>
        <v>#REF!</v>
      </c>
      <c r="AF24" s="16" t="e">
        <f t="shared" si="8"/>
        <v>#REF!</v>
      </c>
      <c r="AG24" s="16" t="e">
        <f t="shared" si="8"/>
        <v>#REF!</v>
      </c>
      <c r="AH24" s="16" t="e">
        <f t="shared" si="8"/>
        <v>#REF!</v>
      </c>
      <c r="AI24" s="16" t="e">
        <f t="shared" si="8"/>
        <v>#REF!</v>
      </c>
      <c r="AJ24" s="16" t="e">
        <f t="shared" si="8"/>
        <v>#REF!</v>
      </c>
      <c r="AK24" s="16" t="e">
        <f t="shared" si="8"/>
        <v>#REF!</v>
      </c>
      <c r="AL24" s="16" t="e">
        <f t="shared" si="8"/>
        <v>#REF!</v>
      </c>
      <c r="AM24" s="16" t="e">
        <f t="shared" si="8"/>
        <v>#REF!</v>
      </c>
      <c r="AN24" s="16" t="e">
        <f t="shared" si="9"/>
        <v>#REF!</v>
      </c>
      <c r="AO24" s="16" t="e">
        <f t="shared" si="9"/>
        <v>#REF!</v>
      </c>
      <c r="AP24" s="16" t="e">
        <f t="shared" si="9"/>
        <v>#REF!</v>
      </c>
      <c r="AQ24" s="16" t="e">
        <f t="shared" si="9"/>
        <v>#REF!</v>
      </c>
      <c r="AR24" s="16" t="e">
        <f t="shared" si="9"/>
        <v>#REF!</v>
      </c>
      <c r="AS24" s="16" t="e">
        <f t="shared" si="9"/>
        <v>#REF!</v>
      </c>
      <c r="AT24" s="16" t="e">
        <f t="shared" si="9"/>
        <v>#REF!</v>
      </c>
      <c r="AU24" s="16" t="e">
        <f t="shared" si="9"/>
        <v>#REF!</v>
      </c>
      <c r="AV24" s="16" t="e">
        <f t="shared" si="9"/>
        <v>#REF!</v>
      </c>
      <c r="AW24" s="16" t="e">
        <f t="shared" si="9"/>
        <v>#REF!</v>
      </c>
      <c r="AX24" s="16" t="e">
        <f t="shared" si="9"/>
        <v>#REF!</v>
      </c>
      <c r="AY24" s="16" t="e">
        <f t="shared" si="9"/>
        <v>#REF!</v>
      </c>
      <c r="AZ24" s="16" t="e">
        <f t="shared" si="10"/>
        <v>#REF!</v>
      </c>
      <c r="BA24" s="16" t="e">
        <f t="shared" si="10"/>
        <v>#REF!</v>
      </c>
      <c r="BB24" s="16" t="e">
        <f t="shared" si="10"/>
        <v>#REF!</v>
      </c>
      <c r="BC24" s="16" t="e">
        <f t="shared" si="10"/>
        <v>#REF!</v>
      </c>
      <c r="BD24" s="16" t="e">
        <f t="shared" si="10"/>
        <v>#REF!</v>
      </c>
      <c r="BE24" s="16" t="e">
        <f t="shared" si="10"/>
        <v>#REF!</v>
      </c>
      <c r="BF24" s="16" t="e">
        <f t="shared" si="10"/>
        <v>#REF!</v>
      </c>
      <c r="BG24" s="16" t="e">
        <f t="shared" si="10"/>
        <v>#REF!</v>
      </c>
      <c r="BH24" s="16" t="e">
        <f t="shared" si="10"/>
        <v>#REF!</v>
      </c>
      <c r="BI24" s="16" t="e">
        <f t="shared" si="10"/>
        <v>#REF!</v>
      </c>
      <c r="BJ24" s="16" t="e">
        <f t="shared" si="10"/>
        <v>#REF!</v>
      </c>
      <c r="BK24" s="16" t="e">
        <f t="shared" si="10"/>
        <v>#REF!</v>
      </c>
    </row>
    <row r="25" spans="1:63" x14ac:dyDescent="0.25">
      <c r="B25" s="11"/>
      <c r="C25" s="11"/>
      <c r="D25" s="11"/>
      <c r="E25" s="11"/>
      <c r="G25" s="20" t="e">
        <f t="shared" si="6"/>
        <v>#REF!</v>
      </c>
      <c r="H25" s="20" t="e">
        <f t="shared" si="6"/>
        <v>#REF!</v>
      </c>
      <c r="I25" s="21" t="e">
        <f t="shared" si="6"/>
        <v>#REF!</v>
      </c>
      <c r="J25" s="13"/>
      <c r="K25" s="14">
        <v>0.8</v>
      </c>
      <c r="L25" s="14">
        <v>1</v>
      </c>
      <c r="M25" s="14">
        <v>1</v>
      </c>
      <c r="N25" s="14">
        <v>1</v>
      </c>
      <c r="O25" s="13">
        <v>4</v>
      </c>
      <c r="P25" s="16" t="e">
        <f t="shared" si="7"/>
        <v>#REF!</v>
      </c>
      <c r="Q25" s="16" t="e">
        <f t="shared" si="7"/>
        <v>#REF!</v>
      </c>
      <c r="R25" s="16" t="e">
        <f t="shared" si="7"/>
        <v>#REF!</v>
      </c>
      <c r="S25" s="16" t="e">
        <f t="shared" si="7"/>
        <v>#REF!</v>
      </c>
      <c r="T25" s="16" t="e">
        <f t="shared" si="7"/>
        <v>#REF!</v>
      </c>
      <c r="U25" s="16" t="e">
        <f t="shared" si="7"/>
        <v>#REF!</v>
      </c>
      <c r="V25" s="16" t="e">
        <f t="shared" si="7"/>
        <v>#REF!</v>
      </c>
      <c r="W25" s="16" t="e">
        <f t="shared" si="7"/>
        <v>#REF!</v>
      </c>
      <c r="X25" s="16" t="e">
        <f t="shared" si="7"/>
        <v>#REF!</v>
      </c>
      <c r="Y25" s="16" t="e">
        <f t="shared" si="7"/>
        <v>#REF!</v>
      </c>
      <c r="Z25" s="16" t="e">
        <f t="shared" si="7"/>
        <v>#REF!</v>
      </c>
      <c r="AA25" s="16" t="e">
        <f t="shared" si="7"/>
        <v>#REF!</v>
      </c>
      <c r="AB25" s="16" t="e">
        <f t="shared" si="8"/>
        <v>#REF!</v>
      </c>
      <c r="AC25" s="16" t="e">
        <f t="shared" si="8"/>
        <v>#REF!</v>
      </c>
      <c r="AD25" s="16" t="e">
        <f t="shared" si="8"/>
        <v>#REF!</v>
      </c>
      <c r="AE25" s="16" t="e">
        <f t="shared" si="8"/>
        <v>#REF!</v>
      </c>
      <c r="AF25" s="16" t="e">
        <f t="shared" si="8"/>
        <v>#REF!</v>
      </c>
      <c r="AG25" s="16" t="e">
        <f t="shared" si="8"/>
        <v>#REF!</v>
      </c>
      <c r="AH25" s="16" t="e">
        <f t="shared" si="8"/>
        <v>#REF!</v>
      </c>
      <c r="AI25" s="16" t="e">
        <f t="shared" si="8"/>
        <v>#REF!</v>
      </c>
      <c r="AJ25" s="16" t="e">
        <f t="shared" si="8"/>
        <v>#REF!</v>
      </c>
      <c r="AK25" s="16" t="e">
        <f t="shared" si="8"/>
        <v>#REF!</v>
      </c>
      <c r="AL25" s="16" t="e">
        <f t="shared" si="8"/>
        <v>#REF!</v>
      </c>
      <c r="AM25" s="16" t="e">
        <f t="shared" si="8"/>
        <v>#REF!</v>
      </c>
      <c r="AN25" s="16" t="e">
        <f t="shared" si="9"/>
        <v>#REF!</v>
      </c>
      <c r="AO25" s="16" t="e">
        <f t="shared" si="9"/>
        <v>#REF!</v>
      </c>
      <c r="AP25" s="16" t="e">
        <f t="shared" si="9"/>
        <v>#REF!</v>
      </c>
      <c r="AQ25" s="16" t="e">
        <f t="shared" si="9"/>
        <v>#REF!</v>
      </c>
      <c r="AR25" s="16" t="e">
        <f t="shared" si="9"/>
        <v>#REF!</v>
      </c>
      <c r="AS25" s="16" t="e">
        <f t="shared" si="9"/>
        <v>#REF!</v>
      </c>
      <c r="AT25" s="16" t="e">
        <f t="shared" si="9"/>
        <v>#REF!</v>
      </c>
      <c r="AU25" s="16" t="e">
        <f t="shared" si="9"/>
        <v>#REF!</v>
      </c>
      <c r="AV25" s="16" t="e">
        <f t="shared" si="9"/>
        <v>#REF!</v>
      </c>
      <c r="AW25" s="16" t="e">
        <f t="shared" si="9"/>
        <v>#REF!</v>
      </c>
      <c r="AX25" s="16" t="e">
        <f t="shared" si="9"/>
        <v>#REF!</v>
      </c>
      <c r="AY25" s="16" t="e">
        <f t="shared" si="9"/>
        <v>#REF!</v>
      </c>
      <c r="AZ25" s="16" t="e">
        <f t="shared" si="10"/>
        <v>#REF!</v>
      </c>
      <c r="BA25" s="16" t="e">
        <f t="shared" si="10"/>
        <v>#REF!</v>
      </c>
      <c r="BB25" s="16" t="e">
        <f t="shared" si="10"/>
        <v>#REF!</v>
      </c>
      <c r="BC25" s="16" t="e">
        <f t="shared" si="10"/>
        <v>#REF!</v>
      </c>
      <c r="BD25" s="16" t="e">
        <f t="shared" si="10"/>
        <v>#REF!</v>
      </c>
      <c r="BE25" s="16" t="e">
        <f t="shared" si="10"/>
        <v>#REF!</v>
      </c>
      <c r="BF25" s="16" t="e">
        <f t="shared" si="10"/>
        <v>#REF!</v>
      </c>
      <c r="BG25" s="16" t="e">
        <f t="shared" si="10"/>
        <v>#REF!</v>
      </c>
      <c r="BH25" s="16" t="e">
        <f t="shared" si="10"/>
        <v>#REF!</v>
      </c>
      <c r="BI25" s="16" t="e">
        <f t="shared" si="10"/>
        <v>#REF!</v>
      </c>
      <c r="BJ25" s="16" t="e">
        <f t="shared" si="10"/>
        <v>#REF!</v>
      </c>
      <c r="BK25" s="16" t="e">
        <f t="shared" si="10"/>
        <v>#REF!</v>
      </c>
    </row>
    <row r="26" spans="1:63" x14ac:dyDescent="0.25">
      <c r="B26" s="11"/>
      <c r="C26" s="11"/>
      <c r="D26" s="11"/>
      <c r="E26" s="11"/>
      <c r="G26" s="20" t="e">
        <f t="shared" si="6"/>
        <v>#REF!</v>
      </c>
      <c r="H26" s="20" t="e">
        <f t="shared" si="6"/>
        <v>#REF!</v>
      </c>
      <c r="I26" s="21" t="e">
        <f t="shared" si="6"/>
        <v>#REF!</v>
      </c>
      <c r="J26" s="13"/>
      <c r="K26" s="14">
        <v>1</v>
      </c>
      <c r="L26" s="14">
        <v>1</v>
      </c>
      <c r="M26" s="14">
        <v>1</v>
      </c>
      <c r="N26" s="14">
        <v>1</v>
      </c>
      <c r="O26" s="13">
        <v>4</v>
      </c>
      <c r="P26" s="16" t="e">
        <f t="shared" si="7"/>
        <v>#REF!</v>
      </c>
      <c r="Q26" s="16" t="e">
        <f t="shared" si="7"/>
        <v>#REF!</v>
      </c>
      <c r="R26" s="16" t="e">
        <f t="shared" si="7"/>
        <v>#REF!</v>
      </c>
      <c r="S26" s="16" t="e">
        <f t="shared" si="7"/>
        <v>#REF!</v>
      </c>
      <c r="T26" s="16" t="e">
        <f t="shared" si="7"/>
        <v>#REF!</v>
      </c>
      <c r="U26" s="16" t="e">
        <f t="shared" si="7"/>
        <v>#REF!</v>
      </c>
      <c r="V26" s="16" t="e">
        <f t="shared" si="7"/>
        <v>#REF!</v>
      </c>
      <c r="W26" s="16" t="e">
        <f t="shared" si="7"/>
        <v>#REF!</v>
      </c>
      <c r="X26" s="16" t="e">
        <f t="shared" si="7"/>
        <v>#REF!</v>
      </c>
      <c r="Y26" s="16" t="e">
        <f t="shared" si="7"/>
        <v>#REF!</v>
      </c>
      <c r="Z26" s="16" t="e">
        <f t="shared" si="7"/>
        <v>#REF!</v>
      </c>
      <c r="AA26" s="16" t="e">
        <f t="shared" si="7"/>
        <v>#REF!</v>
      </c>
      <c r="AB26" s="16" t="e">
        <f t="shared" si="8"/>
        <v>#REF!</v>
      </c>
      <c r="AC26" s="16" t="e">
        <f t="shared" si="8"/>
        <v>#REF!</v>
      </c>
      <c r="AD26" s="16" t="e">
        <f t="shared" si="8"/>
        <v>#REF!</v>
      </c>
      <c r="AE26" s="16" t="e">
        <f t="shared" si="8"/>
        <v>#REF!</v>
      </c>
      <c r="AF26" s="16" t="e">
        <f t="shared" si="8"/>
        <v>#REF!</v>
      </c>
      <c r="AG26" s="16" t="e">
        <f t="shared" si="8"/>
        <v>#REF!</v>
      </c>
      <c r="AH26" s="16" t="e">
        <f t="shared" si="8"/>
        <v>#REF!</v>
      </c>
      <c r="AI26" s="16" t="e">
        <f t="shared" si="8"/>
        <v>#REF!</v>
      </c>
      <c r="AJ26" s="16" t="e">
        <f t="shared" si="8"/>
        <v>#REF!</v>
      </c>
      <c r="AK26" s="16" t="e">
        <f t="shared" si="8"/>
        <v>#REF!</v>
      </c>
      <c r="AL26" s="16" t="e">
        <f t="shared" si="8"/>
        <v>#REF!</v>
      </c>
      <c r="AM26" s="16" t="e">
        <f t="shared" si="8"/>
        <v>#REF!</v>
      </c>
      <c r="AN26" s="16" t="e">
        <f t="shared" si="9"/>
        <v>#REF!</v>
      </c>
      <c r="AO26" s="16" t="e">
        <f t="shared" si="9"/>
        <v>#REF!</v>
      </c>
      <c r="AP26" s="16" t="e">
        <f t="shared" si="9"/>
        <v>#REF!</v>
      </c>
      <c r="AQ26" s="16" t="e">
        <f t="shared" si="9"/>
        <v>#REF!</v>
      </c>
      <c r="AR26" s="16" t="e">
        <f t="shared" si="9"/>
        <v>#REF!</v>
      </c>
      <c r="AS26" s="16" t="e">
        <f t="shared" si="9"/>
        <v>#REF!</v>
      </c>
      <c r="AT26" s="16" t="e">
        <f t="shared" si="9"/>
        <v>#REF!</v>
      </c>
      <c r="AU26" s="16" t="e">
        <f t="shared" si="9"/>
        <v>#REF!</v>
      </c>
      <c r="AV26" s="16" t="e">
        <f t="shared" si="9"/>
        <v>#REF!</v>
      </c>
      <c r="AW26" s="16" t="e">
        <f t="shared" si="9"/>
        <v>#REF!</v>
      </c>
      <c r="AX26" s="16" t="e">
        <f t="shared" si="9"/>
        <v>#REF!</v>
      </c>
      <c r="AY26" s="16" t="e">
        <f t="shared" si="9"/>
        <v>#REF!</v>
      </c>
      <c r="AZ26" s="16" t="e">
        <f t="shared" si="10"/>
        <v>#REF!</v>
      </c>
      <c r="BA26" s="16" t="e">
        <f t="shared" si="10"/>
        <v>#REF!</v>
      </c>
      <c r="BB26" s="16" t="e">
        <f t="shared" si="10"/>
        <v>#REF!</v>
      </c>
      <c r="BC26" s="16" t="e">
        <f t="shared" si="10"/>
        <v>#REF!</v>
      </c>
      <c r="BD26" s="16" t="e">
        <f t="shared" si="10"/>
        <v>#REF!</v>
      </c>
      <c r="BE26" s="16" t="e">
        <f t="shared" si="10"/>
        <v>#REF!</v>
      </c>
      <c r="BF26" s="16" t="e">
        <f t="shared" si="10"/>
        <v>#REF!</v>
      </c>
      <c r="BG26" s="16" t="e">
        <f t="shared" si="10"/>
        <v>#REF!</v>
      </c>
      <c r="BH26" s="16" t="e">
        <f t="shared" si="10"/>
        <v>#REF!</v>
      </c>
      <c r="BI26" s="16" t="e">
        <f t="shared" si="10"/>
        <v>#REF!</v>
      </c>
      <c r="BJ26" s="16" t="e">
        <f t="shared" si="10"/>
        <v>#REF!</v>
      </c>
      <c r="BK26" s="16" t="e">
        <f t="shared" si="10"/>
        <v>#REF!</v>
      </c>
    </row>
    <row r="27" spans="1:63" x14ac:dyDescent="0.25">
      <c r="G27" s="20" t="e">
        <f t="shared" si="6"/>
        <v>#REF!</v>
      </c>
      <c r="H27" s="20" t="e">
        <f t="shared" si="6"/>
        <v>#REF!</v>
      </c>
      <c r="I27" s="21" t="e">
        <f t="shared" si="6"/>
        <v>#REF!</v>
      </c>
      <c r="J27" s="13"/>
      <c r="K27" s="14">
        <v>1</v>
      </c>
      <c r="L27" s="14">
        <v>1</v>
      </c>
      <c r="M27" s="14">
        <v>1</v>
      </c>
      <c r="N27" s="14">
        <v>1</v>
      </c>
      <c r="O27" s="13">
        <v>4</v>
      </c>
      <c r="P27" s="16" t="e">
        <f t="shared" si="7"/>
        <v>#REF!</v>
      </c>
      <c r="Q27" s="16" t="e">
        <f t="shared" si="7"/>
        <v>#REF!</v>
      </c>
      <c r="R27" s="16" t="e">
        <f t="shared" si="7"/>
        <v>#REF!</v>
      </c>
      <c r="S27" s="16" t="e">
        <f t="shared" si="7"/>
        <v>#REF!</v>
      </c>
      <c r="T27" s="16" t="e">
        <f t="shared" si="7"/>
        <v>#REF!</v>
      </c>
      <c r="U27" s="16" t="e">
        <f t="shared" si="7"/>
        <v>#REF!</v>
      </c>
      <c r="V27" s="16" t="e">
        <f t="shared" si="7"/>
        <v>#REF!</v>
      </c>
      <c r="W27" s="16" t="e">
        <f t="shared" si="7"/>
        <v>#REF!</v>
      </c>
      <c r="X27" s="16" t="e">
        <f t="shared" si="7"/>
        <v>#REF!</v>
      </c>
      <c r="Y27" s="16" t="e">
        <f t="shared" si="7"/>
        <v>#REF!</v>
      </c>
      <c r="Z27" s="16" t="e">
        <f t="shared" si="7"/>
        <v>#REF!</v>
      </c>
      <c r="AA27" s="16" t="e">
        <f t="shared" si="7"/>
        <v>#REF!</v>
      </c>
      <c r="AB27" s="16" t="e">
        <f t="shared" si="8"/>
        <v>#REF!</v>
      </c>
      <c r="AC27" s="16" t="e">
        <f t="shared" si="8"/>
        <v>#REF!</v>
      </c>
      <c r="AD27" s="16" t="e">
        <f t="shared" si="8"/>
        <v>#REF!</v>
      </c>
      <c r="AE27" s="16" t="e">
        <f t="shared" si="8"/>
        <v>#REF!</v>
      </c>
      <c r="AF27" s="16" t="e">
        <f t="shared" si="8"/>
        <v>#REF!</v>
      </c>
      <c r="AG27" s="16" t="e">
        <f t="shared" si="8"/>
        <v>#REF!</v>
      </c>
      <c r="AH27" s="16" t="e">
        <f t="shared" si="8"/>
        <v>#REF!</v>
      </c>
      <c r="AI27" s="16" t="e">
        <f t="shared" si="8"/>
        <v>#REF!</v>
      </c>
      <c r="AJ27" s="16" t="e">
        <f t="shared" si="8"/>
        <v>#REF!</v>
      </c>
      <c r="AK27" s="16" t="e">
        <f t="shared" si="8"/>
        <v>#REF!</v>
      </c>
      <c r="AL27" s="16" t="e">
        <f t="shared" si="8"/>
        <v>#REF!</v>
      </c>
      <c r="AM27" s="16" t="e">
        <f t="shared" si="8"/>
        <v>#REF!</v>
      </c>
      <c r="AN27" s="16" t="e">
        <f t="shared" si="9"/>
        <v>#REF!</v>
      </c>
      <c r="AO27" s="16" t="e">
        <f t="shared" si="9"/>
        <v>#REF!</v>
      </c>
      <c r="AP27" s="16" t="e">
        <f t="shared" si="9"/>
        <v>#REF!</v>
      </c>
      <c r="AQ27" s="16" t="e">
        <f t="shared" si="9"/>
        <v>#REF!</v>
      </c>
      <c r="AR27" s="16" t="e">
        <f t="shared" si="9"/>
        <v>#REF!</v>
      </c>
      <c r="AS27" s="16" t="e">
        <f t="shared" si="9"/>
        <v>#REF!</v>
      </c>
      <c r="AT27" s="16" t="e">
        <f t="shared" si="9"/>
        <v>#REF!</v>
      </c>
      <c r="AU27" s="16" t="e">
        <f t="shared" si="9"/>
        <v>#REF!</v>
      </c>
      <c r="AV27" s="16" t="e">
        <f t="shared" si="9"/>
        <v>#REF!</v>
      </c>
      <c r="AW27" s="16" t="e">
        <f t="shared" si="9"/>
        <v>#REF!</v>
      </c>
      <c r="AX27" s="16" t="e">
        <f t="shared" si="9"/>
        <v>#REF!</v>
      </c>
      <c r="AY27" s="16" t="e">
        <f t="shared" si="9"/>
        <v>#REF!</v>
      </c>
      <c r="AZ27" s="16" t="e">
        <f t="shared" si="10"/>
        <v>#REF!</v>
      </c>
      <c r="BA27" s="16" t="e">
        <f t="shared" si="10"/>
        <v>#REF!</v>
      </c>
      <c r="BB27" s="16" t="e">
        <f t="shared" si="10"/>
        <v>#REF!</v>
      </c>
      <c r="BC27" s="16" t="e">
        <f t="shared" si="10"/>
        <v>#REF!</v>
      </c>
      <c r="BD27" s="16" t="e">
        <f t="shared" si="10"/>
        <v>#REF!</v>
      </c>
      <c r="BE27" s="16" t="e">
        <f t="shared" si="10"/>
        <v>#REF!</v>
      </c>
      <c r="BF27" s="16" t="e">
        <f t="shared" si="10"/>
        <v>#REF!</v>
      </c>
      <c r="BG27" s="16" t="e">
        <f t="shared" si="10"/>
        <v>#REF!</v>
      </c>
      <c r="BH27" s="16" t="e">
        <f t="shared" si="10"/>
        <v>#REF!</v>
      </c>
      <c r="BI27" s="16" t="e">
        <f t="shared" si="10"/>
        <v>#REF!</v>
      </c>
      <c r="BJ27" s="16" t="e">
        <f t="shared" si="10"/>
        <v>#REF!</v>
      </c>
      <c r="BK27" s="16" t="e">
        <f t="shared" si="10"/>
        <v>#REF!</v>
      </c>
    </row>
    <row r="28" spans="1:63" x14ac:dyDescent="0.25">
      <c r="G28" s="22" t="e">
        <f t="shared" si="6"/>
        <v>#REF!</v>
      </c>
      <c r="H28" s="22" t="e">
        <f t="shared" si="6"/>
        <v>#REF!</v>
      </c>
      <c r="I28" s="23" t="e">
        <f t="shared" si="6"/>
        <v>#REF!</v>
      </c>
      <c r="J28" s="13"/>
      <c r="K28" s="14"/>
      <c r="L28" s="14"/>
      <c r="M28" s="14"/>
      <c r="N28" s="14"/>
      <c r="O28" s="13"/>
      <c r="P28" s="16" t="e">
        <f t="shared" si="7"/>
        <v>#REF!</v>
      </c>
      <c r="Q28" s="16" t="e">
        <f t="shared" si="7"/>
        <v>#REF!</v>
      </c>
      <c r="R28" s="16" t="e">
        <f t="shared" si="7"/>
        <v>#REF!</v>
      </c>
      <c r="S28" s="16" t="e">
        <f t="shared" si="7"/>
        <v>#REF!</v>
      </c>
      <c r="T28" s="16" t="e">
        <f t="shared" si="7"/>
        <v>#REF!</v>
      </c>
      <c r="U28" s="16" t="e">
        <f t="shared" si="7"/>
        <v>#REF!</v>
      </c>
      <c r="V28" s="16" t="e">
        <f t="shared" si="7"/>
        <v>#REF!</v>
      </c>
      <c r="W28" s="16" t="e">
        <f t="shared" si="7"/>
        <v>#REF!</v>
      </c>
      <c r="X28" s="16" t="e">
        <f t="shared" si="7"/>
        <v>#REF!</v>
      </c>
      <c r="Y28" s="16" t="e">
        <f t="shared" si="7"/>
        <v>#REF!</v>
      </c>
      <c r="Z28" s="16" t="e">
        <f t="shared" si="7"/>
        <v>#REF!</v>
      </c>
      <c r="AA28" s="16" t="e">
        <f t="shared" si="7"/>
        <v>#REF!</v>
      </c>
      <c r="AB28" s="16" t="e">
        <f t="shared" si="8"/>
        <v>#REF!</v>
      </c>
      <c r="AC28" s="16" t="e">
        <f t="shared" si="8"/>
        <v>#REF!</v>
      </c>
      <c r="AD28" s="16" t="e">
        <f t="shared" si="8"/>
        <v>#REF!</v>
      </c>
      <c r="AE28" s="16" t="e">
        <f t="shared" si="8"/>
        <v>#REF!</v>
      </c>
      <c r="AF28" s="16" t="e">
        <f t="shared" si="8"/>
        <v>#REF!</v>
      </c>
      <c r="AG28" s="16" t="e">
        <f t="shared" si="8"/>
        <v>#REF!</v>
      </c>
      <c r="AH28" s="16" t="e">
        <f t="shared" si="8"/>
        <v>#REF!</v>
      </c>
      <c r="AI28" s="16" t="e">
        <f t="shared" si="8"/>
        <v>#REF!</v>
      </c>
      <c r="AJ28" s="16" t="e">
        <f t="shared" si="8"/>
        <v>#REF!</v>
      </c>
      <c r="AK28" s="16" t="e">
        <f t="shared" si="8"/>
        <v>#REF!</v>
      </c>
      <c r="AL28" s="16" t="e">
        <f t="shared" si="8"/>
        <v>#REF!</v>
      </c>
      <c r="AM28" s="16" t="e">
        <f t="shared" si="8"/>
        <v>#REF!</v>
      </c>
      <c r="AN28" s="16" t="e">
        <f t="shared" si="9"/>
        <v>#REF!</v>
      </c>
      <c r="AO28" s="16" t="e">
        <f t="shared" si="9"/>
        <v>#REF!</v>
      </c>
      <c r="AP28" s="16" t="e">
        <f t="shared" si="9"/>
        <v>#REF!</v>
      </c>
      <c r="AQ28" s="16" t="e">
        <f t="shared" si="9"/>
        <v>#REF!</v>
      </c>
      <c r="AR28" s="16" t="e">
        <f t="shared" si="9"/>
        <v>#REF!</v>
      </c>
      <c r="AS28" s="16" t="e">
        <f t="shared" si="9"/>
        <v>#REF!</v>
      </c>
      <c r="AT28" s="16" t="e">
        <f t="shared" si="9"/>
        <v>#REF!</v>
      </c>
      <c r="AU28" s="16" t="e">
        <f t="shared" si="9"/>
        <v>#REF!</v>
      </c>
      <c r="AV28" s="16" t="e">
        <f t="shared" si="9"/>
        <v>#REF!</v>
      </c>
      <c r="AW28" s="16" t="e">
        <f t="shared" si="9"/>
        <v>#REF!</v>
      </c>
      <c r="AX28" s="16" t="e">
        <f t="shared" si="9"/>
        <v>#REF!</v>
      </c>
      <c r="AY28" s="16" t="e">
        <f t="shared" si="9"/>
        <v>#REF!</v>
      </c>
      <c r="AZ28" s="16" t="e">
        <f t="shared" si="10"/>
        <v>#REF!</v>
      </c>
      <c r="BA28" s="16" t="e">
        <f t="shared" si="10"/>
        <v>#REF!</v>
      </c>
      <c r="BB28" s="16" t="e">
        <f t="shared" si="10"/>
        <v>#REF!</v>
      </c>
      <c r="BC28" s="16" t="e">
        <f t="shared" si="10"/>
        <v>#REF!</v>
      </c>
      <c r="BD28" s="16" t="e">
        <f t="shared" si="10"/>
        <v>#REF!</v>
      </c>
      <c r="BE28" s="16" t="e">
        <f t="shared" si="10"/>
        <v>#REF!</v>
      </c>
      <c r="BF28" s="16" t="e">
        <f t="shared" si="10"/>
        <v>#REF!</v>
      </c>
      <c r="BG28" s="16" t="e">
        <f t="shared" si="10"/>
        <v>#REF!</v>
      </c>
      <c r="BH28" s="16" t="e">
        <f t="shared" si="10"/>
        <v>#REF!</v>
      </c>
      <c r="BI28" s="16" t="e">
        <f t="shared" si="10"/>
        <v>#REF!</v>
      </c>
      <c r="BJ28" s="16" t="e">
        <f t="shared" si="10"/>
        <v>#REF!</v>
      </c>
      <c r="BK28" s="16" t="e">
        <f t="shared" si="10"/>
        <v>#REF!</v>
      </c>
    </row>
    <row r="29" spans="1:63" x14ac:dyDescent="0.25">
      <c r="G29" s="22" t="e">
        <f t="shared" si="6"/>
        <v>#REF!</v>
      </c>
      <c r="H29" s="22" t="e">
        <f t="shared" si="6"/>
        <v>#REF!</v>
      </c>
      <c r="I29" s="23" t="e">
        <f t="shared" si="6"/>
        <v>#REF!</v>
      </c>
      <c r="J29" s="13"/>
      <c r="K29" s="14"/>
      <c r="L29" s="14"/>
      <c r="M29" s="14"/>
      <c r="N29" s="14"/>
      <c r="O29" s="13"/>
      <c r="P29" s="16" t="e">
        <f t="shared" si="7"/>
        <v>#REF!</v>
      </c>
      <c r="Q29" s="16" t="e">
        <f t="shared" si="7"/>
        <v>#REF!</v>
      </c>
      <c r="R29" s="16" t="e">
        <f t="shared" si="7"/>
        <v>#REF!</v>
      </c>
      <c r="S29" s="16" t="e">
        <f t="shared" si="7"/>
        <v>#REF!</v>
      </c>
      <c r="T29" s="16" t="e">
        <f t="shared" si="7"/>
        <v>#REF!</v>
      </c>
      <c r="U29" s="16" t="e">
        <f t="shared" si="7"/>
        <v>#REF!</v>
      </c>
      <c r="V29" s="16" t="e">
        <f t="shared" si="7"/>
        <v>#REF!</v>
      </c>
      <c r="W29" s="16" t="e">
        <f t="shared" si="7"/>
        <v>#REF!</v>
      </c>
      <c r="X29" s="16" t="e">
        <f t="shared" si="7"/>
        <v>#REF!</v>
      </c>
      <c r="Y29" s="16" t="e">
        <f t="shared" si="7"/>
        <v>#REF!</v>
      </c>
      <c r="Z29" s="16" t="e">
        <f t="shared" si="7"/>
        <v>#REF!</v>
      </c>
      <c r="AA29" s="16" t="e">
        <f t="shared" si="7"/>
        <v>#REF!</v>
      </c>
      <c r="AB29" s="16" t="e">
        <f t="shared" si="8"/>
        <v>#REF!</v>
      </c>
      <c r="AC29" s="16" t="e">
        <f t="shared" si="8"/>
        <v>#REF!</v>
      </c>
      <c r="AD29" s="16" t="e">
        <f t="shared" si="8"/>
        <v>#REF!</v>
      </c>
      <c r="AE29" s="16" t="e">
        <f t="shared" si="8"/>
        <v>#REF!</v>
      </c>
      <c r="AF29" s="16" t="e">
        <f t="shared" si="8"/>
        <v>#REF!</v>
      </c>
      <c r="AG29" s="16" t="e">
        <f t="shared" si="8"/>
        <v>#REF!</v>
      </c>
      <c r="AH29" s="16" t="e">
        <f t="shared" si="8"/>
        <v>#REF!</v>
      </c>
      <c r="AI29" s="16" t="e">
        <f t="shared" si="8"/>
        <v>#REF!</v>
      </c>
      <c r="AJ29" s="16" t="e">
        <f t="shared" si="8"/>
        <v>#REF!</v>
      </c>
      <c r="AK29" s="16" t="e">
        <f t="shared" si="8"/>
        <v>#REF!</v>
      </c>
      <c r="AL29" s="16" t="e">
        <f t="shared" si="8"/>
        <v>#REF!</v>
      </c>
      <c r="AM29" s="16" t="e">
        <f t="shared" si="8"/>
        <v>#REF!</v>
      </c>
      <c r="AN29" s="16" t="e">
        <f t="shared" si="9"/>
        <v>#REF!</v>
      </c>
      <c r="AO29" s="16" t="e">
        <f t="shared" si="9"/>
        <v>#REF!</v>
      </c>
      <c r="AP29" s="16" t="e">
        <f t="shared" si="9"/>
        <v>#REF!</v>
      </c>
      <c r="AQ29" s="16" t="e">
        <f t="shared" si="9"/>
        <v>#REF!</v>
      </c>
      <c r="AR29" s="16" t="e">
        <f t="shared" si="9"/>
        <v>#REF!</v>
      </c>
      <c r="AS29" s="16" t="e">
        <f t="shared" si="9"/>
        <v>#REF!</v>
      </c>
      <c r="AT29" s="16" t="e">
        <f t="shared" si="9"/>
        <v>#REF!</v>
      </c>
      <c r="AU29" s="16" t="e">
        <f t="shared" si="9"/>
        <v>#REF!</v>
      </c>
      <c r="AV29" s="16" t="e">
        <f t="shared" si="9"/>
        <v>#REF!</v>
      </c>
      <c r="AW29" s="16" t="e">
        <f t="shared" si="9"/>
        <v>#REF!</v>
      </c>
      <c r="AX29" s="16" t="e">
        <f t="shared" si="9"/>
        <v>#REF!</v>
      </c>
      <c r="AY29" s="16" t="e">
        <f t="shared" si="9"/>
        <v>#REF!</v>
      </c>
      <c r="AZ29" s="16" t="e">
        <f t="shared" si="10"/>
        <v>#REF!</v>
      </c>
      <c r="BA29" s="16" t="e">
        <f t="shared" si="10"/>
        <v>#REF!</v>
      </c>
      <c r="BB29" s="16" t="e">
        <f t="shared" si="10"/>
        <v>#REF!</v>
      </c>
      <c r="BC29" s="16" t="e">
        <f t="shared" si="10"/>
        <v>#REF!</v>
      </c>
      <c r="BD29" s="16" t="e">
        <f t="shared" si="10"/>
        <v>#REF!</v>
      </c>
      <c r="BE29" s="16" t="e">
        <f t="shared" si="10"/>
        <v>#REF!</v>
      </c>
      <c r="BF29" s="16" t="e">
        <f t="shared" si="10"/>
        <v>#REF!</v>
      </c>
      <c r="BG29" s="16" t="e">
        <f t="shared" si="10"/>
        <v>#REF!</v>
      </c>
      <c r="BH29" s="16" t="e">
        <f t="shared" si="10"/>
        <v>#REF!</v>
      </c>
      <c r="BI29" s="16" t="e">
        <f t="shared" si="10"/>
        <v>#REF!</v>
      </c>
      <c r="BJ29" s="16" t="e">
        <f t="shared" si="10"/>
        <v>#REF!</v>
      </c>
      <c r="BK29" s="16" t="e">
        <f t="shared" si="10"/>
        <v>#REF!</v>
      </c>
    </row>
    <row r="30" spans="1:63" x14ac:dyDescent="0.25">
      <c r="G30" s="22" t="e">
        <f t="shared" si="6"/>
        <v>#REF!</v>
      </c>
      <c r="H30" s="22" t="e">
        <f t="shared" si="6"/>
        <v>#REF!</v>
      </c>
      <c r="I30" s="23" t="e">
        <f t="shared" si="6"/>
        <v>#REF!</v>
      </c>
      <c r="J30" s="13"/>
      <c r="K30" s="14"/>
      <c r="L30" s="14"/>
      <c r="M30" s="14"/>
      <c r="N30" s="14"/>
      <c r="O30" s="13"/>
      <c r="P30" s="16" t="e">
        <f t="shared" si="7"/>
        <v>#REF!</v>
      </c>
      <c r="Q30" s="16" t="e">
        <f t="shared" si="7"/>
        <v>#REF!</v>
      </c>
      <c r="R30" s="16" t="e">
        <f t="shared" si="7"/>
        <v>#REF!</v>
      </c>
      <c r="S30" s="16" t="e">
        <f t="shared" si="7"/>
        <v>#REF!</v>
      </c>
      <c r="T30" s="16" t="e">
        <f t="shared" si="7"/>
        <v>#REF!</v>
      </c>
      <c r="U30" s="16" t="e">
        <f t="shared" si="7"/>
        <v>#REF!</v>
      </c>
      <c r="V30" s="16" t="e">
        <f t="shared" si="7"/>
        <v>#REF!</v>
      </c>
      <c r="W30" s="16" t="e">
        <f t="shared" si="7"/>
        <v>#REF!</v>
      </c>
      <c r="X30" s="16" t="e">
        <f t="shared" si="7"/>
        <v>#REF!</v>
      </c>
      <c r="Y30" s="16" t="e">
        <f t="shared" si="7"/>
        <v>#REF!</v>
      </c>
      <c r="Z30" s="16" t="e">
        <f t="shared" si="7"/>
        <v>#REF!</v>
      </c>
      <c r="AA30" s="16" t="e">
        <f t="shared" si="7"/>
        <v>#REF!</v>
      </c>
      <c r="AB30" s="16" t="e">
        <f t="shared" si="8"/>
        <v>#REF!</v>
      </c>
      <c r="AC30" s="16" t="e">
        <f t="shared" si="8"/>
        <v>#REF!</v>
      </c>
      <c r="AD30" s="16" t="e">
        <f t="shared" si="8"/>
        <v>#REF!</v>
      </c>
      <c r="AE30" s="16" t="e">
        <f t="shared" si="8"/>
        <v>#REF!</v>
      </c>
      <c r="AF30" s="16" t="e">
        <f t="shared" si="8"/>
        <v>#REF!</v>
      </c>
      <c r="AG30" s="16" t="e">
        <f t="shared" si="8"/>
        <v>#REF!</v>
      </c>
      <c r="AH30" s="16" t="e">
        <f t="shared" si="8"/>
        <v>#REF!</v>
      </c>
      <c r="AI30" s="16" t="e">
        <f t="shared" si="8"/>
        <v>#REF!</v>
      </c>
      <c r="AJ30" s="16" t="e">
        <f t="shared" si="8"/>
        <v>#REF!</v>
      </c>
      <c r="AK30" s="16" t="e">
        <f t="shared" si="8"/>
        <v>#REF!</v>
      </c>
      <c r="AL30" s="16" t="e">
        <f t="shared" si="8"/>
        <v>#REF!</v>
      </c>
      <c r="AM30" s="16" t="e">
        <f t="shared" si="8"/>
        <v>#REF!</v>
      </c>
      <c r="AN30" s="16" t="e">
        <f t="shared" si="9"/>
        <v>#REF!</v>
      </c>
      <c r="AO30" s="16" t="e">
        <f t="shared" si="9"/>
        <v>#REF!</v>
      </c>
      <c r="AP30" s="16" t="e">
        <f t="shared" si="9"/>
        <v>#REF!</v>
      </c>
      <c r="AQ30" s="16" t="e">
        <f t="shared" si="9"/>
        <v>#REF!</v>
      </c>
      <c r="AR30" s="16" t="e">
        <f t="shared" si="9"/>
        <v>#REF!</v>
      </c>
      <c r="AS30" s="16" t="e">
        <f t="shared" si="9"/>
        <v>#REF!</v>
      </c>
      <c r="AT30" s="16" t="e">
        <f t="shared" si="9"/>
        <v>#REF!</v>
      </c>
      <c r="AU30" s="16" t="e">
        <f t="shared" si="9"/>
        <v>#REF!</v>
      </c>
      <c r="AV30" s="16" t="e">
        <f t="shared" si="9"/>
        <v>#REF!</v>
      </c>
      <c r="AW30" s="16" t="e">
        <f t="shared" si="9"/>
        <v>#REF!</v>
      </c>
      <c r="AX30" s="16" t="e">
        <f t="shared" si="9"/>
        <v>#REF!</v>
      </c>
      <c r="AY30" s="16" t="e">
        <f t="shared" si="9"/>
        <v>#REF!</v>
      </c>
      <c r="AZ30" s="16" t="e">
        <f t="shared" si="10"/>
        <v>#REF!</v>
      </c>
      <c r="BA30" s="16" t="e">
        <f t="shared" si="10"/>
        <v>#REF!</v>
      </c>
      <c r="BB30" s="16" t="e">
        <f t="shared" si="10"/>
        <v>#REF!</v>
      </c>
      <c r="BC30" s="16" t="e">
        <f t="shared" si="10"/>
        <v>#REF!</v>
      </c>
      <c r="BD30" s="16" t="e">
        <f t="shared" si="10"/>
        <v>#REF!</v>
      </c>
      <c r="BE30" s="16" t="e">
        <f t="shared" si="10"/>
        <v>#REF!</v>
      </c>
      <c r="BF30" s="16" t="e">
        <f t="shared" si="10"/>
        <v>#REF!</v>
      </c>
      <c r="BG30" s="16" t="e">
        <f t="shared" si="10"/>
        <v>#REF!</v>
      </c>
      <c r="BH30" s="16" t="e">
        <f t="shared" si="10"/>
        <v>#REF!</v>
      </c>
      <c r="BI30" s="16" t="e">
        <f t="shared" si="10"/>
        <v>#REF!</v>
      </c>
      <c r="BJ30" s="16" t="e">
        <f t="shared" si="10"/>
        <v>#REF!</v>
      </c>
      <c r="BK30" s="16" t="e">
        <f t="shared" si="10"/>
        <v>#REF!</v>
      </c>
    </row>
    <row r="31" spans="1:63" x14ac:dyDescent="0.25">
      <c r="G31" s="22" t="e">
        <f t="shared" si="6"/>
        <v>#REF!</v>
      </c>
      <c r="H31" s="22" t="e">
        <f t="shared" si="6"/>
        <v>#REF!</v>
      </c>
      <c r="I31" s="23" t="e">
        <f t="shared" si="6"/>
        <v>#REF!</v>
      </c>
      <c r="J31" s="13"/>
      <c r="K31" s="14"/>
      <c r="L31" s="14"/>
      <c r="M31" s="14"/>
      <c r="N31" s="14"/>
      <c r="O31" s="13"/>
      <c r="P31" s="16" t="e">
        <f t="shared" si="7"/>
        <v>#REF!</v>
      </c>
      <c r="Q31" s="16" t="e">
        <f t="shared" si="7"/>
        <v>#REF!</v>
      </c>
      <c r="R31" s="16" t="e">
        <f t="shared" si="7"/>
        <v>#REF!</v>
      </c>
      <c r="S31" s="16" t="e">
        <f t="shared" si="7"/>
        <v>#REF!</v>
      </c>
      <c r="T31" s="16" t="e">
        <f t="shared" si="7"/>
        <v>#REF!</v>
      </c>
      <c r="U31" s="16" t="e">
        <f t="shared" si="7"/>
        <v>#REF!</v>
      </c>
      <c r="V31" s="16" t="e">
        <f t="shared" si="7"/>
        <v>#REF!</v>
      </c>
      <c r="W31" s="16" t="e">
        <f t="shared" si="7"/>
        <v>#REF!</v>
      </c>
      <c r="X31" s="16" t="e">
        <f t="shared" si="7"/>
        <v>#REF!</v>
      </c>
      <c r="Y31" s="16" t="e">
        <f t="shared" si="7"/>
        <v>#REF!</v>
      </c>
      <c r="Z31" s="16" t="e">
        <f t="shared" si="7"/>
        <v>#REF!</v>
      </c>
      <c r="AA31" s="16" t="e">
        <f t="shared" si="7"/>
        <v>#REF!</v>
      </c>
      <c r="AB31" s="16" t="e">
        <f t="shared" si="8"/>
        <v>#REF!</v>
      </c>
      <c r="AC31" s="16" t="e">
        <f t="shared" si="8"/>
        <v>#REF!</v>
      </c>
      <c r="AD31" s="16" t="e">
        <f t="shared" si="8"/>
        <v>#REF!</v>
      </c>
      <c r="AE31" s="16" t="e">
        <f t="shared" si="8"/>
        <v>#REF!</v>
      </c>
      <c r="AF31" s="16" t="e">
        <f t="shared" si="8"/>
        <v>#REF!</v>
      </c>
      <c r="AG31" s="16" t="e">
        <f t="shared" si="8"/>
        <v>#REF!</v>
      </c>
      <c r="AH31" s="16" t="e">
        <f t="shared" si="8"/>
        <v>#REF!</v>
      </c>
      <c r="AI31" s="16" t="e">
        <f t="shared" si="8"/>
        <v>#REF!</v>
      </c>
      <c r="AJ31" s="16" t="e">
        <f t="shared" si="8"/>
        <v>#REF!</v>
      </c>
      <c r="AK31" s="16" t="e">
        <f t="shared" si="8"/>
        <v>#REF!</v>
      </c>
      <c r="AL31" s="16" t="e">
        <f t="shared" si="8"/>
        <v>#REF!</v>
      </c>
      <c r="AM31" s="16" t="e">
        <f t="shared" si="8"/>
        <v>#REF!</v>
      </c>
      <c r="AN31" s="16" t="e">
        <f t="shared" si="9"/>
        <v>#REF!</v>
      </c>
      <c r="AO31" s="16" t="e">
        <f t="shared" si="9"/>
        <v>#REF!</v>
      </c>
      <c r="AP31" s="16" t="e">
        <f t="shared" si="9"/>
        <v>#REF!</v>
      </c>
      <c r="AQ31" s="16" t="e">
        <f t="shared" si="9"/>
        <v>#REF!</v>
      </c>
      <c r="AR31" s="16" t="e">
        <f t="shared" si="9"/>
        <v>#REF!</v>
      </c>
      <c r="AS31" s="16" t="e">
        <f t="shared" si="9"/>
        <v>#REF!</v>
      </c>
      <c r="AT31" s="16" t="e">
        <f t="shared" si="9"/>
        <v>#REF!</v>
      </c>
      <c r="AU31" s="16" t="e">
        <f t="shared" si="9"/>
        <v>#REF!</v>
      </c>
      <c r="AV31" s="16" t="e">
        <f t="shared" si="9"/>
        <v>#REF!</v>
      </c>
      <c r="AW31" s="16" t="e">
        <f t="shared" si="9"/>
        <v>#REF!</v>
      </c>
      <c r="AX31" s="16" t="e">
        <f t="shared" si="9"/>
        <v>#REF!</v>
      </c>
      <c r="AY31" s="16" t="e">
        <f t="shared" si="9"/>
        <v>#REF!</v>
      </c>
      <c r="AZ31" s="16" t="e">
        <f t="shared" si="10"/>
        <v>#REF!</v>
      </c>
      <c r="BA31" s="16" t="e">
        <f t="shared" si="10"/>
        <v>#REF!</v>
      </c>
      <c r="BB31" s="16" t="e">
        <f t="shared" si="10"/>
        <v>#REF!</v>
      </c>
      <c r="BC31" s="16" t="e">
        <f t="shared" si="10"/>
        <v>#REF!</v>
      </c>
      <c r="BD31" s="16" t="e">
        <f t="shared" si="10"/>
        <v>#REF!</v>
      </c>
      <c r="BE31" s="16" t="e">
        <f t="shared" si="10"/>
        <v>#REF!</v>
      </c>
      <c r="BF31" s="16" t="e">
        <f t="shared" si="10"/>
        <v>#REF!</v>
      </c>
      <c r="BG31" s="16" t="e">
        <f t="shared" si="10"/>
        <v>#REF!</v>
      </c>
      <c r="BH31" s="16" t="e">
        <f t="shared" si="10"/>
        <v>#REF!</v>
      </c>
      <c r="BI31" s="16" t="e">
        <f t="shared" si="10"/>
        <v>#REF!</v>
      </c>
      <c r="BJ31" s="16" t="e">
        <f t="shared" si="10"/>
        <v>#REF!</v>
      </c>
      <c r="BK31" s="16" t="e">
        <f t="shared" si="10"/>
        <v>#REF!</v>
      </c>
    </row>
    <row r="32" spans="1:63" x14ac:dyDescent="0.25">
      <c r="G32" s="22" t="e">
        <f t="shared" si="6"/>
        <v>#REF!</v>
      </c>
      <c r="H32" s="22" t="e">
        <f t="shared" si="6"/>
        <v>#REF!</v>
      </c>
      <c r="I32" s="23" t="e">
        <f t="shared" si="6"/>
        <v>#REF!</v>
      </c>
      <c r="J32" s="13"/>
      <c r="K32" s="14"/>
      <c r="L32" s="14"/>
      <c r="M32" s="14"/>
      <c r="N32" s="14"/>
      <c r="O32" s="13"/>
      <c r="P32" s="16" t="e">
        <f t="shared" si="7"/>
        <v>#REF!</v>
      </c>
      <c r="Q32" s="16" t="e">
        <f t="shared" si="7"/>
        <v>#REF!</v>
      </c>
      <c r="R32" s="16" t="e">
        <f t="shared" si="7"/>
        <v>#REF!</v>
      </c>
      <c r="S32" s="16" t="e">
        <f t="shared" si="7"/>
        <v>#REF!</v>
      </c>
      <c r="T32" s="16" t="e">
        <f t="shared" si="7"/>
        <v>#REF!</v>
      </c>
      <c r="U32" s="16" t="e">
        <f t="shared" si="7"/>
        <v>#REF!</v>
      </c>
      <c r="V32" s="16" t="e">
        <f t="shared" si="7"/>
        <v>#REF!</v>
      </c>
      <c r="W32" s="16" t="e">
        <f t="shared" si="7"/>
        <v>#REF!</v>
      </c>
      <c r="X32" s="16" t="e">
        <f t="shared" si="7"/>
        <v>#REF!</v>
      </c>
      <c r="Y32" s="16" t="e">
        <f t="shared" si="7"/>
        <v>#REF!</v>
      </c>
      <c r="Z32" s="16" t="e">
        <f t="shared" si="7"/>
        <v>#REF!</v>
      </c>
      <c r="AA32" s="16" t="e">
        <f t="shared" si="7"/>
        <v>#REF!</v>
      </c>
      <c r="AB32" s="16" t="e">
        <f t="shared" si="8"/>
        <v>#REF!</v>
      </c>
      <c r="AC32" s="16" t="e">
        <f t="shared" si="8"/>
        <v>#REF!</v>
      </c>
      <c r="AD32" s="16" t="e">
        <f t="shared" si="8"/>
        <v>#REF!</v>
      </c>
      <c r="AE32" s="16" t="e">
        <f t="shared" si="8"/>
        <v>#REF!</v>
      </c>
      <c r="AF32" s="16" t="e">
        <f t="shared" si="8"/>
        <v>#REF!</v>
      </c>
      <c r="AG32" s="16" t="e">
        <f t="shared" si="8"/>
        <v>#REF!</v>
      </c>
      <c r="AH32" s="16" t="e">
        <f t="shared" si="8"/>
        <v>#REF!</v>
      </c>
      <c r="AI32" s="16" t="e">
        <f t="shared" si="8"/>
        <v>#REF!</v>
      </c>
      <c r="AJ32" s="16" t="e">
        <f t="shared" si="8"/>
        <v>#REF!</v>
      </c>
      <c r="AK32" s="16" t="e">
        <f t="shared" si="8"/>
        <v>#REF!</v>
      </c>
      <c r="AL32" s="16" t="e">
        <f t="shared" si="8"/>
        <v>#REF!</v>
      </c>
      <c r="AM32" s="16" t="e">
        <f t="shared" si="8"/>
        <v>#REF!</v>
      </c>
      <c r="AN32" s="16" t="e">
        <f t="shared" si="9"/>
        <v>#REF!</v>
      </c>
      <c r="AO32" s="16" t="e">
        <f t="shared" si="9"/>
        <v>#REF!</v>
      </c>
      <c r="AP32" s="16" t="e">
        <f t="shared" si="9"/>
        <v>#REF!</v>
      </c>
      <c r="AQ32" s="16" t="e">
        <f t="shared" si="9"/>
        <v>#REF!</v>
      </c>
      <c r="AR32" s="16" t="e">
        <f t="shared" si="9"/>
        <v>#REF!</v>
      </c>
      <c r="AS32" s="16" t="e">
        <f t="shared" si="9"/>
        <v>#REF!</v>
      </c>
      <c r="AT32" s="16" t="e">
        <f t="shared" si="9"/>
        <v>#REF!</v>
      </c>
      <c r="AU32" s="16" t="e">
        <f t="shared" si="9"/>
        <v>#REF!</v>
      </c>
      <c r="AV32" s="16" t="e">
        <f t="shared" si="9"/>
        <v>#REF!</v>
      </c>
      <c r="AW32" s="16" t="e">
        <f t="shared" si="9"/>
        <v>#REF!</v>
      </c>
      <c r="AX32" s="16" t="e">
        <f t="shared" si="9"/>
        <v>#REF!</v>
      </c>
      <c r="AY32" s="16" t="e">
        <f t="shared" si="9"/>
        <v>#REF!</v>
      </c>
      <c r="AZ32" s="16" t="e">
        <f t="shared" si="10"/>
        <v>#REF!</v>
      </c>
      <c r="BA32" s="16" t="e">
        <f t="shared" si="10"/>
        <v>#REF!</v>
      </c>
      <c r="BB32" s="16" t="e">
        <f t="shared" si="10"/>
        <v>#REF!</v>
      </c>
      <c r="BC32" s="16" t="e">
        <f t="shared" si="10"/>
        <v>#REF!</v>
      </c>
      <c r="BD32" s="16" t="e">
        <f t="shared" si="10"/>
        <v>#REF!</v>
      </c>
      <c r="BE32" s="16" t="e">
        <f t="shared" si="10"/>
        <v>#REF!</v>
      </c>
      <c r="BF32" s="16" t="e">
        <f t="shared" si="10"/>
        <v>#REF!</v>
      </c>
      <c r="BG32" s="16" t="e">
        <f t="shared" si="10"/>
        <v>#REF!</v>
      </c>
      <c r="BH32" s="16" t="e">
        <f t="shared" si="10"/>
        <v>#REF!</v>
      </c>
      <c r="BI32" s="16" t="e">
        <f t="shared" si="10"/>
        <v>#REF!</v>
      </c>
      <c r="BJ32" s="16" t="e">
        <f t="shared" si="10"/>
        <v>#REF!</v>
      </c>
      <c r="BK32" s="16" t="e">
        <f t="shared" si="10"/>
        <v>#REF!</v>
      </c>
    </row>
    <row r="33" spans="6:63" x14ac:dyDescent="0.25">
      <c r="G33" s="22" t="e">
        <f t="shared" si="6"/>
        <v>#REF!</v>
      </c>
      <c r="H33" s="22" t="e">
        <f t="shared" si="6"/>
        <v>#REF!</v>
      </c>
      <c r="I33" s="23" t="e">
        <f t="shared" si="6"/>
        <v>#REF!</v>
      </c>
      <c r="J33" s="13"/>
      <c r="K33" s="14"/>
      <c r="L33" s="14"/>
      <c r="M33" s="14"/>
      <c r="N33" s="14"/>
      <c r="O33" s="13"/>
      <c r="P33" s="16" t="e">
        <f t="shared" si="7"/>
        <v>#REF!</v>
      </c>
      <c r="Q33" s="16" t="e">
        <f t="shared" si="7"/>
        <v>#REF!</v>
      </c>
      <c r="R33" s="16" t="e">
        <f t="shared" si="7"/>
        <v>#REF!</v>
      </c>
      <c r="S33" s="16" t="e">
        <f t="shared" si="7"/>
        <v>#REF!</v>
      </c>
      <c r="T33" s="16" t="e">
        <f t="shared" si="7"/>
        <v>#REF!</v>
      </c>
      <c r="U33" s="16" t="e">
        <f t="shared" si="7"/>
        <v>#REF!</v>
      </c>
      <c r="V33" s="16" t="e">
        <f t="shared" si="7"/>
        <v>#REF!</v>
      </c>
      <c r="W33" s="16" t="e">
        <f t="shared" si="7"/>
        <v>#REF!</v>
      </c>
      <c r="X33" s="16" t="e">
        <f t="shared" si="7"/>
        <v>#REF!</v>
      </c>
      <c r="Y33" s="16" t="e">
        <f t="shared" si="7"/>
        <v>#REF!</v>
      </c>
      <c r="Z33" s="16" t="e">
        <f t="shared" si="7"/>
        <v>#REF!</v>
      </c>
      <c r="AA33" s="16" t="e">
        <f t="shared" si="7"/>
        <v>#REF!</v>
      </c>
      <c r="AB33" s="16" t="e">
        <f t="shared" si="8"/>
        <v>#REF!</v>
      </c>
      <c r="AC33" s="16" t="e">
        <f t="shared" si="8"/>
        <v>#REF!</v>
      </c>
      <c r="AD33" s="16" t="e">
        <f t="shared" si="8"/>
        <v>#REF!</v>
      </c>
      <c r="AE33" s="16" t="e">
        <f t="shared" si="8"/>
        <v>#REF!</v>
      </c>
      <c r="AF33" s="16" t="e">
        <f t="shared" si="8"/>
        <v>#REF!</v>
      </c>
      <c r="AG33" s="16" t="e">
        <f t="shared" si="8"/>
        <v>#REF!</v>
      </c>
      <c r="AH33" s="16" t="e">
        <f t="shared" si="8"/>
        <v>#REF!</v>
      </c>
      <c r="AI33" s="16" t="e">
        <f t="shared" si="8"/>
        <v>#REF!</v>
      </c>
      <c r="AJ33" s="16" t="e">
        <f t="shared" si="8"/>
        <v>#REF!</v>
      </c>
      <c r="AK33" s="16" t="e">
        <f t="shared" si="8"/>
        <v>#REF!</v>
      </c>
      <c r="AL33" s="16" t="e">
        <f t="shared" si="8"/>
        <v>#REF!</v>
      </c>
      <c r="AM33" s="16" t="e">
        <f t="shared" si="8"/>
        <v>#REF!</v>
      </c>
      <c r="AN33" s="16" t="e">
        <f t="shared" si="9"/>
        <v>#REF!</v>
      </c>
      <c r="AO33" s="16" t="e">
        <f t="shared" si="9"/>
        <v>#REF!</v>
      </c>
      <c r="AP33" s="16" t="e">
        <f t="shared" si="9"/>
        <v>#REF!</v>
      </c>
      <c r="AQ33" s="16" t="e">
        <f t="shared" si="9"/>
        <v>#REF!</v>
      </c>
      <c r="AR33" s="16" t="e">
        <f t="shared" si="9"/>
        <v>#REF!</v>
      </c>
      <c r="AS33" s="16" t="e">
        <f t="shared" si="9"/>
        <v>#REF!</v>
      </c>
      <c r="AT33" s="16" t="e">
        <f t="shared" si="9"/>
        <v>#REF!</v>
      </c>
      <c r="AU33" s="16" t="e">
        <f t="shared" si="9"/>
        <v>#REF!</v>
      </c>
      <c r="AV33" s="16" t="e">
        <f t="shared" si="9"/>
        <v>#REF!</v>
      </c>
      <c r="AW33" s="16" t="e">
        <f t="shared" si="9"/>
        <v>#REF!</v>
      </c>
      <c r="AX33" s="16" t="e">
        <f t="shared" si="9"/>
        <v>#REF!</v>
      </c>
      <c r="AY33" s="16" t="e">
        <f t="shared" si="9"/>
        <v>#REF!</v>
      </c>
      <c r="AZ33" s="16" t="e">
        <f t="shared" si="10"/>
        <v>#REF!</v>
      </c>
      <c r="BA33" s="16" t="e">
        <f t="shared" si="10"/>
        <v>#REF!</v>
      </c>
      <c r="BB33" s="16" t="e">
        <f t="shared" si="10"/>
        <v>#REF!</v>
      </c>
      <c r="BC33" s="16" t="e">
        <f t="shared" si="10"/>
        <v>#REF!</v>
      </c>
      <c r="BD33" s="16" t="e">
        <f t="shared" si="10"/>
        <v>#REF!</v>
      </c>
      <c r="BE33" s="16" t="e">
        <f t="shared" si="10"/>
        <v>#REF!</v>
      </c>
      <c r="BF33" s="16" t="e">
        <f t="shared" si="10"/>
        <v>#REF!</v>
      </c>
      <c r="BG33" s="16" t="e">
        <f t="shared" si="10"/>
        <v>#REF!</v>
      </c>
      <c r="BH33" s="16" t="e">
        <f t="shared" si="10"/>
        <v>#REF!</v>
      </c>
      <c r="BI33" s="16" t="e">
        <f t="shared" si="10"/>
        <v>#REF!</v>
      </c>
      <c r="BJ33" s="16" t="e">
        <f t="shared" si="10"/>
        <v>#REF!</v>
      </c>
      <c r="BK33" s="16" t="e">
        <f t="shared" si="10"/>
        <v>#REF!</v>
      </c>
    </row>
    <row r="34" spans="6:63" x14ac:dyDescent="0.25">
      <c r="G34" s="22" t="e">
        <f t="shared" si="6"/>
        <v>#REF!</v>
      </c>
      <c r="H34" s="22" t="e">
        <f t="shared" si="6"/>
        <v>#REF!</v>
      </c>
      <c r="I34" s="23" t="e">
        <f t="shared" si="6"/>
        <v>#REF!</v>
      </c>
      <c r="J34" s="13"/>
      <c r="K34" s="14"/>
      <c r="L34" s="14"/>
      <c r="M34" s="14"/>
      <c r="N34" s="14"/>
      <c r="O34" s="13"/>
      <c r="P34" s="16" t="e">
        <f t="shared" si="7"/>
        <v>#REF!</v>
      </c>
      <c r="Q34" s="16" t="e">
        <f t="shared" si="7"/>
        <v>#REF!</v>
      </c>
      <c r="R34" s="16" t="e">
        <f t="shared" si="7"/>
        <v>#REF!</v>
      </c>
      <c r="S34" s="16" t="e">
        <f t="shared" si="7"/>
        <v>#REF!</v>
      </c>
      <c r="T34" s="16" t="e">
        <f t="shared" si="7"/>
        <v>#REF!</v>
      </c>
      <c r="U34" s="16" t="e">
        <f t="shared" si="7"/>
        <v>#REF!</v>
      </c>
      <c r="V34" s="16" t="e">
        <f t="shared" si="7"/>
        <v>#REF!</v>
      </c>
      <c r="W34" s="16" t="e">
        <f t="shared" si="7"/>
        <v>#REF!</v>
      </c>
      <c r="X34" s="16" t="e">
        <f t="shared" si="7"/>
        <v>#REF!</v>
      </c>
      <c r="Y34" s="16" t="e">
        <f t="shared" si="7"/>
        <v>#REF!</v>
      </c>
      <c r="Z34" s="16" t="e">
        <f t="shared" si="7"/>
        <v>#REF!</v>
      </c>
      <c r="AA34" s="16" t="e">
        <f t="shared" si="7"/>
        <v>#REF!</v>
      </c>
      <c r="AB34" s="16" t="e">
        <f t="shared" si="8"/>
        <v>#REF!</v>
      </c>
      <c r="AC34" s="16" t="e">
        <f t="shared" si="8"/>
        <v>#REF!</v>
      </c>
      <c r="AD34" s="16" t="e">
        <f t="shared" si="8"/>
        <v>#REF!</v>
      </c>
      <c r="AE34" s="16" t="e">
        <f t="shared" si="8"/>
        <v>#REF!</v>
      </c>
      <c r="AF34" s="16" t="e">
        <f t="shared" si="8"/>
        <v>#REF!</v>
      </c>
      <c r="AG34" s="16" t="e">
        <f t="shared" si="8"/>
        <v>#REF!</v>
      </c>
      <c r="AH34" s="16" t="e">
        <f t="shared" si="8"/>
        <v>#REF!</v>
      </c>
      <c r="AI34" s="16" t="e">
        <f t="shared" si="8"/>
        <v>#REF!</v>
      </c>
      <c r="AJ34" s="16" t="e">
        <f t="shared" si="8"/>
        <v>#REF!</v>
      </c>
      <c r="AK34" s="16" t="e">
        <f t="shared" si="8"/>
        <v>#REF!</v>
      </c>
      <c r="AL34" s="16" t="e">
        <f t="shared" si="8"/>
        <v>#REF!</v>
      </c>
      <c r="AM34" s="16" t="e">
        <f t="shared" si="8"/>
        <v>#REF!</v>
      </c>
      <c r="AN34" s="16" t="e">
        <f t="shared" si="9"/>
        <v>#REF!</v>
      </c>
      <c r="AO34" s="16" t="e">
        <f t="shared" si="9"/>
        <v>#REF!</v>
      </c>
      <c r="AP34" s="16" t="e">
        <f t="shared" si="9"/>
        <v>#REF!</v>
      </c>
      <c r="AQ34" s="16" t="e">
        <f t="shared" si="9"/>
        <v>#REF!</v>
      </c>
      <c r="AR34" s="16" t="e">
        <f t="shared" si="9"/>
        <v>#REF!</v>
      </c>
      <c r="AS34" s="16" t="e">
        <f t="shared" si="9"/>
        <v>#REF!</v>
      </c>
      <c r="AT34" s="16" t="e">
        <f t="shared" si="9"/>
        <v>#REF!</v>
      </c>
      <c r="AU34" s="16" t="e">
        <f t="shared" si="9"/>
        <v>#REF!</v>
      </c>
      <c r="AV34" s="16" t="e">
        <f t="shared" si="9"/>
        <v>#REF!</v>
      </c>
      <c r="AW34" s="16" t="e">
        <f t="shared" si="9"/>
        <v>#REF!</v>
      </c>
      <c r="AX34" s="16" t="e">
        <f t="shared" si="9"/>
        <v>#REF!</v>
      </c>
      <c r="AY34" s="16" t="e">
        <f t="shared" si="9"/>
        <v>#REF!</v>
      </c>
      <c r="AZ34" s="16" t="e">
        <f t="shared" si="10"/>
        <v>#REF!</v>
      </c>
      <c r="BA34" s="16" t="e">
        <f t="shared" si="10"/>
        <v>#REF!</v>
      </c>
      <c r="BB34" s="16" t="e">
        <f t="shared" si="10"/>
        <v>#REF!</v>
      </c>
      <c r="BC34" s="16" t="e">
        <f t="shared" si="10"/>
        <v>#REF!</v>
      </c>
      <c r="BD34" s="16" t="e">
        <f t="shared" si="10"/>
        <v>#REF!</v>
      </c>
      <c r="BE34" s="16" t="e">
        <f t="shared" si="10"/>
        <v>#REF!</v>
      </c>
      <c r="BF34" s="16" t="e">
        <f t="shared" si="10"/>
        <v>#REF!</v>
      </c>
      <c r="BG34" s="16" t="e">
        <f t="shared" si="10"/>
        <v>#REF!</v>
      </c>
      <c r="BH34" s="16" t="e">
        <f t="shared" si="10"/>
        <v>#REF!</v>
      </c>
      <c r="BI34" s="16" t="e">
        <f t="shared" si="10"/>
        <v>#REF!</v>
      </c>
      <c r="BJ34" s="16" t="e">
        <f t="shared" si="10"/>
        <v>#REF!</v>
      </c>
      <c r="BK34" s="16" t="e">
        <f t="shared" si="10"/>
        <v>#REF!</v>
      </c>
    </row>
    <row r="35" spans="6:63" x14ac:dyDescent="0.25">
      <c r="G35" s="22" t="e">
        <f t="shared" si="6"/>
        <v>#REF!</v>
      </c>
      <c r="H35" s="22" t="e">
        <f t="shared" si="6"/>
        <v>#REF!</v>
      </c>
      <c r="I35" s="23" t="e">
        <f t="shared" si="6"/>
        <v>#REF!</v>
      </c>
      <c r="J35" s="13"/>
      <c r="K35" s="14"/>
      <c r="L35" s="14"/>
      <c r="M35" s="14"/>
      <c r="N35" s="14"/>
      <c r="O35" s="13"/>
      <c r="P35" s="16" t="e">
        <f t="shared" si="7"/>
        <v>#REF!</v>
      </c>
      <c r="Q35" s="16" t="e">
        <f t="shared" si="7"/>
        <v>#REF!</v>
      </c>
      <c r="R35" s="16" t="e">
        <f t="shared" si="7"/>
        <v>#REF!</v>
      </c>
      <c r="S35" s="16" t="e">
        <f t="shared" si="7"/>
        <v>#REF!</v>
      </c>
      <c r="T35" s="16" t="e">
        <f t="shared" si="7"/>
        <v>#REF!</v>
      </c>
      <c r="U35" s="16" t="e">
        <f t="shared" si="7"/>
        <v>#REF!</v>
      </c>
      <c r="V35" s="16" t="e">
        <f t="shared" si="7"/>
        <v>#REF!</v>
      </c>
      <c r="W35" s="16" t="e">
        <f t="shared" si="7"/>
        <v>#REF!</v>
      </c>
      <c r="X35" s="16" t="e">
        <f t="shared" si="7"/>
        <v>#REF!</v>
      </c>
      <c r="Y35" s="16" t="e">
        <f t="shared" si="7"/>
        <v>#REF!</v>
      </c>
      <c r="Z35" s="16" t="e">
        <f t="shared" si="7"/>
        <v>#REF!</v>
      </c>
      <c r="AA35" s="16" t="e">
        <f t="shared" si="7"/>
        <v>#REF!</v>
      </c>
      <c r="AB35" s="16" t="e">
        <f t="shared" si="8"/>
        <v>#REF!</v>
      </c>
      <c r="AC35" s="16" t="e">
        <f t="shared" si="8"/>
        <v>#REF!</v>
      </c>
      <c r="AD35" s="16" t="e">
        <f t="shared" si="8"/>
        <v>#REF!</v>
      </c>
      <c r="AE35" s="16" t="e">
        <f t="shared" si="8"/>
        <v>#REF!</v>
      </c>
      <c r="AF35" s="16" t="e">
        <f t="shared" si="8"/>
        <v>#REF!</v>
      </c>
      <c r="AG35" s="16" t="e">
        <f t="shared" si="8"/>
        <v>#REF!</v>
      </c>
      <c r="AH35" s="16" t="e">
        <f t="shared" si="8"/>
        <v>#REF!</v>
      </c>
      <c r="AI35" s="16" t="e">
        <f t="shared" si="8"/>
        <v>#REF!</v>
      </c>
      <c r="AJ35" s="16" t="e">
        <f t="shared" si="8"/>
        <v>#REF!</v>
      </c>
      <c r="AK35" s="16" t="e">
        <f t="shared" si="8"/>
        <v>#REF!</v>
      </c>
      <c r="AL35" s="16" t="e">
        <f t="shared" si="8"/>
        <v>#REF!</v>
      </c>
      <c r="AM35" s="16" t="e">
        <f t="shared" si="8"/>
        <v>#REF!</v>
      </c>
      <c r="AN35" s="16" t="e">
        <f t="shared" si="9"/>
        <v>#REF!</v>
      </c>
      <c r="AO35" s="16" t="e">
        <f t="shared" si="9"/>
        <v>#REF!</v>
      </c>
      <c r="AP35" s="16" t="e">
        <f t="shared" si="9"/>
        <v>#REF!</v>
      </c>
      <c r="AQ35" s="16" t="e">
        <f t="shared" si="9"/>
        <v>#REF!</v>
      </c>
      <c r="AR35" s="16" t="e">
        <f t="shared" si="9"/>
        <v>#REF!</v>
      </c>
      <c r="AS35" s="16" t="e">
        <f t="shared" si="9"/>
        <v>#REF!</v>
      </c>
      <c r="AT35" s="16" t="e">
        <f t="shared" si="9"/>
        <v>#REF!</v>
      </c>
      <c r="AU35" s="16" t="e">
        <f t="shared" si="9"/>
        <v>#REF!</v>
      </c>
      <c r="AV35" s="16" t="e">
        <f t="shared" si="9"/>
        <v>#REF!</v>
      </c>
      <c r="AW35" s="16" t="e">
        <f t="shared" si="9"/>
        <v>#REF!</v>
      </c>
      <c r="AX35" s="16" t="e">
        <f t="shared" si="9"/>
        <v>#REF!</v>
      </c>
      <c r="AY35" s="16" t="e">
        <f t="shared" si="9"/>
        <v>#REF!</v>
      </c>
      <c r="AZ35" s="16" t="e">
        <f t="shared" si="10"/>
        <v>#REF!</v>
      </c>
      <c r="BA35" s="16" t="e">
        <f t="shared" si="10"/>
        <v>#REF!</v>
      </c>
      <c r="BB35" s="16" t="e">
        <f t="shared" si="10"/>
        <v>#REF!</v>
      </c>
      <c r="BC35" s="16" t="e">
        <f t="shared" si="10"/>
        <v>#REF!</v>
      </c>
      <c r="BD35" s="16" t="e">
        <f t="shared" si="10"/>
        <v>#REF!</v>
      </c>
      <c r="BE35" s="16" t="e">
        <f t="shared" si="10"/>
        <v>#REF!</v>
      </c>
      <c r="BF35" s="16" t="e">
        <f t="shared" si="10"/>
        <v>#REF!</v>
      </c>
      <c r="BG35" s="16" t="e">
        <f t="shared" si="10"/>
        <v>#REF!</v>
      </c>
      <c r="BH35" s="16" t="e">
        <f t="shared" si="10"/>
        <v>#REF!</v>
      </c>
      <c r="BI35" s="16" t="e">
        <f t="shared" si="10"/>
        <v>#REF!</v>
      </c>
      <c r="BJ35" s="16" t="e">
        <f t="shared" si="10"/>
        <v>#REF!</v>
      </c>
      <c r="BK35" s="16" t="e">
        <f t="shared" si="10"/>
        <v>#REF!</v>
      </c>
    </row>
    <row r="36" spans="6:63" ht="15.75" customHeight="1" thickBot="1" x14ac:dyDescent="0.3">
      <c r="F36" s="5" t="s">
        <v>83</v>
      </c>
      <c r="G36" s="6" t="s">
        <v>84</v>
      </c>
      <c r="H36" s="7"/>
      <c r="I36" s="7"/>
      <c r="J36" s="7"/>
      <c r="K36" s="7"/>
      <c r="L36" s="7"/>
      <c r="M36" s="7"/>
      <c r="N36" s="7"/>
      <c r="O36" s="7"/>
      <c r="P36" s="8" t="e">
        <f t="shared" ref="P36:BK36" si="11">SUM(P23:P35)</f>
        <v>#REF!</v>
      </c>
      <c r="Q36" s="8" t="e">
        <f t="shared" si="11"/>
        <v>#REF!</v>
      </c>
      <c r="R36" s="8" t="e">
        <f t="shared" si="11"/>
        <v>#REF!</v>
      </c>
      <c r="S36" s="8" t="e">
        <f t="shared" si="11"/>
        <v>#REF!</v>
      </c>
      <c r="T36" s="8" t="e">
        <f t="shared" si="11"/>
        <v>#REF!</v>
      </c>
      <c r="U36" s="8" t="e">
        <f t="shared" si="11"/>
        <v>#REF!</v>
      </c>
      <c r="V36" s="8" t="e">
        <f t="shared" si="11"/>
        <v>#REF!</v>
      </c>
      <c r="W36" s="8" t="e">
        <f t="shared" si="11"/>
        <v>#REF!</v>
      </c>
      <c r="X36" s="8" t="e">
        <f t="shared" si="11"/>
        <v>#REF!</v>
      </c>
      <c r="Y36" s="8" t="e">
        <f t="shared" si="11"/>
        <v>#REF!</v>
      </c>
      <c r="Z36" s="8" t="e">
        <f t="shared" si="11"/>
        <v>#REF!</v>
      </c>
      <c r="AA36" s="8" t="e">
        <f t="shared" si="11"/>
        <v>#REF!</v>
      </c>
      <c r="AB36" s="8" t="e">
        <f t="shared" si="11"/>
        <v>#REF!</v>
      </c>
      <c r="AC36" s="8" t="e">
        <f t="shared" si="11"/>
        <v>#REF!</v>
      </c>
      <c r="AD36" s="8" t="e">
        <f t="shared" si="11"/>
        <v>#REF!</v>
      </c>
      <c r="AE36" s="8" t="e">
        <f t="shared" si="11"/>
        <v>#REF!</v>
      </c>
      <c r="AF36" s="8" t="e">
        <f t="shared" si="11"/>
        <v>#REF!</v>
      </c>
      <c r="AG36" s="8" t="e">
        <f t="shared" si="11"/>
        <v>#REF!</v>
      </c>
      <c r="AH36" s="8" t="e">
        <f t="shared" si="11"/>
        <v>#REF!</v>
      </c>
      <c r="AI36" s="8" t="e">
        <f t="shared" si="11"/>
        <v>#REF!</v>
      </c>
      <c r="AJ36" s="8" t="e">
        <f t="shared" si="11"/>
        <v>#REF!</v>
      </c>
      <c r="AK36" s="8" t="e">
        <f t="shared" si="11"/>
        <v>#REF!</v>
      </c>
      <c r="AL36" s="8" t="e">
        <f t="shared" si="11"/>
        <v>#REF!</v>
      </c>
      <c r="AM36" s="8" t="e">
        <f t="shared" si="11"/>
        <v>#REF!</v>
      </c>
      <c r="AN36" s="8" t="e">
        <f t="shared" si="11"/>
        <v>#REF!</v>
      </c>
      <c r="AO36" s="8" t="e">
        <f t="shared" si="11"/>
        <v>#REF!</v>
      </c>
      <c r="AP36" s="8" t="e">
        <f t="shared" si="11"/>
        <v>#REF!</v>
      </c>
      <c r="AQ36" s="8" t="e">
        <f t="shared" si="11"/>
        <v>#REF!</v>
      </c>
      <c r="AR36" s="8" t="e">
        <f t="shared" si="11"/>
        <v>#REF!</v>
      </c>
      <c r="AS36" s="8" t="e">
        <f t="shared" si="11"/>
        <v>#REF!</v>
      </c>
      <c r="AT36" s="8" t="e">
        <f t="shared" si="11"/>
        <v>#REF!</v>
      </c>
      <c r="AU36" s="8" t="e">
        <f t="shared" si="11"/>
        <v>#REF!</v>
      </c>
      <c r="AV36" s="8" t="e">
        <f t="shared" si="11"/>
        <v>#REF!</v>
      </c>
      <c r="AW36" s="8" t="e">
        <f t="shared" si="11"/>
        <v>#REF!</v>
      </c>
      <c r="AX36" s="8" t="e">
        <f t="shared" si="11"/>
        <v>#REF!</v>
      </c>
      <c r="AY36" s="8" t="e">
        <f t="shared" si="11"/>
        <v>#REF!</v>
      </c>
      <c r="AZ36" s="8" t="e">
        <f t="shared" si="11"/>
        <v>#REF!</v>
      </c>
      <c r="BA36" s="8" t="e">
        <f t="shared" si="11"/>
        <v>#REF!</v>
      </c>
      <c r="BB36" s="8" t="e">
        <f t="shared" si="11"/>
        <v>#REF!</v>
      </c>
      <c r="BC36" s="8" t="e">
        <f t="shared" si="11"/>
        <v>#REF!</v>
      </c>
      <c r="BD36" s="8" t="e">
        <f t="shared" si="11"/>
        <v>#REF!</v>
      </c>
      <c r="BE36" s="8" t="e">
        <f t="shared" si="11"/>
        <v>#REF!</v>
      </c>
      <c r="BF36" s="8" t="e">
        <f t="shared" si="11"/>
        <v>#REF!</v>
      </c>
      <c r="BG36" s="8" t="e">
        <f t="shared" si="11"/>
        <v>#REF!</v>
      </c>
      <c r="BH36" s="8" t="e">
        <f t="shared" si="11"/>
        <v>#REF!</v>
      </c>
      <c r="BI36" s="8" t="e">
        <f t="shared" si="11"/>
        <v>#REF!</v>
      </c>
      <c r="BJ36" s="8" t="e">
        <f t="shared" si="11"/>
        <v>#REF!</v>
      </c>
      <c r="BK36" s="8" t="e">
        <f t="shared" si="11"/>
        <v>#REF!</v>
      </c>
    </row>
    <row r="103" spans="6:21" x14ac:dyDescent="0.25">
      <c r="F103" t="s">
        <v>88</v>
      </c>
      <c r="G103" t="s">
        <v>89</v>
      </c>
      <c r="H103" t="s">
        <v>90</v>
      </c>
      <c r="I103" t="s">
        <v>91</v>
      </c>
      <c r="P103" t="s">
        <v>92</v>
      </c>
      <c r="Q103" t="s">
        <v>93</v>
      </c>
    </row>
    <row r="104" spans="6:21" ht="60" customHeight="1" x14ac:dyDescent="0.25">
      <c r="F104" s="9" t="s">
        <v>94</v>
      </c>
      <c r="G104" s="9" t="s">
        <v>95</v>
      </c>
      <c r="H104" s="9" t="s">
        <v>96</v>
      </c>
      <c r="I104" s="9" t="s">
        <v>97</v>
      </c>
      <c r="J104" s="9"/>
      <c r="K104" s="9"/>
      <c r="L104" s="9"/>
      <c r="M104" s="9"/>
      <c r="N104" s="9"/>
      <c r="O104" s="9"/>
      <c r="P104" s="9" t="s">
        <v>98</v>
      </c>
      <c r="Q104" s="9" t="s">
        <v>99</v>
      </c>
      <c r="R104" s="9" t="s">
        <v>84</v>
      </c>
      <c r="T104" s="9" t="s">
        <v>100</v>
      </c>
      <c r="U104" s="9" t="s">
        <v>101</v>
      </c>
    </row>
    <row r="105" spans="6:21" x14ac:dyDescent="0.25">
      <c r="F105" s="12">
        <f>SUM($B$7:$B$9)</f>
        <v>22500</v>
      </c>
      <c r="G105" s="12">
        <f>SUM($B$7:$B$9)</f>
        <v>22500</v>
      </c>
      <c r="H105" s="12">
        <f>SUM($B$7:$B$9)</f>
        <v>22500</v>
      </c>
      <c r="I105" s="12">
        <f>SUM($B$7:$B$10)</f>
        <v>30000</v>
      </c>
      <c r="J105" s="12"/>
      <c r="K105" s="12"/>
      <c r="L105" s="12"/>
      <c r="M105" s="12"/>
      <c r="N105" s="12"/>
      <c r="O105" s="12"/>
      <c r="P105" s="12">
        <f>SUM($B$7:$B$11)</f>
        <v>30000</v>
      </c>
      <c r="Q105" s="12">
        <f>SUM($B$7:$B$11)</f>
        <v>30000</v>
      </c>
      <c r="R105" s="12">
        <f>SUM(F105:Q105)</f>
        <v>157500</v>
      </c>
      <c r="T105" s="12">
        <v>800000</v>
      </c>
      <c r="U105" s="12">
        <f>T105/12</f>
        <v>66666.666666666672</v>
      </c>
    </row>
    <row r="106" spans="6:21" x14ac:dyDescent="0.25">
      <c r="F106" s="12">
        <f>SUM($C$7:$C$12)</f>
        <v>35000</v>
      </c>
      <c r="G106" s="12">
        <f>SUM($C$7:$C$13)</f>
        <v>35000</v>
      </c>
      <c r="H106" s="12">
        <f>SUM($C$7:$C$13)</f>
        <v>35000</v>
      </c>
      <c r="I106" s="12">
        <f>SUM($C$7:$C$14)</f>
        <v>35000</v>
      </c>
      <c r="J106" s="12"/>
      <c r="K106" s="12"/>
      <c r="L106" s="12"/>
      <c r="M106" s="12"/>
      <c r="N106" s="12"/>
      <c r="O106" s="12"/>
      <c r="P106" s="12">
        <f>SUM($C$7:$C$15)</f>
        <v>35000</v>
      </c>
      <c r="Q106" s="12">
        <f>SUM($C$7:$C$15)</f>
        <v>35000</v>
      </c>
      <c r="R106" s="12">
        <f>SUM(F106:Q106)</f>
        <v>210000</v>
      </c>
    </row>
    <row r="107" spans="6:21" x14ac:dyDescent="0.25">
      <c r="F107" s="12">
        <f>SUM($D$7:$D$16)</f>
        <v>40000</v>
      </c>
      <c r="G107" s="12">
        <f>SUM($D$7:$D$17)</f>
        <v>40000</v>
      </c>
      <c r="H107" s="12">
        <f>SUM($D$7:$D$17)</f>
        <v>40000</v>
      </c>
      <c r="I107" s="12">
        <f>SUM($D$7:$D$17)</f>
        <v>40000</v>
      </c>
      <c r="J107" s="12"/>
      <c r="K107" s="12"/>
      <c r="L107" s="12"/>
      <c r="M107" s="12"/>
      <c r="N107" s="12"/>
      <c r="O107" s="12"/>
      <c r="P107" s="12">
        <f>SUM($D$7:$D$19)</f>
        <v>40000</v>
      </c>
      <c r="Q107" s="12">
        <f>SUM($D$7:$D$19)</f>
        <v>40000</v>
      </c>
      <c r="R107" s="12">
        <f>SUM(F107:Q107)</f>
        <v>240000</v>
      </c>
    </row>
    <row r="108" spans="6:21" x14ac:dyDescent="0.25">
      <c r="F108" s="12">
        <f>SUM($E$7:$E$21)</f>
        <v>40000</v>
      </c>
      <c r="G108" s="12">
        <f>SUM($E$7:$E$21)</f>
        <v>40000</v>
      </c>
      <c r="H108" s="12">
        <f>SUM($E$7:$E$21)</f>
        <v>40000</v>
      </c>
      <c r="I108" s="12">
        <f>SUM($E$7:$E$21)</f>
        <v>40000</v>
      </c>
      <c r="J108" s="12"/>
      <c r="K108" s="12"/>
      <c r="L108" s="12"/>
      <c r="M108" s="12"/>
      <c r="N108" s="12"/>
      <c r="O108" s="12"/>
      <c r="P108" s="12">
        <f>SUM($E$7:$E$21)</f>
        <v>40000</v>
      </c>
      <c r="Q108" s="12">
        <f>SUM($E$7:$E$21)</f>
        <v>40000</v>
      </c>
      <c r="R108" s="12">
        <f>SUM(F108:Q108)</f>
        <v>240000</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2:L129"/>
  <sheetViews>
    <sheetView tabSelected="1" topLeftCell="A17" workbookViewId="0">
      <selection activeCell="C32" sqref="C32"/>
    </sheetView>
  </sheetViews>
  <sheetFormatPr defaultRowHeight="15" x14ac:dyDescent="0.25"/>
  <cols>
    <col min="1" max="1" width="8.85546875" style="217" customWidth="1"/>
    <col min="2" max="2" width="100.85546875" style="227" customWidth="1"/>
    <col min="3" max="3" width="72.28515625" style="227" customWidth="1"/>
    <col min="4" max="4" width="88.42578125" style="227" bestFit="1" customWidth="1"/>
    <col min="5" max="5" width="73.42578125" style="227" bestFit="1" customWidth="1"/>
    <col min="6" max="6" width="49.28515625" style="227" bestFit="1" customWidth="1"/>
    <col min="7" max="7" width="41.140625" style="227" bestFit="1" customWidth="1"/>
    <col min="8" max="8" width="57.140625" style="227" bestFit="1" customWidth="1"/>
    <col min="9" max="9" width="14" bestFit="1" customWidth="1"/>
  </cols>
  <sheetData>
    <row r="2" spans="1:12" x14ac:dyDescent="0.25">
      <c r="B2" s="221"/>
      <c r="C2" s="231"/>
    </row>
    <row r="3" spans="1:12" ht="21" customHeight="1" x14ac:dyDescent="0.25">
      <c r="B3" s="264" t="s">
        <v>102</v>
      </c>
      <c r="C3" s="231" t="s">
        <v>103</v>
      </c>
    </row>
    <row r="4" spans="1:12" ht="15.75" customHeight="1" x14ac:dyDescent="0.25">
      <c r="B4" s="222"/>
    </row>
    <row r="5" spans="1:12" x14ac:dyDescent="0.25">
      <c r="A5" s="217">
        <v>1</v>
      </c>
      <c r="B5" s="220" t="s">
        <v>104</v>
      </c>
      <c r="C5" s="232">
        <v>46178</v>
      </c>
    </row>
    <row r="6" spans="1:12" ht="30" customHeight="1" x14ac:dyDescent="0.25">
      <c r="A6" s="217">
        <v>2</v>
      </c>
      <c r="B6" s="219" t="s">
        <v>105</v>
      </c>
      <c r="C6" s="221" t="s">
        <v>106</v>
      </c>
    </row>
    <row r="7" spans="1:12" ht="90" customHeight="1" x14ac:dyDescent="0.25">
      <c r="A7" s="217">
        <v>3</v>
      </c>
      <c r="B7" s="219" t="s">
        <v>107</v>
      </c>
      <c r="C7" s="221" t="s">
        <v>108</v>
      </c>
      <c r="F7" s="248"/>
    </row>
    <row r="8" spans="1:12" x14ac:dyDescent="0.25">
      <c r="A8" s="217">
        <v>4</v>
      </c>
      <c r="B8" s="219" t="s">
        <v>109</v>
      </c>
      <c r="C8" s="227" t="s">
        <v>110</v>
      </c>
    </row>
    <row r="9" spans="1:12" x14ac:dyDescent="0.25">
      <c r="A9" s="217">
        <v>5</v>
      </c>
      <c r="B9" s="219" t="s">
        <v>111</v>
      </c>
      <c r="C9" s="221" t="s">
        <v>110</v>
      </c>
    </row>
    <row r="10" spans="1:12" ht="45" customHeight="1" x14ac:dyDescent="0.25">
      <c r="A10" s="217">
        <v>6</v>
      </c>
      <c r="B10" s="219" t="s">
        <v>112</v>
      </c>
      <c r="C10" s="221" t="s">
        <v>113</v>
      </c>
    </row>
    <row r="11" spans="1:12" ht="45" customHeight="1" x14ac:dyDescent="0.25">
      <c r="A11" s="217">
        <v>7</v>
      </c>
      <c r="B11" s="219" t="s">
        <v>114</v>
      </c>
      <c r="C11" s="219" t="s">
        <v>115</v>
      </c>
      <c r="D11" s="220"/>
      <c r="E11" s="220"/>
      <c r="F11" s="220"/>
      <c r="G11" s="220"/>
      <c r="H11" s="220"/>
    </row>
    <row r="12" spans="1:12" x14ac:dyDescent="0.25">
      <c r="B12" s="221"/>
      <c r="C12" s="219"/>
      <c r="D12" s="220"/>
      <c r="E12" s="220"/>
      <c r="F12" s="220"/>
      <c r="G12" s="220"/>
      <c r="H12" s="220"/>
    </row>
    <row r="13" spans="1:12" x14ac:dyDescent="0.25">
      <c r="B13" s="223" t="s">
        <v>116</v>
      </c>
      <c r="C13" s="233"/>
      <c r="D13" s="249"/>
      <c r="E13" s="249"/>
      <c r="F13" s="249"/>
      <c r="G13" s="249"/>
      <c r="H13" s="249"/>
    </row>
    <row r="14" spans="1:12" ht="13.9" customHeight="1" x14ac:dyDescent="0.25">
      <c r="B14" s="224" t="s">
        <v>117</v>
      </c>
      <c r="C14" s="224" t="s">
        <v>118</v>
      </c>
      <c r="D14" s="228" t="s">
        <v>119</v>
      </c>
      <c r="E14" s="228" t="s">
        <v>120</v>
      </c>
      <c r="F14" s="228" t="s">
        <v>121</v>
      </c>
      <c r="G14" s="228" t="s">
        <v>122</v>
      </c>
      <c r="H14" s="228" t="s">
        <v>123</v>
      </c>
      <c r="I14" s="194"/>
      <c r="J14" s="194"/>
      <c r="K14" s="194"/>
      <c r="L14" s="194"/>
    </row>
    <row r="15" spans="1:12" x14ac:dyDescent="0.25">
      <c r="B15" s="220" t="s">
        <v>124</v>
      </c>
      <c r="C15" s="219" t="s">
        <v>125</v>
      </c>
      <c r="D15" s="241">
        <v>557000</v>
      </c>
      <c r="E15" s="251"/>
      <c r="F15" s="253"/>
      <c r="G15" s="241" t="s">
        <v>126</v>
      </c>
      <c r="H15" s="242">
        <v>320820</v>
      </c>
    </row>
    <row r="16" spans="1:12" x14ac:dyDescent="0.25">
      <c r="B16" s="219">
        <v>2023</v>
      </c>
      <c r="C16" s="219" t="s">
        <v>127</v>
      </c>
      <c r="D16" s="241">
        <v>873000</v>
      </c>
      <c r="E16" s="241"/>
      <c r="F16" s="244"/>
      <c r="G16" s="241"/>
      <c r="H16" s="241">
        <v>436500</v>
      </c>
    </row>
    <row r="17" spans="1:9" x14ac:dyDescent="0.25">
      <c r="B17" s="220">
        <v>2022</v>
      </c>
      <c r="C17" s="220" t="s">
        <v>127</v>
      </c>
      <c r="D17" s="241">
        <v>713000</v>
      </c>
      <c r="E17" s="241"/>
      <c r="F17" s="253"/>
      <c r="G17" s="239"/>
      <c r="H17" s="241">
        <v>356000</v>
      </c>
    </row>
    <row r="18" spans="1:9" x14ac:dyDescent="0.25">
      <c r="B18" s="219">
        <v>2021</v>
      </c>
      <c r="C18" s="220" t="s">
        <v>127</v>
      </c>
      <c r="D18" s="239">
        <v>874000</v>
      </c>
      <c r="E18" s="241"/>
      <c r="F18" s="220"/>
      <c r="G18" s="239"/>
      <c r="H18" s="241">
        <v>437000</v>
      </c>
    </row>
    <row r="19" spans="1:9" x14ac:dyDescent="0.25">
      <c r="B19" s="221"/>
      <c r="C19" s="220"/>
      <c r="D19" s="239"/>
      <c r="E19" s="241"/>
      <c r="F19" s="220"/>
      <c r="G19" s="239"/>
      <c r="H19" s="241"/>
    </row>
    <row r="20" spans="1:9" x14ac:dyDescent="0.25">
      <c r="B20" s="223" t="s">
        <v>128</v>
      </c>
      <c r="C20" s="220"/>
      <c r="D20" s="241"/>
      <c r="E20" s="241"/>
      <c r="F20" s="220"/>
      <c r="G20" s="241"/>
      <c r="H20" s="220"/>
      <c r="I20" s="216"/>
    </row>
    <row r="21" spans="1:9" x14ac:dyDescent="0.25">
      <c r="B21" s="225"/>
      <c r="D21" s="234"/>
      <c r="E21" s="234"/>
      <c r="G21" s="234"/>
      <c r="I21" s="216"/>
    </row>
    <row r="22" spans="1:9" ht="30" customHeight="1" x14ac:dyDescent="0.25">
      <c r="A22" s="217">
        <v>8</v>
      </c>
      <c r="B22" s="219" t="s">
        <v>129</v>
      </c>
      <c r="C22" s="234">
        <v>100000</v>
      </c>
      <c r="D22" s="234"/>
      <c r="E22" s="234"/>
      <c r="F22" s="234"/>
      <c r="G22" s="255"/>
    </row>
    <row r="23" spans="1:9" ht="45" customHeight="1" x14ac:dyDescent="0.25">
      <c r="A23" s="217">
        <v>9</v>
      </c>
      <c r="B23" s="219" t="s">
        <v>130</v>
      </c>
      <c r="C23" s="234">
        <v>100000</v>
      </c>
      <c r="D23" s="234"/>
      <c r="E23" s="234"/>
      <c r="G23" s="255"/>
    </row>
    <row r="24" spans="1:9" x14ac:dyDescent="0.25">
      <c r="B24" s="221"/>
      <c r="C24" s="234"/>
      <c r="D24" s="234"/>
      <c r="E24" s="234"/>
      <c r="G24" s="255"/>
    </row>
    <row r="25" spans="1:9" x14ac:dyDescent="0.25">
      <c r="B25" s="223" t="s">
        <v>131</v>
      </c>
      <c r="C25" s="221"/>
      <c r="D25" s="234"/>
      <c r="G25" s="255"/>
    </row>
    <row r="26" spans="1:9" x14ac:dyDescent="0.25">
      <c r="B26" s="226" t="s">
        <v>132</v>
      </c>
      <c r="C26" s="221"/>
      <c r="D26" s="234"/>
      <c r="G26" s="255"/>
    </row>
    <row r="27" spans="1:9" x14ac:dyDescent="0.25">
      <c r="B27" s="226"/>
      <c r="C27" s="221"/>
      <c r="D27" s="234"/>
      <c r="G27" s="255"/>
    </row>
    <row r="28" spans="1:9" ht="15.75" customHeight="1" x14ac:dyDescent="0.25">
      <c r="A28" s="217" t="s">
        <v>133</v>
      </c>
      <c r="B28" s="220" t="s">
        <v>134</v>
      </c>
      <c r="C28" s="235">
        <v>700000</v>
      </c>
      <c r="D28" s="234"/>
      <c r="F28" s="222"/>
    </row>
    <row r="29" spans="1:9" x14ac:dyDescent="0.25">
      <c r="A29" s="217" t="s">
        <v>135</v>
      </c>
      <c r="B29" s="219" t="s">
        <v>136</v>
      </c>
      <c r="C29" s="285">
        <v>500000</v>
      </c>
    </row>
    <row r="30" spans="1:9" x14ac:dyDescent="0.25">
      <c r="B30" s="219"/>
      <c r="C30" s="236"/>
    </row>
    <row r="31" spans="1:9" x14ac:dyDescent="0.25">
      <c r="B31" s="224" t="s">
        <v>137</v>
      </c>
      <c r="C31" s="237" t="s">
        <v>138</v>
      </c>
      <c r="D31" s="228" t="s">
        <v>139</v>
      </c>
    </row>
    <row r="32" spans="1:9" x14ac:dyDescent="0.25">
      <c r="B32" s="219" t="s">
        <v>140</v>
      </c>
      <c r="C32" s="238"/>
      <c r="D32" s="238"/>
    </row>
    <row r="33" spans="1:7" x14ac:dyDescent="0.25">
      <c r="B33" s="219" t="s">
        <v>141</v>
      </c>
      <c r="C33" s="238"/>
      <c r="D33" s="238"/>
    </row>
    <row r="34" spans="1:7" x14ac:dyDescent="0.25">
      <c r="B34" s="219" t="s">
        <v>142</v>
      </c>
      <c r="C34" s="238"/>
      <c r="D34" s="238"/>
    </row>
    <row r="35" spans="1:7" x14ac:dyDescent="0.25">
      <c r="B35" s="220" t="s">
        <v>94</v>
      </c>
      <c r="C35" s="238"/>
      <c r="D35" s="238"/>
    </row>
    <row r="36" spans="1:7" x14ac:dyDescent="0.25">
      <c r="B36" s="220" t="s">
        <v>95</v>
      </c>
      <c r="C36" s="238"/>
      <c r="D36" s="238"/>
    </row>
    <row r="37" spans="1:7" x14ac:dyDescent="0.25">
      <c r="B37" s="220" t="s">
        <v>96</v>
      </c>
      <c r="C37" s="238"/>
      <c r="D37" s="238"/>
      <c r="F37" s="234"/>
      <c r="G37" s="234"/>
    </row>
    <row r="38" spans="1:7" x14ac:dyDescent="0.25">
      <c r="B38" s="220" t="s">
        <v>97</v>
      </c>
      <c r="C38" s="238"/>
      <c r="D38" s="238"/>
      <c r="F38" s="234"/>
      <c r="G38" s="234"/>
    </row>
    <row r="39" spans="1:7" x14ac:dyDescent="0.25">
      <c r="B39" s="220" t="s">
        <v>143</v>
      </c>
      <c r="C39" s="238"/>
      <c r="D39" s="238"/>
      <c r="F39" s="234"/>
      <c r="G39" s="234"/>
    </row>
    <row r="40" spans="1:7" x14ac:dyDescent="0.25">
      <c r="B40" s="220" t="s">
        <v>144</v>
      </c>
      <c r="C40" s="238"/>
      <c r="D40" s="238"/>
      <c r="F40" s="234"/>
      <c r="G40" s="234"/>
    </row>
    <row r="41" spans="1:7" x14ac:dyDescent="0.25">
      <c r="B41" s="220" t="s">
        <v>145</v>
      </c>
      <c r="C41" s="238"/>
      <c r="D41" s="238"/>
      <c r="F41" s="234"/>
      <c r="G41" s="234"/>
    </row>
    <row r="42" spans="1:7" x14ac:dyDescent="0.25">
      <c r="B42" s="220" t="s">
        <v>98</v>
      </c>
      <c r="C42" s="239"/>
      <c r="D42" s="238"/>
      <c r="F42" s="234"/>
      <c r="G42" s="234"/>
    </row>
    <row r="43" spans="1:7" x14ac:dyDescent="0.25">
      <c r="B43" s="220" t="s">
        <v>99</v>
      </c>
      <c r="C43" s="239"/>
      <c r="D43" s="238"/>
      <c r="F43" s="234"/>
      <c r="G43" s="234"/>
    </row>
    <row r="44" spans="1:7" x14ac:dyDescent="0.25">
      <c r="C44" s="239"/>
      <c r="D44" s="238"/>
      <c r="F44" s="234"/>
      <c r="G44" s="234"/>
    </row>
    <row r="45" spans="1:7" x14ac:dyDescent="0.25">
      <c r="B45" s="229" t="s">
        <v>146</v>
      </c>
      <c r="C45" s="239"/>
      <c r="D45" s="220"/>
      <c r="F45" s="234"/>
      <c r="G45" s="234"/>
    </row>
    <row r="46" spans="1:7" x14ac:dyDescent="0.25">
      <c r="C46" s="239"/>
      <c r="D46" s="220"/>
      <c r="F46" s="234"/>
      <c r="G46" s="234"/>
    </row>
    <row r="47" spans="1:7" x14ac:dyDescent="0.25">
      <c r="A47" s="217" t="s">
        <v>147</v>
      </c>
      <c r="B47" s="220" t="s">
        <v>148</v>
      </c>
      <c r="C47" s="239">
        <v>200000</v>
      </c>
      <c r="D47" s="220"/>
      <c r="F47" s="234"/>
    </row>
    <row r="48" spans="1:7" x14ac:dyDescent="0.25">
      <c r="A48" s="217" t="s">
        <v>149</v>
      </c>
      <c r="B48" s="220" t="s">
        <v>150</v>
      </c>
      <c r="C48" s="240">
        <v>150000</v>
      </c>
      <c r="D48" s="220"/>
      <c r="F48" s="234"/>
    </row>
    <row r="49" spans="1:6" x14ac:dyDescent="0.25">
      <c r="B49" s="220"/>
      <c r="C49" s="240"/>
      <c r="D49" s="220"/>
      <c r="F49" s="234"/>
    </row>
    <row r="50" spans="1:6" x14ac:dyDescent="0.25">
      <c r="B50" s="228" t="s">
        <v>137</v>
      </c>
      <c r="C50" s="237" t="s">
        <v>138</v>
      </c>
      <c r="D50" s="228" t="s">
        <v>139</v>
      </c>
      <c r="F50" s="234"/>
    </row>
    <row r="51" spans="1:6" x14ac:dyDescent="0.25">
      <c r="B51" s="220" t="s">
        <v>140</v>
      </c>
      <c r="C51" s="239">
        <v>50625</v>
      </c>
      <c r="D51" s="220">
        <v>0.14000000000000001</v>
      </c>
      <c r="F51" s="234"/>
    </row>
    <row r="52" spans="1:6" x14ac:dyDescent="0.25">
      <c r="B52" s="220" t="s">
        <v>141</v>
      </c>
      <c r="C52" s="239">
        <v>50625</v>
      </c>
      <c r="D52" s="220">
        <v>0.21</v>
      </c>
      <c r="F52" s="234"/>
    </row>
    <row r="53" spans="1:6" x14ac:dyDescent="0.25">
      <c r="B53" s="220" t="s">
        <v>142</v>
      </c>
      <c r="C53" s="239">
        <v>50625</v>
      </c>
      <c r="D53" s="220">
        <v>0.28000000000000003</v>
      </c>
      <c r="F53" s="234"/>
    </row>
    <row r="54" spans="1:6" x14ac:dyDescent="0.25">
      <c r="B54" s="220" t="s">
        <v>94</v>
      </c>
      <c r="C54" s="239">
        <v>50625</v>
      </c>
      <c r="D54" s="220">
        <v>0.35</v>
      </c>
    </row>
    <row r="55" spans="1:6" x14ac:dyDescent="0.25">
      <c r="B55" s="220" t="s">
        <v>95</v>
      </c>
      <c r="C55" s="241">
        <v>50625</v>
      </c>
      <c r="D55" s="220">
        <v>0.41</v>
      </c>
    </row>
    <row r="56" spans="1:6" x14ac:dyDescent="0.25">
      <c r="B56" s="220" t="s">
        <v>96</v>
      </c>
      <c r="C56" s="239">
        <v>50625</v>
      </c>
      <c r="D56" s="220">
        <v>0.48</v>
      </c>
    </row>
    <row r="57" spans="1:6" x14ac:dyDescent="0.25">
      <c r="B57" s="220" t="s">
        <v>97</v>
      </c>
      <c r="C57" s="239">
        <v>50625</v>
      </c>
      <c r="D57" s="220">
        <v>0.62</v>
      </c>
    </row>
    <row r="58" spans="1:6" x14ac:dyDescent="0.25">
      <c r="B58" s="220" t="s">
        <v>143</v>
      </c>
      <c r="C58" s="241">
        <v>50625</v>
      </c>
      <c r="D58" s="220">
        <v>0.69</v>
      </c>
    </row>
    <row r="59" spans="1:6" x14ac:dyDescent="0.25">
      <c r="B59" s="220" t="s">
        <v>144</v>
      </c>
      <c r="C59" s="241">
        <v>50625</v>
      </c>
      <c r="D59" s="220">
        <v>0.76</v>
      </c>
    </row>
    <row r="60" spans="1:6" x14ac:dyDescent="0.25">
      <c r="B60" s="220" t="s">
        <v>145</v>
      </c>
      <c r="C60" s="241">
        <v>50625</v>
      </c>
      <c r="D60" s="220">
        <v>0.83</v>
      </c>
    </row>
    <row r="61" spans="1:6" x14ac:dyDescent="0.25">
      <c r="B61" s="220" t="s">
        <v>98</v>
      </c>
      <c r="C61" s="241">
        <v>50625</v>
      </c>
      <c r="D61" s="220">
        <v>0.9</v>
      </c>
    </row>
    <row r="62" spans="1:6" x14ac:dyDescent="0.25">
      <c r="B62" s="220" t="s">
        <v>99</v>
      </c>
      <c r="C62" s="241">
        <v>50625</v>
      </c>
      <c r="D62" s="220">
        <v>1.24</v>
      </c>
    </row>
    <row r="63" spans="1:6" x14ac:dyDescent="0.25">
      <c r="B63" s="220"/>
      <c r="C63" s="241"/>
      <c r="D63" s="220"/>
    </row>
    <row r="64" spans="1:6" x14ac:dyDescent="0.25">
      <c r="A64" s="217">
        <v>12</v>
      </c>
      <c r="B64" s="220" t="s">
        <v>151</v>
      </c>
      <c r="C64" s="241" t="s">
        <v>302</v>
      </c>
      <c r="D64" s="220"/>
    </row>
    <row r="65" spans="1:7" x14ac:dyDescent="0.25">
      <c r="A65" s="217">
        <v>13</v>
      </c>
      <c r="B65" s="220" t="s">
        <v>152</v>
      </c>
      <c r="C65" s="242">
        <v>100000</v>
      </c>
      <c r="D65" s="220"/>
    </row>
    <row r="66" spans="1:7" x14ac:dyDescent="0.25">
      <c r="A66" s="217">
        <v>14</v>
      </c>
      <c r="B66" s="220" t="s">
        <v>153</v>
      </c>
      <c r="C66" s="241"/>
      <c r="D66" s="220"/>
    </row>
    <row r="67" spans="1:7" x14ac:dyDescent="0.25">
      <c r="B67" s="226" t="s">
        <v>117</v>
      </c>
      <c r="C67" s="243" t="s">
        <v>154</v>
      </c>
      <c r="D67" s="241"/>
    </row>
    <row r="68" spans="1:7" x14ac:dyDescent="0.25">
      <c r="B68" s="227">
        <v>1</v>
      </c>
      <c r="C68" s="282">
        <v>2</v>
      </c>
      <c r="D68" s="220"/>
    </row>
    <row r="69" spans="1:7" x14ac:dyDescent="0.25">
      <c r="B69" s="227">
        <v>2</v>
      </c>
      <c r="C69" s="282">
        <v>4</v>
      </c>
      <c r="D69" s="220"/>
    </row>
    <row r="70" spans="1:7" x14ac:dyDescent="0.25">
      <c r="B70" s="227">
        <v>3</v>
      </c>
      <c r="C70" s="220">
        <v>6</v>
      </c>
      <c r="D70" s="241"/>
    </row>
    <row r="71" spans="1:7" x14ac:dyDescent="0.25">
      <c r="B71" s="227">
        <v>4</v>
      </c>
      <c r="C71" s="220">
        <v>8</v>
      </c>
      <c r="D71" s="220"/>
    </row>
    <row r="72" spans="1:7" x14ac:dyDescent="0.25">
      <c r="B72" s="227">
        <v>5</v>
      </c>
      <c r="C72" s="220">
        <v>10</v>
      </c>
      <c r="D72" s="220"/>
    </row>
    <row r="73" spans="1:7" x14ac:dyDescent="0.25">
      <c r="C73" s="220"/>
      <c r="D73" s="220"/>
    </row>
    <row r="74" spans="1:7" x14ac:dyDescent="0.25">
      <c r="B74" s="229" t="s">
        <v>155</v>
      </c>
      <c r="C74" s="239"/>
      <c r="D74" s="220"/>
    </row>
    <row r="75" spans="1:7" x14ac:dyDescent="0.25">
      <c r="D75" s="220"/>
    </row>
    <row r="76" spans="1:7" x14ac:dyDescent="0.25">
      <c r="A76" s="217">
        <v>15</v>
      </c>
      <c r="B76" s="220" t="s">
        <v>156</v>
      </c>
      <c r="C76" t="s">
        <v>304</v>
      </c>
      <c r="D76" s="220"/>
    </row>
    <row r="77" spans="1:7" x14ac:dyDescent="0.25">
      <c r="A77" s="217">
        <v>16</v>
      </c>
      <c r="B77" s="220" t="s">
        <v>157</v>
      </c>
      <c r="C77" t="s">
        <v>303</v>
      </c>
      <c r="D77" s="220"/>
    </row>
    <row r="78" spans="1:7" x14ac:dyDescent="0.25">
      <c r="A78" s="217">
        <v>17</v>
      </c>
      <c r="B78" s="220" t="s">
        <v>158</v>
      </c>
      <c r="C78" s="283">
        <v>100</v>
      </c>
      <c r="D78" s="220"/>
    </row>
    <row r="79" spans="1:7" x14ac:dyDescent="0.25">
      <c r="A79" s="217">
        <v>18</v>
      </c>
      <c r="B79" s="220" t="s">
        <v>159</v>
      </c>
      <c r="C79" s="220" t="s">
        <v>305</v>
      </c>
      <c r="D79" s="247"/>
      <c r="F79" s="234"/>
      <c r="G79" s="234"/>
    </row>
    <row r="80" spans="1:7" x14ac:dyDescent="0.25">
      <c r="A80" s="217">
        <v>19</v>
      </c>
      <c r="B80" s="220" t="s">
        <v>160</v>
      </c>
      <c r="C80" s="220" t="s">
        <v>306</v>
      </c>
      <c r="D80" s="247"/>
      <c r="F80" s="234"/>
      <c r="G80" s="234"/>
    </row>
    <row r="81" spans="1:8" x14ac:dyDescent="0.25">
      <c r="A81" s="217">
        <v>20</v>
      </c>
      <c r="B81" s="220" t="s">
        <v>161</v>
      </c>
      <c r="C81" s="219" t="s">
        <v>306</v>
      </c>
      <c r="D81" s="247"/>
      <c r="F81" s="234"/>
      <c r="G81" s="234"/>
    </row>
    <row r="82" spans="1:8" ht="30" customHeight="1" x14ac:dyDescent="0.25">
      <c r="A82" s="217">
        <v>21</v>
      </c>
      <c r="B82" s="219" t="s">
        <v>162</v>
      </c>
      <c r="C82" s="245" t="s">
        <v>307</v>
      </c>
      <c r="D82" s="247"/>
      <c r="F82" s="234"/>
      <c r="G82" s="234"/>
    </row>
    <row r="83" spans="1:8" s="9" customFormat="1" ht="30" customHeight="1" x14ac:dyDescent="0.25">
      <c r="A83" s="217">
        <v>22</v>
      </c>
      <c r="B83" s="219" t="s">
        <v>163</v>
      </c>
      <c r="C83" s="219" t="s">
        <v>164</v>
      </c>
      <c r="D83" s="250"/>
      <c r="E83" s="221"/>
      <c r="F83" s="254"/>
      <c r="G83" s="254"/>
      <c r="H83" s="221"/>
    </row>
    <row r="84" spans="1:8" s="9" customFormat="1" x14ac:dyDescent="0.25">
      <c r="A84" s="217">
        <v>23</v>
      </c>
      <c r="B84" s="219" t="s">
        <v>165</v>
      </c>
      <c r="C84" t="s">
        <v>308</v>
      </c>
      <c r="D84" s="250"/>
      <c r="E84" s="221"/>
      <c r="F84" s="254"/>
      <c r="G84" s="254"/>
      <c r="H84" s="221"/>
    </row>
    <row r="85" spans="1:8" x14ac:dyDescent="0.25">
      <c r="C85" s="241"/>
      <c r="D85" s="220"/>
    </row>
    <row r="86" spans="1:8" x14ac:dyDescent="0.25">
      <c r="B86" s="229" t="s">
        <v>166</v>
      </c>
      <c r="C86" s="241"/>
      <c r="D86" s="220"/>
    </row>
    <row r="87" spans="1:8" x14ac:dyDescent="0.25">
      <c r="C87" s="241"/>
      <c r="D87" s="220"/>
    </row>
    <row r="88" spans="1:8" x14ac:dyDescent="0.25">
      <c r="A88" s="217">
        <v>24</v>
      </c>
      <c r="B88" s="220" t="s">
        <v>167</v>
      </c>
      <c r="C88" s="219" t="s">
        <v>309</v>
      </c>
      <c r="D88" s="220"/>
    </row>
    <row r="89" spans="1:8" ht="30" x14ac:dyDescent="0.25">
      <c r="A89" s="217">
        <v>25</v>
      </c>
      <c r="B89" s="219" t="s">
        <v>168</v>
      </c>
      <c r="C89" s="219" t="s">
        <v>310</v>
      </c>
      <c r="D89" s="220"/>
    </row>
    <row r="90" spans="1:8" x14ac:dyDescent="0.25">
      <c r="A90" s="217">
        <v>26</v>
      </c>
      <c r="B90" s="219" t="s">
        <v>169</v>
      </c>
      <c r="C90" s="246" t="s">
        <v>311</v>
      </c>
      <c r="D90" s="220"/>
    </row>
    <row r="91" spans="1:8" x14ac:dyDescent="0.25">
      <c r="A91" s="217">
        <v>27</v>
      </c>
      <c r="B91" s="219" t="s">
        <v>170</v>
      </c>
      <c r="C91" s="219" t="s">
        <v>312</v>
      </c>
      <c r="D91" s="220"/>
    </row>
    <row r="92" spans="1:8" ht="30" customHeight="1" x14ac:dyDescent="0.25">
      <c r="A92" s="217">
        <v>28</v>
      </c>
      <c r="B92" s="219" t="s">
        <v>171</v>
      </c>
      <c r="C92" s="219" t="s">
        <v>313</v>
      </c>
      <c r="D92" s="220"/>
    </row>
    <row r="93" spans="1:8" ht="45" customHeight="1" x14ac:dyDescent="0.25">
      <c r="A93" s="217">
        <v>29</v>
      </c>
      <c r="B93" s="219" t="s">
        <v>172</v>
      </c>
      <c r="C93" s="246" t="s">
        <v>314</v>
      </c>
      <c r="D93" s="220"/>
    </row>
    <row r="94" spans="1:8" ht="30" customHeight="1" x14ac:dyDescent="0.25">
      <c r="A94" s="217">
        <v>30</v>
      </c>
      <c r="B94" s="219" t="s">
        <v>173</v>
      </c>
      <c r="C94" s="246" t="s">
        <v>315</v>
      </c>
      <c r="D94" s="220"/>
    </row>
    <row r="95" spans="1:8" x14ac:dyDescent="0.25">
      <c r="B95" s="221"/>
      <c r="C95" s="246"/>
      <c r="D95" s="220"/>
    </row>
    <row r="96" spans="1:8" x14ac:dyDescent="0.25">
      <c r="B96" s="223" t="s">
        <v>174</v>
      </c>
      <c r="C96" s="245"/>
      <c r="D96" s="220"/>
    </row>
    <row r="97" spans="1:5" x14ac:dyDescent="0.25">
      <c r="B97" s="221"/>
      <c r="C97" s="245"/>
      <c r="D97" s="220"/>
    </row>
    <row r="98" spans="1:5" ht="45" customHeight="1" x14ac:dyDescent="0.25">
      <c r="A98" s="217">
        <v>31</v>
      </c>
      <c r="B98" s="219" t="s">
        <v>175</v>
      </c>
      <c r="C98" s="246" t="s">
        <v>316</v>
      </c>
      <c r="D98" s="220"/>
    </row>
    <row r="99" spans="1:5" ht="30" customHeight="1" x14ac:dyDescent="0.25">
      <c r="A99" s="217">
        <v>32</v>
      </c>
      <c r="B99" s="219" t="s">
        <v>176</v>
      </c>
      <c r="C99" s="246" t="s">
        <v>317</v>
      </c>
      <c r="D99" s="220"/>
    </row>
    <row r="100" spans="1:5" ht="60" customHeight="1" x14ac:dyDescent="0.25">
      <c r="A100" s="217">
        <v>33</v>
      </c>
      <c r="B100" s="219" t="s">
        <v>177</v>
      </c>
      <c r="C100" s="242" t="s">
        <v>318</v>
      </c>
      <c r="D100" s="220"/>
    </row>
    <row r="101" spans="1:5" ht="30" customHeight="1" x14ac:dyDescent="0.25">
      <c r="A101" s="217">
        <v>34</v>
      </c>
      <c r="B101" s="219" t="s">
        <v>178</v>
      </c>
      <c r="C101" s="242">
        <v>1</v>
      </c>
      <c r="D101" s="220"/>
    </row>
    <row r="102" spans="1:5" ht="45" customHeight="1" x14ac:dyDescent="0.25">
      <c r="A102" s="217">
        <v>35</v>
      </c>
      <c r="B102" s="219" t="s">
        <v>179</v>
      </c>
      <c r="C102" s="219" t="s">
        <v>319</v>
      </c>
      <c r="D102" s="220"/>
      <c r="E102" s="252"/>
    </row>
    <row r="103" spans="1:5" x14ac:dyDescent="0.25">
      <c r="A103" s="217">
        <v>36</v>
      </c>
      <c r="B103" s="219" t="s">
        <v>180</v>
      </c>
      <c r="C103" s="246">
        <v>0.5</v>
      </c>
      <c r="D103" s="220"/>
      <c r="E103" s="252"/>
    </row>
    <row r="104" spans="1:5" x14ac:dyDescent="0.25">
      <c r="A104" s="217">
        <v>37</v>
      </c>
      <c r="B104" s="219" t="s">
        <v>181</v>
      </c>
      <c r="C104" s="282">
        <v>15</v>
      </c>
      <c r="D104" s="220"/>
    </row>
    <row r="105" spans="1:5" x14ac:dyDescent="0.25">
      <c r="B105" s="221"/>
      <c r="C105" s="245"/>
      <c r="D105" s="220"/>
    </row>
    <row r="106" spans="1:5" x14ac:dyDescent="0.25">
      <c r="B106" s="223" t="s">
        <v>182</v>
      </c>
      <c r="C106" s="247"/>
      <c r="D106" s="220"/>
    </row>
    <row r="107" spans="1:5" x14ac:dyDescent="0.25">
      <c r="B107" s="221"/>
      <c r="C107" s="247"/>
      <c r="D107" s="220"/>
    </row>
    <row r="108" spans="1:5" x14ac:dyDescent="0.25">
      <c r="A108" s="217">
        <v>38</v>
      </c>
      <c r="B108" s="230" t="s">
        <v>183</v>
      </c>
      <c r="C108" s="219"/>
      <c r="D108" s="220"/>
    </row>
    <row r="109" spans="1:5" x14ac:dyDescent="0.25">
      <c r="B109" s="219"/>
      <c r="C109" s="219"/>
      <c r="D109" s="220"/>
    </row>
    <row r="110" spans="1:5" ht="90" x14ac:dyDescent="0.25">
      <c r="B110" s="219" t="s">
        <v>184</v>
      </c>
      <c r="C110" s="284" t="s">
        <v>320</v>
      </c>
      <c r="D110" s="220"/>
    </row>
    <row r="111" spans="1:5" x14ac:dyDescent="0.25">
      <c r="C111" s="220"/>
      <c r="D111" s="220"/>
    </row>
    <row r="112" spans="1:5" x14ac:dyDescent="0.25">
      <c r="A112" s="217">
        <v>39</v>
      </c>
      <c r="B112" s="230" t="s">
        <v>185</v>
      </c>
      <c r="C112" s="220"/>
      <c r="D112" s="220"/>
    </row>
    <row r="113" spans="2:3" x14ac:dyDescent="0.25">
      <c r="B113" s="219"/>
    </row>
    <row r="114" spans="2:3" ht="45" customHeight="1" x14ac:dyDescent="0.25">
      <c r="B114" s="219" t="s">
        <v>186</v>
      </c>
      <c r="C114" s="9" t="s">
        <v>321</v>
      </c>
    </row>
    <row r="115" spans="2:3" x14ac:dyDescent="0.25">
      <c r="B115" s="221"/>
      <c r="C115" s="248"/>
    </row>
    <row r="116" spans="2:3" x14ac:dyDescent="0.25">
      <c r="B116" s="221"/>
    </row>
    <row r="117" spans="2:3" x14ac:dyDescent="0.25">
      <c r="B117" s="221"/>
      <c r="C117" s="248"/>
    </row>
    <row r="118" spans="2:3" x14ac:dyDescent="0.25">
      <c r="B118" s="221"/>
    </row>
    <row r="119" spans="2:3" x14ac:dyDescent="0.25">
      <c r="B119" s="221"/>
    </row>
    <row r="120" spans="2:3" x14ac:dyDescent="0.25">
      <c r="B120" s="221"/>
    </row>
    <row r="121" spans="2:3" x14ac:dyDescent="0.25">
      <c r="B121" s="221"/>
      <c r="C121" s="248"/>
    </row>
    <row r="122" spans="2:3" x14ac:dyDescent="0.25">
      <c r="B122" s="221"/>
    </row>
    <row r="123" spans="2:3" x14ac:dyDescent="0.25">
      <c r="B123" s="221"/>
      <c r="C123" s="248"/>
    </row>
    <row r="124" spans="2:3" x14ac:dyDescent="0.25">
      <c r="B124" s="221"/>
    </row>
    <row r="126" spans="2:3" x14ac:dyDescent="0.25">
      <c r="B126" s="221"/>
    </row>
    <row r="127" spans="2:3" x14ac:dyDescent="0.25">
      <c r="B127" s="221"/>
    </row>
    <row r="129" spans="2:2" x14ac:dyDescent="0.25">
      <c r="B129" s="221"/>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80"/>
  <sheetViews>
    <sheetView zoomScaleNormal="100" workbookViewId="0">
      <selection activeCell="K10" sqref="K10"/>
    </sheetView>
  </sheetViews>
  <sheetFormatPr defaultRowHeight="15" outlineLevelRow="1" outlineLevelCol="1" x14ac:dyDescent="0.25"/>
  <cols>
    <col min="1" max="1" width="1.140625" customWidth="1"/>
    <col min="2" max="2" width="11.28515625" customWidth="1"/>
    <col min="3" max="3" width="12.28515625" bestFit="1" customWidth="1"/>
    <col min="4" max="4" width="8.85546875" customWidth="1"/>
    <col min="5" max="5" width="10.85546875" customWidth="1"/>
    <col min="6" max="6" width="8.28515625" bestFit="1" customWidth="1"/>
    <col min="7" max="7" width="7.42578125" customWidth="1"/>
    <col min="8" max="8" width="8.42578125" bestFit="1" customWidth="1"/>
    <col min="9" max="9" width="8.140625" bestFit="1" customWidth="1"/>
    <col min="10" max="10" width="10.28515625" customWidth="1"/>
    <col min="11" max="11" width="8.140625" bestFit="1" customWidth="1"/>
    <col min="12" max="12" width="8.5703125" bestFit="1" customWidth="1"/>
    <col min="13" max="13" width="7.5703125" customWidth="1"/>
    <col min="14" max="14" width="8.5703125" bestFit="1" customWidth="1"/>
    <col min="15" max="15" width="10.140625" customWidth="1"/>
    <col min="16" max="16" width="10.85546875" customWidth="1"/>
    <col min="17" max="17" width="9.85546875" customWidth="1"/>
    <col min="18" max="18" width="9.140625" bestFit="1" customWidth="1"/>
    <col min="19" max="19" width="9.5703125" customWidth="1"/>
    <col min="20" max="20" width="9.28515625" bestFit="1" customWidth="1"/>
    <col min="22" max="23" width="9.28515625" bestFit="1" customWidth="1"/>
    <col min="24" max="24" width="3" customWidth="1"/>
    <col min="25" max="25" width="21.5703125" customWidth="1" outlineLevel="1"/>
    <col min="26" max="41" width="8.85546875" customWidth="1" outlineLevel="1"/>
  </cols>
  <sheetData>
    <row r="1" spans="1:50" ht="3.6" customHeight="1" x14ac:dyDescent="0.25">
      <c r="P1" s="72"/>
      <c r="Q1" s="72"/>
    </row>
    <row r="2" spans="1:50" x14ac:dyDescent="0.25">
      <c r="B2" s="73" t="s">
        <v>187</v>
      </c>
      <c r="C2" s="74" t="s">
        <v>106</v>
      </c>
      <c r="E2" s="277" t="s">
        <v>188</v>
      </c>
      <c r="F2" s="278"/>
      <c r="G2" s="75">
        <v>50625</v>
      </c>
      <c r="I2" s="76" t="s">
        <v>28</v>
      </c>
      <c r="J2" s="77" t="s">
        <v>189</v>
      </c>
      <c r="K2" s="78">
        <v>190</v>
      </c>
      <c r="L2" s="77" t="s">
        <v>190</v>
      </c>
      <c r="M2" s="79">
        <v>130</v>
      </c>
      <c r="N2" s="77" t="s">
        <v>191</v>
      </c>
      <c r="O2" s="80">
        <f>IF(Q4="Yes",K2-(M2*(1+Q5+Q6)),K2-M2)</f>
        <v>35.300000000000011</v>
      </c>
      <c r="P2" s="81">
        <f>O2/K2</f>
        <v>0.18578947368421059</v>
      </c>
      <c r="Q2" s="82" t="s">
        <v>192</v>
      </c>
      <c r="R2" s="83">
        <v>40</v>
      </c>
      <c r="Y2" s="84" t="s">
        <v>193</v>
      </c>
      <c r="AP2" t="s">
        <v>194</v>
      </c>
      <c r="AX2" t="s">
        <v>110</v>
      </c>
    </row>
    <row r="3" spans="1:50" ht="18" customHeight="1" x14ac:dyDescent="0.25">
      <c r="B3" s="85"/>
      <c r="C3" s="86"/>
      <c r="L3" s="87"/>
      <c r="AX3" t="s">
        <v>195</v>
      </c>
    </row>
    <row r="4" spans="1:50" ht="23.25" customHeight="1" x14ac:dyDescent="0.25">
      <c r="B4" s="88" t="s">
        <v>196</v>
      </c>
      <c r="C4" s="88" t="s">
        <v>74</v>
      </c>
      <c r="D4" s="89" t="s">
        <v>197</v>
      </c>
      <c r="E4" s="89" t="s">
        <v>198</v>
      </c>
      <c r="F4" s="89" t="s">
        <v>199</v>
      </c>
      <c r="G4" s="89" t="s">
        <v>200</v>
      </c>
      <c r="H4" s="90" t="s">
        <v>68</v>
      </c>
      <c r="I4" s="90" t="s">
        <v>63</v>
      </c>
      <c r="J4" s="90" t="s">
        <v>66</v>
      </c>
      <c r="K4" s="91" t="s">
        <v>201</v>
      </c>
      <c r="L4" s="91" t="s">
        <v>202</v>
      </c>
      <c r="M4" s="91" t="s">
        <v>203</v>
      </c>
      <c r="N4" s="90" t="s">
        <v>204</v>
      </c>
      <c r="P4" s="268" t="s">
        <v>205</v>
      </c>
      <c r="Q4" s="267" t="s">
        <v>110</v>
      </c>
      <c r="R4" s="265"/>
      <c r="S4" s="268" t="s">
        <v>206</v>
      </c>
      <c r="T4" s="271">
        <v>395</v>
      </c>
      <c r="Y4" s="92" t="s">
        <v>207</v>
      </c>
      <c r="Z4" s="93" t="s">
        <v>208</v>
      </c>
    </row>
    <row r="5" spans="1:50" ht="14.1" customHeight="1" x14ac:dyDescent="0.25">
      <c r="B5" s="94" t="s">
        <v>116</v>
      </c>
      <c r="C5" s="95" t="s">
        <v>209</v>
      </c>
      <c r="D5" s="96"/>
      <c r="E5" s="97">
        <v>10000</v>
      </c>
      <c r="F5" s="98">
        <v>1</v>
      </c>
      <c r="G5" s="99">
        <v>0</v>
      </c>
      <c r="H5" s="201">
        <v>1</v>
      </c>
      <c r="I5" s="201"/>
      <c r="J5" s="201"/>
      <c r="K5" s="97"/>
      <c r="L5" s="97"/>
      <c r="M5" s="97"/>
      <c r="N5" s="100">
        <f t="shared" ref="N5:N21" si="0">IF(D5&gt;0,1,0)</f>
        <v>0</v>
      </c>
      <c r="P5" s="269" t="s">
        <v>210</v>
      </c>
      <c r="Q5" s="270">
        <v>0.17</v>
      </c>
      <c r="R5" s="266"/>
      <c r="Y5" s="92" t="s">
        <v>211</v>
      </c>
      <c r="Z5" s="101">
        <v>0</v>
      </c>
      <c r="AA5" s="102" t="s">
        <v>212</v>
      </c>
    </row>
    <row r="6" spans="1:50" ht="14.1" customHeight="1" x14ac:dyDescent="0.25">
      <c r="B6" s="94" t="s">
        <v>213</v>
      </c>
      <c r="C6" s="95"/>
      <c r="D6" s="96">
        <f>E6*12</f>
        <v>0</v>
      </c>
      <c r="E6" s="97"/>
      <c r="F6" s="98"/>
      <c r="G6" s="99"/>
      <c r="H6" s="201"/>
      <c r="I6" s="201"/>
      <c r="J6" s="201"/>
      <c r="K6" s="97"/>
      <c r="L6" s="97"/>
      <c r="M6" s="97"/>
      <c r="N6" s="100">
        <f t="shared" si="0"/>
        <v>0</v>
      </c>
      <c r="P6" s="269" t="s">
        <v>214</v>
      </c>
      <c r="Q6" s="270">
        <v>0.02</v>
      </c>
      <c r="S6" s="269" t="s">
        <v>215</v>
      </c>
      <c r="T6" s="272">
        <v>0.05</v>
      </c>
      <c r="Y6" s="92" t="s">
        <v>216</v>
      </c>
      <c r="Z6" s="103">
        <v>46178</v>
      </c>
    </row>
    <row r="7" spans="1:50" ht="14.1" customHeight="1" outlineLevel="1" x14ac:dyDescent="0.25">
      <c r="B7" s="94" t="s">
        <v>217</v>
      </c>
      <c r="C7" s="95"/>
      <c r="D7" s="96">
        <f>E7*12</f>
        <v>0</v>
      </c>
      <c r="E7" s="97"/>
      <c r="F7" s="98"/>
      <c r="G7" s="99"/>
      <c r="H7" s="201"/>
      <c r="I7" s="201"/>
      <c r="J7" s="201"/>
      <c r="K7" s="97"/>
      <c r="L7" s="97"/>
      <c r="M7" s="97"/>
      <c r="N7" s="100">
        <f t="shared" si="0"/>
        <v>0</v>
      </c>
      <c r="Y7" s="104"/>
      <c r="Z7" s="105"/>
    </row>
    <row r="8" spans="1:50" ht="14.1" customHeight="1" outlineLevel="1" x14ac:dyDescent="0.25">
      <c r="B8" s="94" t="s">
        <v>218</v>
      </c>
      <c r="C8" s="95"/>
      <c r="D8" s="96">
        <f>E8*12</f>
        <v>0</v>
      </c>
      <c r="E8" s="97"/>
      <c r="F8" s="98"/>
      <c r="G8" s="99"/>
      <c r="H8" s="201"/>
      <c r="I8" s="201"/>
      <c r="J8" s="201"/>
      <c r="K8" s="97"/>
      <c r="L8" s="97"/>
      <c r="M8" s="97"/>
      <c r="N8" s="100">
        <f t="shared" si="0"/>
        <v>0</v>
      </c>
      <c r="Y8" s="106"/>
      <c r="Z8" s="107"/>
    </row>
    <row r="9" spans="1:50" ht="14.1" customHeight="1" x14ac:dyDescent="0.25">
      <c r="B9" s="108" t="s">
        <v>219</v>
      </c>
      <c r="C9" s="200"/>
      <c r="D9" s="201">
        <v>0</v>
      </c>
      <c r="F9" s="202"/>
      <c r="G9" s="109">
        <v>0</v>
      </c>
      <c r="H9" s="201"/>
      <c r="I9" s="201"/>
      <c r="J9" s="201"/>
      <c r="K9" s="97"/>
      <c r="L9" s="97"/>
      <c r="M9" s="97"/>
      <c r="N9" s="100">
        <f t="shared" si="0"/>
        <v>0</v>
      </c>
      <c r="P9" s="110" t="s">
        <v>220</v>
      </c>
      <c r="Q9" s="88"/>
      <c r="R9" s="88"/>
      <c r="S9" s="110" t="s">
        <v>221</v>
      </c>
      <c r="T9" s="111"/>
      <c r="Y9" s="112" t="s">
        <v>222</v>
      </c>
      <c r="Z9" s="113">
        <v>0.2</v>
      </c>
    </row>
    <row r="10" spans="1:50" ht="14.1" customHeight="1" x14ac:dyDescent="0.25">
      <c r="B10" s="108" t="s">
        <v>223</v>
      </c>
      <c r="C10" s="200"/>
      <c r="D10" s="201"/>
      <c r="F10" s="202"/>
      <c r="G10" s="109"/>
      <c r="H10" s="201"/>
      <c r="I10" s="201"/>
      <c r="J10" s="201"/>
      <c r="K10" s="97"/>
      <c r="L10" s="97"/>
      <c r="M10" s="97"/>
      <c r="N10" s="100">
        <f t="shared" si="0"/>
        <v>0</v>
      </c>
      <c r="P10" s="70" t="s">
        <v>224</v>
      </c>
      <c r="Q10" s="114">
        <v>0</v>
      </c>
      <c r="R10" s="88"/>
      <c r="S10" t="s">
        <v>225</v>
      </c>
      <c r="T10" s="115">
        <v>500</v>
      </c>
      <c r="Y10" s="106"/>
      <c r="Z10" s="116" t="s">
        <v>140</v>
      </c>
      <c r="AA10" s="116" t="s">
        <v>141</v>
      </c>
      <c r="AB10" s="116" t="s">
        <v>142</v>
      </c>
      <c r="AC10" s="116" t="s">
        <v>94</v>
      </c>
      <c r="AD10" s="116" t="s">
        <v>95</v>
      </c>
      <c r="AE10" s="116" t="s">
        <v>96</v>
      </c>
      <c r="AF10" s="116" t="s">
        <v>97</v>
      </c>
      <c r="AG10" s="116" t="s">
        <v>143</v>
      </c>
      <c r="AH10" s="116" t="s">
        <v>144</v>
      </c>
      <c r="AI10" s="116" t="s">
        <v>145</v>
      </c>
      <c r="AJ10" s="116" t="s">
        <v>98</v>
      </c>
      <c r="AK10" s="116" t="s">
        <v>99</v>
      </c>
      <c r="AL10" s="116" t="s">
        <v>226</v>
      </c>
      <c r="AM10" s="116" t="s">
        <v>227</v>
      </c>
      <c r="AN10" s="116" t="s">
        <v>228</v>
      </c>
      <c r="AO10" s="116" t="s">
        <v>229</v>
      </c>
    </row>
    <row r="11" spans="1:50" ht="14.1" customHeight="1" x14ac:dyDescent="0.25">
      <c r="B11" s="108" t="s">
        <v>230</v>
      </c>
      <c r="C11" s="200"/>
      <c r="D11" s="201"/>
      <c r="F11" s="202"/>
      <c r="G11" s="109"/>
      <c r="H11" s="201"/>
      <c r="I11" s="201"/>
      <c r="J11" s="201"/>
      <c r="K11" s="97"/>
      <c r="L11" s="97"/>
      <c r="M11" s="97"/>
      <c r="N11" s="100">
        <f t="shared" si="0"/>
        <v>0</v>
      </c>
      <c r="P11" s="70" t="s">
        <v>231</v>
      </c>
      <c r="Q11" s="114">
        <v>0.55000000000000004</v>
      </c>
      <c r="R11" s="88"/>
      <c r="S11" t="s">
        <v>232</v>
      </c>
      <c r="T11" s="115">
        <v>500</v>
      </c>
      <c r="Y11" s="117" t="s">
        <v>233</v>
      </c>
      <c r="Z11" s="118"/>
      <c r="AA11" s="118"/>
      <c r="AB11" s="118">
        <v>0</v>
      </c>
      <c r="AC11" s="118"/>
      <c r="AD11" s="118"/>
      <c r="AE11" s="118"/>
      <c r="AF11" s="118"/>
      <c r="AG11" s="118"/>
      <c r="AH11" s="118"/>
      <c r="AI11" s="118"/>
      <c r="AJ11" s="118"/>
      <c r="AK11" s="118"/>
      <c r="AL11" s="118"/>
      <c r="AM11" s="118"/>
      <c r="AN11" s="118"/>
      <c r="AO11" s="118"/>
    </row>
    <row r="12" spans="1:50" ht="14.1" customHeight="1" x14ac:dyDescent="0.25">
      <c r="B12" s="108" t="s">
        <v>234</v>
      </c>
      <c r="C12" s="200"/>
      <c r="D12" s="201"/>
      <c r="F12" s="202"/>
      <c r="G12" s="109"/>
      <c r="H12" s="201"/>
      <c r="I12" s="201"/>
      <c r="J12" s="201"/>
      <c r="K12" s="97"/>
      <c r="L12" s="97"/>
      <c r="M12" s="97"/>
      <c r="N12" s="100">
        <f t="shared" si="0"/>
        <v>0</v>
      </c>
      <c r="P12" s="70" t="s">
        <v>235</v>
      </c>
      <c r="Q12" s="114">
        <v>0.3</v>
      </c>
      <c r="R12" s="88"/>
      <c r="Y12" s="117" t="s">
        <v>236</v>
      </c>
      <c r="Z12" s="120"/>
      <c r="AA12" s="121"/>
    </row>
    <row r="13" spans="1:50" ht="14.1" customHeight="1" x14ac:dyDescent="0.25">
      <c r="B13" s="108" t="s">
        <v>237</v>
      </c>
      <c r="C13" s="200"/>
      <c r="D13" s="201"/>
      <c r="F13" s="202"/>
      <c r="G13" s="109"/>
      <c r="H13" s="201"/>
      <c r="I13" s="201"/>
      <c r="J13" s="201"/>
      <c r="K13" s="97"/>
      <c r="L13" s="97"/>
      <c r="M13" s="97"/>
      <c r="N13" s="100">
        <f t="shared" si="0"/>
        <v>0</v>
      </c>
      <c r="P13" s="70" t="s">
        <v>238</v>
      </c>
      <c r="Q13" s="114">
        <v>0.1</v>
      </c>
      <c r="R13" s="88"/>
    </row>
    <row r="14" spans="1:50" ht="14.1" customHeight="1" x14ac:dyDescent="0.25">
      <c r="B14" s="108" t="s">
        <v>239</v>
      </c>
      <c r="C14" s="200"/>
      <c r="D14" s="201"/>
      <c r="F14" s="202"/>
      <c r="G14" s="109"/>
      <c r="H14" s="201"/>
      <c r="I14" s="201"/>
      <c r="J14" s="201"/>
      <c r="K14" s="97"/>
      <c r="L14" s="97"/>
      <c r="M14" s="97"/>
      <c r="N14" s="100">
        <f t="shared" si="0"/>
        <v>0</v>
      </c>
      <c r="P14" s="70" t="s">
        <v>240</v>
      </c>
      <c r="Q14" s="114">
        <v>0.05</v>
      </c>
      <c r="R14" s="71">
        <f>SUM(Q10:Q14)</f>
        <v>1</v>
      </c>
      <c r="S14" s="70" t="str">
        <f>IF(R14=1,"ok","Error must total 100%")</f>
        <v>ok</v>
      </c>
      <c r="U14" s="100"/>
      <c r="V14" s="100"/>
      <c r="W14" s="100"/>
      <c r="X14" s="100"/>
    </row>
    <row r="15" spans="1:50" outlineLevel="1" x14ac:dyDescent="0.25">
      <c r="A15" s="100"/>
      <c r="B15" s="108" t="s">
        <v>241</v>
      </c>
      <c r="C15" s="95"/>
      <c r="D15" s="97"/>
      <c r="F15" s="98"/>
      <c r="G15" s="109"/>
      <c r="H15" s="97"/>
      <c r="I15" s="97"/>
      <c r="J15" s="97"/>
      <c r="K15" s="97"/>
      <c r="L15" s="97"/>
      <c r="M15" s="97"/>
      <c r="N15" s="100">
        <f t="shared" si="0"/>
        <v>0</v>
      </c>
      <c r="O15" s="100"/>
      <c r="P15" s="100"/>
      <c r="Q15" s="100"/>
      <c r="R15" s="100"/>
      <c r="S15" s="100"/>
      <c r="T15" s="100"/>
      <c r="U15" s="100"/>
      <c r="V15" s="100"/>
      <c r="W15" s="100"/>
      <c r="X15" s="100"/>
      <c r="Y15" s="100"/>
    </row>
    <row r="16" spans="1:50" outlineLevel="1" x14ac:dyDescent="0.25">
      <c r="A16" s="100"/>
      <c r="B16" s="108" t="s">
        <v>242</v>
      </c>
      <c r="C16" s="95"/>
      <c r="D16" s="97"/>
      <c r="F16" s="98"/>
      <c r="G16" s="109"/>
      <c r="H16" s="97">
        <v>0</v>
      </c>
      <c r="I16" s="97">
        <v>0</v>
      </c>
      <c r="J16" s="97">
        <v>0</v>
      </c>
      <c r="K16" s="97">
        <v>0</v>
      </c>
      <c r="L16" s="97">
        <v>0</v>
      </c>
      <c r="M16" s="97">
        <v>0</v>
      </c>
      <c r="N16" s="100">
        <f t="shared" si="0"/>
        <v>0</v>
      </c>
      <c r="O16" s="100"/>
      <c r="P16" s="100"/>
      <c r="Q16" s="100"/>
      <c r="R16" s="100"/>
      <c r="S16" s="100"/>
      <c r="T16" s="100"/>
      <c r="U16" s="100"/>
      <c r="V16" s="100"/>
      <c r="W16" s="100"/>
      <c r="X16" s="100"/>
      <c r="Y16" s="100"/>
    </row>
    <row r="17" spans="1:39" outlineLevel="1" x14ac:dyDescent="0.25">
      <c r="A17" s="100"/>
      <c r="B17" s="108" t="s">
        <v>243</v>
      </c>
      <c r="C17" s="95"/>
      <c r="D17" s="97"/>
      <c r="F17" s="98"/>
      <c r="G17" s="109"/>
      <c r="H17" s="97">
        <v>0</v>
      </c>
      <c r="I17" s="97">
        <v>0</v>
      </c>
      <c r="J17" s="97">
        <v>0</v>
      </c>
      <c r="K17" s="97">
        <v>0</v>
      </c>
      <c r="L17" s="97">
        <v>0</v>
      </c>
      <c r="M17" s="97">
        <v>0</v>
      </c>
      <c r="N17" s="100">
        <f t="shared" si="0"/>
        <v>0</v>
      </c>
      <c r="O17" s="100"/>
      <c r="P17" s="269" t="s">
        <v>244</v>
      </c>
      <c r="Q17" s="274">
        <v>0</v>
      </c>
      <c r="R17" s="100"/>
      <c r="S17" s="100"/>
      <c r="T17" s="100"/>
      <c r="U17" s="100"/>
      <c r="V17" s="100"/>
      <c r="W17" s="100"/>
      <c r="X17" s="100"/>
      <c r="Y17" s="100"/>
    </row>
    <row r="18" spans="1:39" outlineLevel="1" x14ac:dyDescent="0.25">
      <c r="A18" s="100"/>
      <c r="B18" s="108" t="s">
        <v>245</v>
      </c>
      <c r="C18" s="95"/>
      <c r="D18" s="97"/>
      <c r="F18" s="98"/>
      <c r="G18" s="109"/>
      <c r="H18" s="97">
        <v>0</v>
      </c>
      <c r="I18" s="97">
        <v>0</v>
      </c>
      <c r="J18" s="97">
        <v>0</v>
      </c>
      <c r="K18" s="97">
        <v>0</v>
      </c>
      <c r="L18" s="97">
        <v>0</v>
      </c>
      <c r="M18" s="97">
        <v>0</v>
      </c>
      <c r="N18" s="100">
        <f t="shared" si="0"/>
        <v>0</v>
      </c>
      <c r="O18" s="100"/>
      <c r="P18" s="269" t="s">
        <v>246</v>
      </c>
      <c r="Q18" s="273">
        <v>5000</v>
      </c>
      <c r="R18" s="100"/>
      <c r="S18" s="100"/>
      <c r="T18" s="100"/>
      <c r="U18" s="100"/>
      <c r="V18" s="100"/>
      <c r="W18" s="100"/>
      <c r="X18" s="100"/>
      <c r="Y18" s="100"/>
    </row>
    <row r="19" spans="1:39" outlineLevel="1" x14ac:dyDescent="0.25">
      <c r="A19" s="100"/>
      <c r="B19" s="108" t="s">
        <v>247</v>
      </c>
      <c r="C19" s="95"/>
      <c r="D19" s="97"/>
      <c r="F19" s="98"/>
      <c r="G19" s="109"/>
      <c r="H19" s="97">
        <v>0</v>
      </c>
      <c r="I19" s="97">
        <v>0</v>
      </c>
      <c r="J19" s="97">
        <v>0</v>
      </c>
      <c r="K19" s="97">
        <v>0</v>
      </c>
      <c r="L19" s="97">
        <v>0</v>
      </c>
      <c r="M19" s="97">
        <v>0</v>
      </c>
      <c r="N19" s="100">
        <f t="shared" si="0"/>
        <v>0</v>
      </c>
      <c r="O19" s="100"/>
      <c r="P19" s="100"/>
      <c r="Q19" s="100"/>
      <c r="R19" s="100"/>
      <c r="S19" s="100"/>
      <c r="T19" s="100"/>
      <c r="U19" s="100"/>
      <c r="V19" s="100"/>
      <c r="W19" s="100"/>
      <c r="X19" s="100"/>
      <c r="Y19" s="100"/>
    </row>
    <row r="20" spans="1:39" ht="18.600000000000001" customHeight="1" outlineLevel="1" x14ac:dyDescent="0.25">
      <c r="A20" s="100"/>
      <c r="B20" s="108" t="s">
        <v>248</v>
      </c>
      <c r="C20" s="95"/>
      <c r="D20" s="97"/>
      <c r="F20" s="98"/>
      <c r="G20" s="109"/>
      <c r="H20" s="97">
        <v>0</v>
      </c>
      <c r="I20" s="97">
        <v>0</v>
      </c>
      <c r="J20" s="97">
        <v>0</v>
      </c>
      <c r="K20" s="97">
        <v>0</v>
      </c>
      <c r="L20" s="97">
        <v>0</v>
      </c>
      <c r="M20" s="97">
        <v>0</v>
      </c>
      <c r="N20" s="100">
        <f t="shared" si="0"/>
        <v>0</v>
      </c>
      <c r="O20" s="100"/>
      <c r="P20" s="100"/>
      <c r="Q20" s="100"/>
      <c r="R20" s="100"/>
      <c r="S20" s="100"/>
      <c r="T20" s="100"/>
      <c r="U20" s="100"/>
      <c r="V20" s="100"/>
      <c r="W20" s="100"/>
      <c r="X20" s="100"/>
      <c r="Y20" s="100"/>
    </row>
    <row r="21" spans="1:39" ht="22.35" customHeight="1" outlineLevel="1" x14ac:dyDescent="0.25">
      <c r="A21" s="122"/>
      <c r="B21" s="108" t="s">
        <v>249</v>
      </c>
      <c r="C21" s="95"/>
      <c r="D21" s="97"/>
      <c r="F21" s="98"/>
      <c r="G21" s="109"/>
      <c r="H21" s="97">
        <v>0</v>
      </c>
      <c r="I21" s="97">
        <v>0</v>
      </c>
      <c r="J21" s="97">
        <v>0</v>
      </c>
      <c r="K21" s="97">
        <v>0</v>
      </c>
      <c r="L21" s="97">
        <v>0</v>
      </c>
      <c r="M21" s="97">
        <v>0</v>
      </c>
      <c r="N21" s="100">
        <f t="shared" si="0"/>
        <v>0</v>
      </c>
      <c r="O21" s="85"/>
      <c r="P21" s="85"/>
      <c r="Q21" s="85"/>
      <c r="R21" s="85"/>
      <c r="S21" s="85"/>
      <c r="T21" s="100"/>
      <c r="U21" s="100"/>
      <c r="V21" s="100"/>
      <c r="W21" s="100"/>
      <c r="X21" s="100"/>
      <c r="Y21" s="100"/>
    </row>
    <row r="22" spans="1:39" ht="22.9" customHeight="1" x14ac:dyDescent="0.25">
      <c r="A22" s="122"/>
      <c r="B22" s="123" t="s">
        <v>250</v>
      </c>
      <c r="C22" s="124"/>
      <c r="D22" s="125"/>
      <c r="E22" s="99"/>
      <c r="F22" s="124"/>
      <c r="G22" s="124"/>
      <c r="H22" s="124"/>
      <c r="I22" s="124"/>
      <c r="O22" s="111"/>
      <c r="P22" s="111"/>
      <c r="Q22" s="111"/>
      <c r="R22" s="111"/>
      <c r="S22" s="111"/>
      <c r="Y22" s="100" t="s">
        <v>251</v>
      </c>
    </row>
    <row r="23" spans="1:39" ht="23.45" customHeight="1" x14ac:dyDescent="0.25">
      <c r="A23" s="111"/>
      <c r="E23" s="126" t="s">
        <v>140</v>
      </c>
      <c r="F23" s="126" t="s">
        <v>141</v>
      </c>
      <c r="G23" s="126" t="s">
        <v>142</v>
      </c>
      <c r="H23" s="126" t="s">
        <v>94</v>
      </c>
      <c r="I23" s="126" t="s">
        <v>95</v>
      </c>
      <c r="J23" s="126" t="s">
        <v>96</v>
      </c>
      <c r="K23" s="126" t="s">
        <v>97</v>
      </c>
      <c r="L23" s="126" t="s">
        <v>143</v>
      </c>
      <c r="M23" s="126" t="s">
        <v>144</v>
      </c>
      <c r="N23" s="126" t="s">
        <v>145</v>
      </c>
      <c r="O23" s="126" t="s">
        <v>98</v>
      </c>
      <c r="P23" s="126" t="s">
        <v>99</v>
      </c>
      <c r="Q23" s="127" t="s">
        <v>252</v>
      </c>
      <c r="R23" s="127" t="s">
        <v>227</v>
      </c>
      <c r="S23" s="127" t="s">
        <v>228</v>
      </c>
      <c r="T23" s="127" t="s">
        <v>229</v>
      </c>
      <c r="U23" s="127" t="s">
        <v>253</v>
      </c>
      <c r="V23" s="127" t="s">
        <v>254</v>
      </c>
      <c r="W23" s="127" t="s">
        <v>255</v>
      </c>
      <c r="X23" s="128"/>
      <c r="Z23" s="90" t="str">
        <f t="shared" ref="Z23:AF23" si="1">H4</f>
        <v>LinkedIn</v>
      </c>
      <c r="AA23" s="90" t="str">
        <f t="shared" si="1"/>
        <v>CVL</v>
      </c>
      <c r="AB23" s="90" t="str">
        <f t="shared" si="1"/>
        <v>Reed</v>
      </c>
      <c r="AC23" s="90" t="str">
        <f t="shared" si="1"/>
        <v>Other 1</v>
      </c>
      <c r="AD23" s="90" t="str">
        <f t="shared" si="1"/>
        <v>Other 2</v>
      </c>
      <c r="AE23" s="90" t="str">
        <f t="shared" si="1"/>
        <v>Other 3</v>
      </c>
      <c r="AF23" s="90" t="str">
        <f t="shared" si="1"/>
        <v>CRM</v>
      </c>
    </row>
    <row r="24" spans="1:39" s="130" customFormat="1" ht="16.899999999999999" customHeight="1" x14ac:dyDescent="0.15">
      <c r="A24" s="129"/>
      <c r="D24" s="131" t="s">
        <v>256</v>
      </c>
      <c r="E24" s="218">
        <v>4</v>
      </c>
      <c r="F24" s="218">
        <v>4</v>
      </c>
      <c r="G24" s="218">
        <v>5</v>
      </c>
      <c r="H24" s="218">
        <v>4</v>
      </c>
      <c r="I24" s="218">
        <v>4</v>
      </c>
      <c r="J24" s="218">
        <v>5</v>
      </c>
      <c r="K24" s="218">
        <v>4</v>
      </c>
      <c r="L24" s="218">
        <v>4</v>
      </c>
      <c r="M24" s="218">
        <v>5</v>
      </c>
      <c r="N24" s="218">
        <v>4</v>
      </c>
      <c r="O24" s="218">
        <v>4</v>
      </c>
      <c r="P24" s="218">
        <v>5</v>
      </c>
      <c r="Q24" s="218"/>
      <c r="R24" s="218">
        <v>52</v>
      </c>
      <c r="S24" s="218">
        <v>52</v>
      </c>
      <c r="T24" s="218">
        <v>52</v>
      </c>
    </row>
    <row r="25" spans="1:39" ht="15" customHeight="1" x14ac:dyDescent="0.25">
      <c r="A25" s="111"/>
      <c r="B25" s="132" t="s">
        <v>257</v>
      </c>
      <c r="D25" s="133" t="s">
        <v>258</v>
      </c>
      <c r="E25" s="134"/>
      <c r="F25" s="135"/>
      <c r="G25" s="135"/>
      <c r="H25" s="135"/>
      <c r="I25" s="135"/>
      <c r="J25" s="135"/>
      <c r="K25" s="135"/>
      <c r="L25" s="135"/>
      <c r="M25" s="135"/>
      <c r="N25" s="135"/>
      <c r="O25" s="135"/>
      <c r="P25" s="135"/>
      <c r="Q25" s="135"/>
      <c r="R25" s="135"/>
      <c r="S25" s="135"/>
      <c r="T25" s="135"/>
      <c r="Y25" t="s">
        <v>259</v>
      </c>
      <c r="Z25" s="120">
        <v>312.5</v>
      </c>
      <c r="AA25" s="120">
        <v>199</v>
      </c>
      <c r="AB25" s="120">
        <v>150</v>
      </c>
      <c r="AC25" s="120"/>
      <c r="AD25" s="120"/>
      <c r="AE25" s="120"/>
      <c r="AF25" s="120">
        <v>85</v>
      </c>
    </row>
    <row r="26" spans="1:39" x14ac:dyDescent="0.25">
      <c r="A26" s="111"/>
      <c r="B26" s="136" t="s">
        <v>260</v>
      </c>
      <c r="C26" s="203"/>
      <c r="D26" s="137">
        <f t="shared" ref="D26:D33" si="2">$G$2</f>
        <v>50625</v>
      </c>
      <c r="E26" s="256"/>
      <c r="F26" s="257"/>
      <c r="G26" s="257"/>
      <c r="H26" s="257">
        <v>1</v>
      </c>
      <c r="I26" s="257"/>
      <c r="J26" s="257">
        <v>1</v>
      </c>
      <c r="K26" s="257"/>
      <c r="L26" s="257">
        <v>1</v>
      </c>
      <c r="M26" s="257"/>
      <c r="N26" s="257">
        <v>1</v>
      </c>
      <c r="O26" s="257"/>
      <c r="P26" s="257">
        <v>1</v>
      </c>
      <c r="Q26" s="140">
        <f t="shared" ref="Q26:Q33" si="3">SUM(E26:P26)*$D$26</f>
        <v>253125</v>
      </c>
      <c r="R26" s="138"/>
      <c r="S26" s="139"/>
      <c r="T26" s="139"/>
      <c r="U26" s="141">
        <f t="shared" ref="U26:W33" si="4">R26*$D$26</f>
        <v>0</v>
      </c>
      <c r="V26" s="140">
        <f t="shared" si="4"/>
        <v>0</v>
      </c>
      <c r="W26" s="142">
        <f t="shared" si="4"/>
        <v>0</v>
      </c>
      <c r="X26" s="143"/>
      <c r="Y26" t="s">
        <v>261</v>
      </c>
      <c r="Z26" s="144" t="s">
        <v>262</v>
      </c>
      <c r="AA26" s="144" t="s">
        <v>208</v>
      </c>
      <c r="AB26" s="144" t="s">
        <v>208</v>
      </c>
      <c r="AC26" s="144"/>
      <c r="AD26" s="144"/>
      <c r="AE26" s="144"/>
      <c r="AF26" s="144" t="s">
        <v>262</v>
      </c>
    </row>
    <row r="27" spans="1:39" x14ac:dyDescent="0.25">
      <c r="A27" s="111"/>
      <c r="B27" s="145" t="s">
        <v>263</v>
      </c>
      <c r="C27" s="200"/>
      <c r="D27" s="146">
        <f t="shared" si="2"/>
        <v>50625</v>
      </c>
      <c r="E27" s="258">
        <v>0</v>
      </c>
      <c r="F27" s="259">
        <v>0</v>
      </c>
      <c r="G27" s="259">
        <v>0</v>
      </c>
      <c r="H27" s="259">
        <v>0</v>
      </c>
      <c r="I27" s="259">
        <v>0</v>
      </c>
      <c r="J27" s="259">
        <v>0</v>
      </c>
      <c r="K27" s="259"/>
      <c r="L27" s="259"/>
      <c r="M27" s="259"/>
      <c r="N27" s="259"/>
      <c r="O27" s="259"/>
      <c r="P27" s="260"/>
      <c r="Q27" s="150">
        <f t="shared" si="3"/>
        <v>0</v>
      </c>
      <c r="R27" s="147"/>
      <c r="S27" s="148"/>
      <c r="T27" s="148"/>
      <c r="U27" s="151">
        <f t="shared" si="4"/>
        <v>0</v>
      </c>
      <c r="V27" s="150">
        <f t="shared" si="4"/>
        <v>0</v>
      </c>
      <c r="W27" s="152">
        <f t="shared" si="4"/>
        <v>0</v>
      </c>
      <c r="X27" s="143"/>
      <c r="Y27" s="1" t="s">
        <v>264</v>
      </c>
      <c r="Z27" t="s">
        <v>265</v>
      </c>
      <c r="AA27" t="s">
        <v>266</v>
      </c>
      <c r="AB27" t="s">
        <v>267</v>
      </c>
      <c r="AC27" t="s">
        <v>92</v>
      </c>
      <c r="AD27" t="s">
        <v>93</v>
      </c>
      <c r="AE27" t="s">
        <v>268</v>
      </c>
      <c r="AF27" t="s">
        <v>269</v>
      </c>
      <c r="AG27" t="s">
        <v>270</v>
      </c>
      <c r="AH27" t="s">
        <v>88</v>
      </c>
      <c r="AI27" t="s">
        <v>89</v>
      </c>
      <c r="AJ27" t="s">
        <v>90</v>
      </c>
      <c r="AK27" t="s">
        <v>91</v>
      </c>
    </row>
    <row r="28" spans="1:39" x14ac:dyDescent="0.25">
      <c r="A28" s="111"/>
      <c r="B28" s="145" t="s">
        <v>271</v>
      </c>
      <c r="C28" s="200"/>
      <c r="D28" s="146">
        <f t="shared" si="2"/>
        <v>50625</v>
      </c>
      <c r="E28" s="258"/>
      <c r="F28" s="259"/>
      <c r="G28" s="259"/>
      <c r="H28" s="259"/>
      <c r="I28" s="259"/>
      <c r="J28" s="259"/>
      <c r="K28" s="259"/>
      <c r="L28" s="259"/>
      <c r="M28" s="259"/>
      <c r="N28" s="259"/>
      <c r="O28" s="259"/>
      <c r="P28" s="260"/>
      <c r="Q28" s="150">
        <f t="shared" si="3"/>
        <v>0</v>
      </c>
      <c r="R28" s="147"/>
      <c r="S28" s="148"/>
      <c r="T28" s="148"/>
      <c r="U28" s="151">
        <f t="shared" si="4"/>
        <v>0</v>
      </c>
      <c r="V28" s="150">
        <f t="shared" si="4"/>
        <v>0</v>
      </c>
      <c r="W28" s="152">
        <f t="shared" si="4"/>
        <v>0</v>
      </c>
      <c r="X28" s="143"/>
      <c r="Y28" s="1" t="s">
        <v>272</v>
      </c>
      <c r="Z28" s="153">
        <v>8.3333332999999996E-2</v>
      </c>
      <c r="AA28" s="153">
        <v>8.3333332999999996E-2</v>
      </c>
      <c r="AB28" s="153">
        <v>8.3333332999999996E-2</v>
      </c>
      <c r="AC28" s="153">
        <v>8.3333332999999996E-2</v>
      </c>
      <c r="AD28" s="153">
        <v>8.3333332999999996E-2</v>
      </c>
      <c r="AE28" s="153">
        <v>8.3333332999999996E-2</v>
      </c>
      <c r="AF28" s="153">
        <v>8.3333332999999996E-2</v>
      </c>
      <c r="AG28" s="153">
        <v>8.3333332999999996E-2</v>
      </c>
      <c r="AH28" s="153">
        <v>8.3333332999999996E-2</v>
      </c>
      <c r="AI28" s="153">
        <v>8.3333332999999996E-2</v>
      </c>
      <c r="AJ28" s="153">
        <v>8.3333332999999996E-2</v>
      </c>
      <c r="AK28" s="153">
        <v>8.3333332999999996E-2</v>
      </c>
      <c r="AL28" s="2">
        <f>SUM(Z28:AK28)</f>
        <v>0.999999996</v>
      </c>
      <c r="AM28" s="1" t="s">
        <v>273</v>
      </c>
    </row>
    <row r="29" spans="1:39" x14ac:dyDescent="0.25">
      <c r="A29" s="111"/>
      <c r="B29" s="145" t="s">
        <v>274</v>
      </c>
      <c r="C29" s="200"/>
      <c r="D29" s="146">
        <f t="shared" si="2"/>
        <v>50625</v>
      </c>
      <c r="E29" s="258">
        <v>0</v>
      </c>
      <c r="F29" s="259">
        <v>0</v>
      </c>
      <c r="G29" s="259">
        <v>0</v>
      </c>
      <c r="H29" s="259">
        <v>0</v>
      </c>
      <c r="I29" s="259"/>
      <c r="J29" s="259"/>
      <c r="K29" s="259"/>
      <c r="L29" s="259"/>
      <c r="M29" s="259"/>
      <c r="N29" s="259"/>
      <c r="O29" s="259"/>
      <c r="P29" s="260"/>
      <c r="Q29" s="150">
        <f t="shared" si="3"/>
        <v>0</v>
      </c>
      <c r="R29" s="147"/>
      <c r="S29" s="148"/>
      <c r="T29" s="148"/>
      <c r="U29" s="151">
        <f t="shared" si="4"/>
        <v>0</v>
      </c>
      <c r="V29" s="150">
        <f t="shared" si="4"/>
        <v>0</v>
      </c>
      <c r="W29" s="152">
        <f t="shared" si="4"/>
        <v>0</v>
      </c>
      <c r="X29" s="143"/>
      <c r="Y29" s="1" t="s">
        <v>28</v>
      </c>
      <c r="Z29" s="153">
        <v>8.3333332999999996E-2</v>
      </c>
      <c r="AA29" s="153">
        <v>8.3333332999999996E-2</v>
      </c>
      <c r="AB29" s="153">
        <v>8.3333332999999996E-2</v>
      </c>
      <c r="AC29" s="153">
        <v>8.3333332999999996E-2</v>
      </c>
      <c r="AD29" s="153">
        <v>8.3333332999999996E-2</v>
      </c>
      <c r="AE29" s="153">
        <v>8.3333332999999996E-2</v>
      </c>
      <c r="AF29" s="153">
        <v>8.3333332999999996E-2</v>
      </c>
      <c r="AG29" s="153">
        <v>8.3333332999999996E-2</v>
      </c>
      <c r="AH29" s="153">
        <v>8.3333332999999996E-2</v>
      </c>
      <c r="AI29" s="153">
        <v>8.3333332999999996E-2</v>
      </c>
      <c r="AJ29" s="153">
        <v>8.3333332999999996E-2</v>
      </c>
      <c r="AK29" s="153">
        <v>8.3333332999999996E-2</v>
      </c>
      <c r="AL29" s="2">
        <f>SUM(Z29:AK29)</f>
        <v>0.999999996</v>
      </c>
      <c r="AM29" s="1" t="s">
        <v>273</v>
      </c>
    </row>
    <row r="30" spans="1:39" x14ac:dyDescent="0.25">
      <c r="A30" s="111"/>
      <c r="B30" s="145" t="s">
        <v>275</v>
      </c>
      <c r="C30" s="200"/>
      <c r="D30" s="146">
        <f t="shared" si="2"/>
        <v>50625</v>
      </c>
      <c r="E30" s="261"/>
      <c r="F30" s="262"/>
      <c r="G30" s="262"/>
      <c r="H30" s="262"/>
      <c r="I30" s="262"/>
      <c r="J30" s="262"/>
      <c r="K30" s="262"/>
      <c r="L30" s="262"/>
      <c r="M30" s="262"/>
      <c r="N30" s="262"/>
      <c r="O30" s="262"/>
      <c r="P30" s="263"/>
      <c r="Q30" s="150">
        <f t="shared" si="3"/>
        <v>0</v>
      </c>
      <c r="R30" s="147"/>
      <c r="S30" s="148"/>
      <c r="T30" s="148"/>
      <c r="U30" s="151">
        <f t="shared" si="4"/>
        <v>0</v>
      </c>
      <c r="V30" s="150">
        <f t="shared" si="4"/>
        <v>0</v>
      </c>
      <c r="W30" s="152">
        <f t="shared" si="4"/>
        <v>0</v>
      </c>
      <c r="X30" s="143"/>
    </row>
    <row r="31" spans="1:39" x14ac:dyDescent="0.25">
      <c r="A31" s="111"/>
      <c r="B31" s="145" t="s">
        <v>276</v>
      </c>
      <c r="C31" s="95"/>
      <c r="D31" s="146">
        <f t="shared" si="2"/>
        <v>50625</v>
      </c>
      <c r="E31" s="261"/>
      <c r="F31" s="262"/>
      <c r="G31" s="262"/>
      <c r="H31" s="262"/>
      <c r="I31" s="262"/>
      <c r="J31" s="262"/>
      <c r="K31" s="262"/>
      <c r="L31" s="262"/>
      <c r="M31" s="262"/>
      <c r="N31" s="262"/>
      <c r="O31" s="262"/>
      <c r="P31" s="263"/>
      <c r="Q31" s="150">
        <f t="shared" si="3"/>
        <v>0</v>
      </c>
      <c r="R31" s="147"/>
      <c r="S31" s="148"/>
      <c r="T31" s="148"/>
      <c r="U31" s="151">
        <f t="shared" si="4"/>
        <v>0</v>
      </c>
      <c r="V31" s="150">
        <f t="shared" si="4"/>
        <v>0</v>
      </c>
      <c r="W31" s="152">
        <f t="shared" si="4"/>
        <v>0</v>
      </c>
      <c r="X31" s="143"/>
    </row>
    <row r="32" spans="1:39" x14ac:dyDescent="0.25">
      <c r="A32" s="111"/>
      <c r="B32" s="145" t="s">
        <v>277</v>
      </c>
      <c r="C32" s="95"/>
      <c r="D32" s="146">
        <f t="shared" si="2"/>
        <v>50625</v>
      </c>
      <c r="E32" s="261"/>
      <c r="F32" s="262"/>
      <c r="G32" s="262"/>
      <c r="H32" s="262"/>
      <c r="I32" s="262"/>
      <c r="J32" s="262"/>
      <c r="K32" s="262"/>
      <c r="L32" s="262"/>
      <c r="M32" s="262"/>
      <c r="N32" s="262"/>
      <c r="O32" s="262"/>
      <c r="P32" s="263"/>
      <c r="Q32" s="150">
        <f t="shared" si="3"/>
        <v>0</v>
      </c>
      <c r="R32" s="147"/>
      <c r="S32" s="148"/>
      <c r="T32" s="148"/>
      <c r="U32" s="151">
        <f t="shared" si="4"/>
        <v>0</v>
      </c>
      <c r="V32" s="150">
        <f t="shared" si="4"/>
        <v>0</v>
      </c>
      <c r="W32" s="152">
        <f t="shared" si="4"/>
        <v>0</v>
      </c>
      <c r="X32" s="143"/>
    </row>
    <row r="33" spans="1:24" x14ac:dyDescent="0.25">
      <c r="A33" s="111"/>
      <c r="B33" s="154" t="s">
        <v>278</v>
      </c>
      <c r="C33" s="155"/>
      <c r="D33" s="156">
        <f t="shared" si="2"/>
        <v>50625</v>
      </c>
      <c r="E33" s="261"/>
      <c r="F33" s="262"/>
      <c r="G33" s="262"/>
      <c r="H33" s="262"/>
      <c r="I33" s="262"/>
      <c r="J33" s="262"/>
      <c r="K33" s="262"/>
      <c r="L33" s="262"/>
      <c r="M33" s="262"/>
      <c r="N33" s="262"/>
      <c r="O33" s="262"/>
      <c r="P33" s="263"/>
      <c r="Q33" s="150">
        <f t="shared" si="3"/>
        <v>0</v>
      </c>
      <c r="R33" s="147"/>
      <c r="S33" s="148"/>
      <c r="T33" s="148"/>
      <c r="U33" s="157">
        <f t="shared" si="4"/>
        <v>0</v>
      </c>
      <c r="V33" s="158">
        <f t="shared" si="4"/>
        <v>0</v>
      </c>
      <c r="W33" s="159">
        <f t="shared" si="4"/>
        <v>0</v>
      </c>
      <c r="X33" s="143"/>
    </row>
    <row r="34" spans="1:24" hidden="1" outlineLevel="1" x14ac:dyDescent="0.25">
      <c r="A34" s="111"/>
      <c r="B34" s="145" t="s">
        <v>279</v>
      </c>
      <c r="C34" s="95"/>
      <c r="D34" s="115"/>
      <c r="E34" s="147"/>
      <c r="F34" s="148"/>
      <c r="G34" s="148"/>
      <c r="H34" s="148"/>
      <c r="I34" s="148"/>
      <c r="J34" s="148"/>
      <c r="K34" s="148"/>
      <c r="L34" s="148"/>
      <c r="M34" s="148"/>
      <c r="N34" s="148"/>
      <c r="O34" s="148"/>
      <c r="P34" s="149"/>
      <c r="Q34" s="160"/>
      <c r="R34" s="147"/>
      <c r="S34" s="148"/>
      <c r="T34" s="149"/>
      <c r="U34" s="161"/>
    </row>
    <row r="35" spans="1:24" hidden="1" outlineLevel="1" x14ac:dyDescent="0.25">
      <c r="A35" s="111"/>
      <c r="B35" s="145" t="s">
        <v>280</v>
      </c>
      <c r="C35" s="95"/>
      <c r="D35" s="115"/>
      <c r="E35" s="147"/>
      <c r="F35" s="148"/>
      <c r="G35" s="148"/>
      <c r="H35" s="148"/>
      <c r="I35" s="148"/>
      <c r="J35" s="148"/>
      <c r="K35" s="148"/>
      <c r="L35" s="148"/>
      <c r="M35" s="148"/>
      <c r="N35" s="148"/>
      <c r="O35" s="148"/>
      <c r="P35" s="149"/>
      <c r="Q35" s="160"/>
      <c r="R35" s="147"/>
      <c r="S35" s="148"/>
      <c r="T35" s="149"/>
      <c r="U35" s="161"/>
    </row>
    <row r="36" spans="1:24" hidden="1" outlineLevel="1" x14ac:dyDescent="0.25">
      <c r="A36" s="111"/>
      <c r="B36" s="145" t="s">
        <v>281</v>
      </c>
      <c r="C36" s="95"/>
      <c r="D36" s="115"/>
      <c r="E36" s="147"/>
      <c r="F36" s="148"/>
      <c r="G36" s="148"/>
      <c r="H36" s="148"/>
      <c r="I36" s="148"/>
      <c r="J36" s="148"/>
      <c r="K36" s="148"/>
      <c r="L36" s="148"/>
      <c r="M36" s="148"/>
      <c r="N36" s="148"/>
      <c r="O36" s="148"/>
      <c r="P36" s="149"/>
      <c r="Q36" s="160"/>
      <c r="R36" s="147"/>
      <c r="S36" s="148"/>
      <c r="T36" s="149"/>
      <c r="U36" s="161"/>
    </row>
    <row r="37" spans="1:24" hidden="1" outlineLevel="1" x14ac:dyDescent="0.25">
      <c r="A37" s="111"/>
      <c r="B37" s="145" t="s">
        <v>282</v>
      </c>
      <c r="C37" s="95"/>
      <c r="D37" s="115"/>
      <c r="E37" s="147"/>
      <c r="F37" s="148"/>
      <c r="G37" s="148"/>
      <c r="H37" s="148"/>
      <c r="I37" s="148"/>
      <c r="J37" s="148"/>
      <c r="K37" s="148"/>
      <c r="L37" s="148"/>
      <c r="M37" s="148"/>
      <c r="N37" s="148"/>
      <c r="O37" s="148"/>
      <c r="P37" s="149"/>
      <c r="Q37" s="160"/>
      <c r="R37" s="147"/>
      <c r="S37" s="148"/>
      <c r="T37" s="149"/>
      <c r="U37" s="161"/>
    </row>
    <row r="38" spans="1:24" hidden="1" outlineLevel="1" x14ac:dyDescent="0.25">
      <c r="A38" s="111"/>
      <c r="B38" s="145" t="s">
        <v>283</v>
      </c>
      <c r="C38" s="95"/>
      <c r="D38" s="115"/>
      <c r="E38" s="147"/>
      <c r="F38" s="148"/>
      <c r="G38" s="148"/>
      <c r="H38" s="148"/>
      <c r="I38" s="148"/>
      <c r="J38" s="148"/>
      <c r="K38" s="148"/>
      <c r="L38" s="148"/>
      <c r="M38" s="148"/>
      <c r="N38" s="148"/>
      <c r="O38" s="148"/>
      <c r="P38" s="149"/>
      <c r="Q38" s="160"/>
      <c r="R38" s="147"/>
      <c r="S38" s="148"/>
      <c r="T38" s="149"/>
      <c r="U38" s="161"/>
    </row>
    <row r="39" spans="1:24" hidden="1" outlineLevel="1" x14ac:dyDescent="0.25">
      <c r="A39" s="111"/>
      <c r="B39" s="145" t="s">
        <v>284</v>
      </c>
      <c r="C39" s="95"/>
      <c r="D39" s="115"/>
      <c r="E39" s="147"/>
      <c r="F39" s="148"/>
      <c r="G39" s="148"/>
      <c r="H39" s="148"/>
      <c r="I39" s="148"/>
      <c r="J39" s="148"/>
      <c r="K39" s="148"/>
      <c r="L39" s="148"/>
      <c r="M39" s="148"/>
      <c r="N39" s="148"/>
      <c r="O39" s="148"/>
      <c r="P39" s="149"/>
      <c r="Q39" s="160"/>
      <c r="R39" s="147"/>
      <c r="S39" s="148"/>
      <c r="T39" s="149"/>
      <c r="U39" s="161"/>
    </row>
    <row r="40" spans="1:24" hidden="1" outlineLevel="1" x14ac:dyDescent="0.25">
      <c r="A40" s="111"/>
      <c r="B40" s="145" t="s">
        <v>285</v>
      </c>
      <c r="C40" s="95"/>
      <c r="D40" s="115"/>
      <c r="E40" s="162"/>
      <c r="F40" s="163"/>
      <c r="G40" s="163"/>
      <c r="H40" s="163"/>
      <c r="I40" s="163"/>
      <c r="J40" s="163"/>
      <c r="K40" s="163"/>
      <c r="L40" s="163"/>
      <c r="M40" s="163"/>
      <c r="N40" s="163"/>
      <c r="O40" s="163"/>
      <c r="P40" s="164"/>
      <c r="Q40" s="165"/>
      <c r="R40" s="162"/>
      <c r="S40" s="163"/>
      <c r="T40" s="164"/>
      <c r="U40" s="166"/>
    </row>
    <row r="41" spans="1:24" collapsed="1" x14ac:dyDescent="0.25">
      <c r="A41" s="111"/>
      <c r="B41" s="123" t="s">
        <v>250</v>
      </c>
      <c r="C41" s="167"/>
      <c r="D41" s="168" t="s">
        <v>286</v>
      </c>
      <c r="E41" s="169">
        <f t="shared" ref="E41:P41" si="5">SUM(E26*$D26,E27*$D27,E28*$D28, E29*$D29,E30*$D30,E31*$D31, E32*$D32,E33*$D33,E34*$D34,E35*$D35,E36*$D36,E37*$D37,E38*$D38,E39*D$39,E40*$D40)</f>
        <v>0</v>
      </c>
      <c r="F41" s="170">
        <f t="shared" si="5"/>
        <v>0</v>
      </c>
      <c r="G41" s="170">
        <f t="shared" si="5"/>
        <v>0</v>
      </c>
      <c r="H41" s="170">
        <f t="shared" si="5"/>
        <v>50625</v>
      </c>
      <c r="I41" s="170">
        <f t="shared" si="5"/>
        <v>0</v>
      </c>
      <c r="J41" s="170">
        <f t="shared" si="5"/>
        <v>50625</v>
      </c>
      <c r="K41" s="170">
        <f t="shared" si="5"/>
        <v>0</v>
      </c>
      <c r="L41" s="170">
        <f t="shared" si="5"/>
        <v>50625</v>
      </c>
      <c r="M41" s="170">
        <f t="shared" si="5"/>
        <v>0</v>
      </c>
      <c r="N41" s="170">
        <f t="shared" si="5"/>
        <v>50625</v>
      </c>
      <c r="O41" s="170">
        <f t="shared" si="5"/>
        <v>0</v>
      </c>
      <c r="P41" s="170">
        <f t="shared" si="5"/>
        <v>50625</v>
      </c>
      <c r="Q41" s="170">
        <f>SUM(Q26:Q33)</f>
        <v>253125</v>
      </c>
      <c r="R41" s="171">
        <f>SUM(R26*$D26,R27*$D27,R28*$D28, R29*$D29,R30*$D30,R31*$D31, R32*$D32,R33*$D33,R34*$D34,R35*$D35,R36*$D36,R37*$D37,R38*$D38,R39*P$39,R40*$D40)</f>
        <v>0</v>
      </c>
      <c r="S41" s="172">
        <f>SUM(S26*$D26,S27*$D27,S28*$D28, S29*$D29,S30*$D30,S31*$D31, S32*$D32,S33*$D33,S34*$D34,S35*$D35,S36*$D36,S37*$D37,S38*$D38,S39*R$39,S40*$D40)</f>
        <v>0</v>
      </c>
      <c r="T41" s="172">
        <f>SUM(T26*$D26,T27*$D27,T28*$D28, T29*$D29,T30*$D30,T31*$D31, T32*$D32,T33*$D33,T34*$D34,T35*$D35,T36*$D36,T37*$D37,T38*$D38,T39*S$39,T40*$D40)</f>
        <v>0</v>
      </c>
      <c r="U41" s="170">
        <f>SUM(U26:U33)</f>
        <v>0</v>
      </c>
      <c r="V41" s="170">
        <f>SUM(V26:V33)</f>
        <v>0</v>
      </c>
      <c r="W41" s="171">
        <f>SUM(W26:W33)</f>
        <v>0</v>
      </c>
      <c r="X41" s="173"/>
    </row>
    <row r="42" spans="1:24" hidden="1" x14ac:dyDescent="0.25">
      <c r="A42" s="111"/>
      <c r="D42" s="174" t="str">
        <f>IF($Z$4="N","","% of Perm sales overseas")</f>
        <v/>
      </c>
      <c r="E42" s="175" t="str">
        <f t="shared" ref="E42:P42" si="6">IF($Z$4="N","hide",0)</f>
        <v>hide</v>
      </c>
      <c r="F42" s="175" t="str">
        <f t="shared" si="6"/>
        <v>hide</v>
      </c>
      <c r="G42" s="175" t="str">
        <f t="shared" si="6"/>
        <v>hide</v>
      </c>
      <c r="H42" s="175" t="str">
        <f t="shared" si="6"/>
        <v>hide</v>
      </c>
      <c r="I42" s="175" t="str">
        <f t="shared" si="6"/>
        <v>hide</v>
      </c>
      <c r="J42" s="175" t="str">
        <f t="shared" si="6"/>
        <v>hide</v>
      </c>
      <c r="K42" s="175" t="str">
        <f t="shared" si="6"/>
        <v>hide</v>
      </c>
      <c r="L42" s="175" t="str">
        <f t="shared" si="6"/>
        <v>hide</v>
      </c>
      <c r="M42" s="175" t="str">
        <f t="shared" si="6"/>
        <v>hide</v>
      </c>
      <c r="N42" s="175" t="str">
        <f t="shared" si="6"/>
        <v>hide</v>
      </c>
      <c r="O42" s="175" t="str">
        <f t="shared" si="6"/>
        <v>hide</v>
      </c>
      <c r="P42" s="175" t="str">
        <f t="shared" si="6"/>
        <v>hide</v>
      </c>
      <c r="Q42" s="176"/>
      <c r="R42" s="175" t="str">
        <f>IF($Z$4="N","hide",0)</f>
        <v>hide</v>
      </c>
      <c r="S42" s="175" t="str">
        <f>IF($Z$4="N","hide",0)</f>
        <v>hide</v>
      </c>
      <c r="T42" s="175" t="str">
        <f>IF($Z$4="N","hide",0)</f>
        <v>hide</v>
      </c>
      <c r="U42" s="175"/>
    </row>
    <row r="43" spans="1:24" ht="4.3499999999999996" customHeight="1" x14ac:dyDescent="0.25">
      <c r="A43" s="111"/>
      <c r="B43" s="134"/>
      <c r="C43" s="134"/>
      <c r="D43" s="134"/>
      <c r="E43" s="135"/>
      <c r="F43" s="135"/>
      <c r="G43" s="135"/>
      <c r="H43" s="135"/>
      <c r="I43" s="135"/>
      <c r="J43" s="135"/>
      <c r="K43" s="135"/>
      <c r="L43" s="135"/>
      <c r="M43" s="135"/>
      <c r="N43" s="135"/>
      <c r="O43" s="135"/>
      <c r="P43" s="135"/>
      <c r="Q43" s="177"/>
      <c r="R43" s="135"/>
      <c r="S43" s="135"/>
      <c r="U43" s="135"/>
    </row>
    <row r="44" spans="1:24" x14ac:dyDescent="0.25">
      <c r="B44" s="132" t="s">
        <v>287</v>
      </c>
      <c r="D44" s="116" t="s">
        <v>288</v>
      </c>
      <c r="Q44" s="178"/>
    </row>
    <row r="45" spans="1:24" x14ac:dyDescent="0.25">
      <c r="A45" s="111"/>
      <c r="B45" s="136" t="s">
        <v>260</v>
      </c>
      <c r="C45" s="203"/>
      <c r="D45" s="137">
        <f t="shared" ref="D45:D59" si="7">$O$2*$R$2</f>
        <v>1412.0000000000005</v>
      </c>
      <c r="E45" s="210"/>
      <c r="F45" s="211"/>
      <c r="G45" s="211"/>
      <c r="H45" s="211"/>
      <c r="I45" s="211">
        <v>4</v>
      </c>
      <c r="J45" s="211">
        <v>4</v>
      </c>
      <c r="K45" s="211">
        <v>5</v>
      </c>
      <c r="L45" s="211">
        <v>5</v>
      </c>
      <c r="M45" s="211">
        <v>5</v>
      </c>
      <c r="N45" s="211">
        <v>6</v>
      </c>
      <c r="O45" s="211">
        <v>6</v>
      </c>
      <c r="P45" s="212">
        <v>6</v>
      </c>
      <c r="Q45" s="140">
        <f>$D45*E45*E$24+$D45*F45*F$24+$D45*G45*G$24+$D45*H45*H$24+$D45*I45*I$24+$D45*J45*J$24+$D45*K45*K$24+$D45*L45*L$24+$D45*M45*M$24+$D45*N45*N$24+$D45*O45*O$24+$D45*P45*P$24</f>
        <v>252748.00000000006</v>
      </c>
      <c r="R45" s="207"/>
      <c r="S45" s="204"/>
      <c r="T45" s="204"/>
      <c r="U45" s="141">
        <f t="shared" ref="U45:W52" si="8">R45*R$24*$D45</f>
        <v>0</v>
      </c>
      <c r="V45" s="140">
        <f t="shared" si="8"/>
        <v>0</v>
      </c>
      <c r="W45" s="142">
        <f t="shared" si="8"/>
        <v>0</v>
      </c>
      <c r="X45" s="143"/>
    </row>
    <row r="46" spans="1:24" x14ac:dyDescent="0.25">
      <c r="A46" s="111"/>
      <c r="B46" s="145" t="s">
        <v>263</v>
      </c>
      <c r="C46" s="200"/>
      <c r="D46" s="146">
        <f t="shared" si="7"/>
        <v>1412.0000000000005</v>
      </c>
      <c r="E46" s="213">
        <v>0</v>
      </c>
      <c r="F46" s="214">
        <v>0</v>
      </c>
      <c r="G46" s="214"/>
      <c r="H46" s="214"/>
      <c r="I46" s="214"/>
      <c r="J46" s="214"/>
      <c r="K46" s="214"/>
      <c r="L46" s="214"/>
      <c r="M46" s="214"/>
      <c r="N46" s="214"/>
      <c r="O46" s="214"/>
      <c r="P46" s="215"/>
      <c r="Q46" s="152"/>
      <c r="R46" s="206"/>
      <c r="S46" s="205"/>
      <c r="T46" s="205"/>
      <c r="U46" s="151">
        <f t="shared" si="8"/>
        <v>0</v>
      </c>
      <c r="V46" s="150">
        <f t="shared" si="8"/>
        <v>0</v>
      </c>
      <c r="W46" s="152">
        <f t="shared" si="8"/>
        <v>0</v>
      </c>
      <c r="X46" s="143"/>
    </row>
    <row r="47" spans="1:24" x14ac:dyDescent="0.25">
      <c r="A47" s="111"/>
      <c r="B47" s="145" t="s">
        <v>271</v>
      </c>
      <c r="C47" s="200"/>
      <c r="D47" s="146">
        <f t="shared" si="7"/>
        <v>1412.0000000000005</v>
      </c>
      <c r="E47" s="213">
        <v>0</v>
      </c>
      <c r="F47" s="214">
        <v>0</v>
      </c>
      <c r="G47" s="214">
        <v>0</v>
      </c>
      <c r="H47" s="214">
        <v>0</v>
      </c>
      <c r="I47" s="214">
        <v>0</v>
      </c>
      <c r="J47" s="214">
        <v>0</v>
      </c>
      <c r="K47" s="214">
        <v>0</v>
      </c>
      <c r="L47" s="214">
        <v>0</v>
      </c>
      <c r="M47" s="214">
        <v>0</v>
      </c>
      <c r="N47" s="214">
        <v>0</v>
      </c>
      <c r="O47" s="214">
        <v>0</v>
      </c>
      <c r="P47" s="215">
        <v>0</v>
      </c>
      <c r="Q47" s="152">
        <f t="shared" ref="Q47:Q52" si="9">$D47*E47*E$24+$D47*F47*F$24+$D47*G47*G$24+$D47*H47*H$24+$D47*I47*I$24+$D47*J47*J$24+$D47*K47*K$24+$D47*L47*L$24+$D47*M47*M$24+$D47*N47*N$24+$D47*O47*O$24+$D47*P47*P$24</f>
        <v>0</v>
      </c>
      <c r="R47" s="208"/>
      <c r="S47" s="205"/>
      <c r="T47" s="205"/>
      <c r="U47" s="151">
        <f t="shared" si="8"/>
        <v>0</v>
      </c>
      <c r="V47" s="150">
        <f t="shared" si="8"/>
        <v>0</v>
      </c>
      <c r="W47" s="152">
        <f t="shared" si="8"/>
        <v>0</v>
      </c>
      <c r="X47" s="143"/>
    </row>
    <row r="48" spans="1:24" x14ac:dyDescent="0.25">
      <c r="A48" s="111"/>
      <c r="B48" s="145" t="s">
        <v>274</v>
      </c>
      <c r="C48" s="95"/>
      <c r="D48" s="146">
        <f t="shared" si="7"/>
        <v>1412.0000000000005</v>
      </c>
      <c r="E48" s="179"/>
      <c r="F48" s="180"/>
      <c r="G48" s="180"/>
      <c r="H48" s="180"/>
      <c r="I48" s="180"/>
      <c r="J48" s="180"/>
      <c r="K48" s="180"/>
      <c r="L48" s="180"/>
      <c r="M48" s="180"/>
      <c r="N48" s="180"/>
      <c r="O48" s="180"/>
      <c r="P48" s="181"/>
      <c r="Q48" s="152">
        <f t="shared" si="9"/>
        <v>0</v>
      </c>
      <c r="R48" s="182"/>
      <c r="S48" s="181"/>
      <c r="T48" s="181"/>
      <c r="U48" s="151">
        <f t="shared" si="8"/>
        <v>0</v>
      </c>
      <c r="V48" s="150">
        <f t="shared" si="8"/>
        <v>0</v>
      </c>
      <c r="W48" s="152">
        <f t="shared" si="8"/>
        <v>0</v>
      </c>
      <c r="X48" s="143"/>
    </row>
    <row r="49" spans="1:24" x14ac:dyDescent="0.25">
      <c r="A49" s="111"/>
      <c r="B49" s="145" t="s">
        <v>275</v>
      </c>
      <c r="C49" s="95"/>
      <c r="D49" s="146">
        <f t="shared" si="7"/>
        <v>1412.0000000000005</v>
      </c>
      <c r="E49" s="179"/>
      <c r="F49" s="180"/>
      <c r="G49" s="180"/>
      <c r="H49" s="180"/>
      <c r="I49" s="180"/>
      <c r="J49" s="180"/>
      <c r="K49" s="180"/>
      <c r="L49" s="180"/>
      <c r="M49" s="180"/>
      <c r="N49" s="180"/>
      <c r="O49" s="180"/>
      <c r="P49" s="181"/>
      <c r="Q49" s="152">
        <f t="shared" si="9"/>
        <v>0</v>
      </c>
      <c r="R49" s="182"/>
      <c r="S49" s="181"/>
      <c r="T49" s="181"/>
      <c r="U49" s="151">
        <f t="shared" si="8"/>
        <v>0</v>
      </c>
      <c r="V49" s="150">
        <f t="shared" si="8"/>
        <v>0</v>
      </c>
      <c r="W49" s="152">
        <f t="shared" si="8"/>
        <v>0</v>
      </c>
      <c r="X49" s="143"/>
    </row>
    <row r="50" spans="1:24" x14ac:dyDescent="0.25">
      <c r="A50" s="111"/>
      <c r="B50" s="145" t="s">
        <v>276</v>
      </c>
      <c r="C50" s="95"/>
      <c r="D50" s="146">
        <f t="shared" si="7"/>
        <v>1412.0000000000005</v>
      </c>
      <c r="E50" s="179"/>
      <c r="F50" s="180"/>
      <c r="G50" s="180"/>
      <c r="H50" s="180"/>
      <c r="I50" s="180"/>
      <c r="J50" s="180"/>
      <c r="K50" s="180"/>
      <c r="L50" s="180"/>
      <c r="M50" s="180"/>
      <c r="N50" s="180"/>
      <c r="O50" s="180"/>
      <c r="P50" s="181"/>
      <c r="Q50" s="152">
        <f t="shared" si="9"/>
        <v>0</v>
      </c>
      <c r="R50" s="182"/>
      <c r="S50" s="181"/>
      <c r="T50" s="181"/>
      <c r="U50" s="151">
        <f t="shared" si="8"/>
        <v>0</v>
      </c>
      <c r="V50" s="150">
        <f t="shared" si="8"/>
        <v>0</v>
      </c>
      <c r="W50" s="152">
        <f t="shared" si="8"/>
        <v>0</v>
      </c>
      <c r="X50" s="143"/>
    </row>
    <row r="51" spans="1:24" x14ac:dyDescent="0.25">
      <c r="A51" s="111"/>
      <c r="B51" s="145" t="s">
        <v>277</v>
      </c>
      <c r="C51" s="95"/>
      <c r="D51" s="146">
        <f t="shared" si="7"/>
        <v>1412.0000000000005</v>
      </c>
      <c r="E51" s="179"/>
      <c r="F51" s="180"/>
      <c r="G51" s="180"/>
      <c r="H51" s="180"/>
      <c r="I51" s="180"/>
      <c r="J51" s="180"/>
      <c r="K51" s="180"/>
      <c r="L51" s="180"/>
      <c r="M51" s="180"/>
      <c r="N51" s="180"/>
      <c r="O51" s="180"/>
      <c r="P51" s="181"/>
      <c r="Q51" s="152">
        <f t="shared" si="9"/>
        <v>0</v>
      </c>
      <c r="R51" s="182"/>
      <c r="S51" s="181"/>
      <c r="T51" s="181"/>
      <c r="U51" s="151">
        <f t="shared" si="8"/>
        <v>0</v>
      </c>
      <c r="V51" s="150">
        <f t="shared" si="8"/>
        <v>0</v>
      </c>
      <c r="W51" s="152">
        <f t="shared" si="8"/>
        <v>0</v>
      </c>
      <c r="X51" s="143"/>
    </row>
    <row r="52" spans="1:24" x14ac:dyDescent="0.25">
      <c r="A52" s="111"/>
      <c r="B52" s="154" t="s">
        <v>278</v>
      </c>
      <c r="C52" s="155"/>
      <c r="D52" s="156">
        <f t="shared" si="7"/>
        <v>1412.0000000000005</v>
      </c>
      <c r="E52" s="183"/>
      <c r="F52" s="184"/>
      <c r="G52" s="184"/>
      <c r="H52" s="184"/>
      <c r="I52" s="184"/>
      <c r="J52" s="184"/>
      <c r="K52" s="184"/>
      <c r="L52" s="184"/>
      <c r="M52" s="184"/>
      <c r="N52" s="184"/>
      <c r="O52" s="184"/>
      <c r="P52" s="185"/>
      <c r="Q52" s="159">
        <f t="shared" si="9"/>
        <v>0</v>
      </c>
      <c r="R52" s="186"/>
      <c r="S52" s="185"/>
      <c r="T52" s="185"/>
      <c r="U52" s="157">
        <f t="shared" si="8"/>
        <v>0</v>
      </c>
      <c r="V52" s="158">
        <f t="shared" si="8"/>
        <v>0</v>
      </c>
      <c r="W52" s="159">
        <f t="shared" si="8"/>
        <v>0</v>
      </c>
      <c r="X52" s="143"/>
    </row>
    <row r="53" spans="1:24" hidden="1" outlineLevel="1" x14ac:dyDescent="0.25">
      <c r="A53" s="111"/>
      <c r="B53" s="187" t="s">
        <v>279</v>
      </c>
      <c r="C53" s="188" t="s">
        <v>289</v>
      </c>
      <c r="D53" s="189">
        <f t="shared" si="7"/>
        <v>1412.0000000000005</v>
      </c>
      <c r="E53" s="180"/>
      <c r="F53" s="180"/>
      <c r="G53" s="180"/>
      <c r="H53" s="180"/>
      <c r="I53" s="180"/>
      <c r="J53" s="180"/>
      <c r="K53" s="180"/>
      <c r="L53" s="180"/>
      <c r="M53" s="180"/>
      <c r="N53" s="180"/>
      <c r="O53" s="180"/>
      <c r="P53" s="180"/>
      <c r="Q53" s="190"/>
      <c r="R53" s="182"/>
      <c r="S53" s="181"/>
      <c r="T53" s="181"/>
      <c r="U53" s="148"/>
    </row>
    <row r="54" spans="1:24" hidden="1" outlineLevel="1" x14ac:dyDescent="0.25">
      <c r="A54" s="111"/>
      <c r="B54" s="187" t="s">
        <v>280</v>
      </c>
      <c r="C54" s="188" t="s">
        <v>289</v>
      </c>
      <c r="D54" s="189">
        <f t="shared" si="7"/>
        <v>1412.0000000000005</v>
      </c>
      <c r="E54" s="180"/>
      <c r="F54" s="180"/>
      <c r="G54" s="180"/>
      <c r="H54" s="180"/>
      <c r="I54" s="180"/>
      <c r="J54" s="180"/>
      <c r="K54" s="180"/>
      <c r="L54" s="180"/>
      <c r="M54" s="180"/>
      <c r="N54" s="180"/>
      <c r="O54" s="180"/>
      <c r="P54" s="180"/>
      <c r="Q54" s="190"/>
      <c r="R54" s="182"/>
      <c r="S54" s="181"/>
      <c r="T54" s="181"/>
      <c r="U54" s="148"/>
    </row>
    <row r="55" spans="1:24" hidden="1" outlineLevel="1" x14ac:dyDescent="0.25">
      <c r="A55" s="111"/>
      <c r="B55" s="187" t="s">
        <v>281</v>
      </c>
      <c r="C55" s="188" t="s">
        <v>289</v>
      </c>
      <c r="D55" s="189">
        <f t="shared" si="7"/>
        <v>1412.0000000000005</v>
      </c>
      <c r="E55" s="180"/>
      <c r="F55" s="180"/>
      <c r="G55" s="180"/>
      <c r="H55" s="180"/>
      <c r="I55" s="180"/>
      <c r="J55" s="180"/>
      <c r="K55" s="180"/>
      <c r="L55" s="180"/>
      <c r="M55" s="180"/>
      <c r="N55" s="180"/>
      <c r="O55" s="180"/>
      <c r="P55" s="180"/>
      <c r="Q55" s="190"/>
      <c r="R55" s="182"/>
      <c r="S55" s="181"/>
      <c r="T55" s="181"/>
      <c r="U55" s="148"/>
    </row>
    <row r="56" spans="1:24" hidden="1" outlineLevel="1" x14ac:dyDescent="0.25">
      <c r="A56" s="111"/>
      <c r="B56" s="187" t="s">
        <v>282</v>
      </c>
      <c r="C56" s="188" t="s">
        <v>289</v>
      </c>
      <c r="D56" s="189">
        <f t="shared" si="7"/>
        <v>1412.0000000000005</v>
      </c>
      <c r="E56" s="180"/>
      <c r="F56" s="180"/>
      <c r="G56" s="180"/>
      <c r="H56" s="180"/>
      <c r="I56" s="180"/>
      <c r="J56" s="180"/>
      <c r="K56" s="180"/>
      <c r="L56" s="180"/>
      <c r="M56" s="180"/>
      <c r="N56" s="180"/>
      <c r="O56" s="180"/>
      <c r="P56" s="180"/>
      <c r="Q56" s="190"/>
      <c r="R56" s="182"/>
      <c r="S56" s="181"/>
      <c r="T56" s="181"/>
      <c r="U56" s="148"/>
    </row>
    <row r="57" spans="1:24" hidden="1" outlineLevel="1" x14ac:dyDescent="0.25">
      <c r="A57" s="111"/>
      <c r="B57" s="187" t="s">
        <v>283</v>
      </c>
      <c r="C57" s="188" t="s">
        <v>289</v>
      </c>
      <c r="D57" s="189">
        <f t="shared" si="7"/>
        <v>1412.0000000000005</v>
      </c>
      <c r="E57" s="180"/>
      <c r="F57" s="180"/>
      <c r="G57" s="180"/>
      <c r="H57" s="180"/>
      <c r="I57" s="180"/>
      <c r="J57" s="180"/>
      <c r="K57" s="180"/>
      <c r="L57" s="180"/>
      <c r="M57" s="180"/>
      <c r="N57" s="180"/>
      <c r="O57" s="180"/>
      <c r="P57" s="180"/>
      <c r="Q57" s="190"/>
      <c r="R57" s="182"/>
      <c r="S57" s="181"/>
      <c r="T57" s="181"/>
      <c r="U57" s="148"/>
    </row>
    <row r="58" spans="1:24" hidden="1" outlineLevel="1" x14ac:dyDescent="0.25">
      <c r="A58" s="111"/>
      <c r="B58" s="187" t="s">
        <v>284</v>
      </c>
      <c r="C58" s="188" t="s">
        <v>289</v>
      </c>
      <c r="D58" s="189">
        <f t="shared" si="7"/>
        <v>1412.0000000000005</v>
      </c>
      <c r="E58" s="180"/>
      <c r="F58" s="180"/>
      <c r="G58" s="180"/>
      <c r="H58" s="180"/>
      <c r="I58" s="180"/>
      <c r="J58" s="180"/>
      <c r="K58" s="180"/>
      <c r="L58" s="180"/>
      <c r="M58" s="180"/>
      <c r="N58" s="180"/>
      <c r="O58" s="180"/>
      <c r="P58" s="180"/>
      <c r="Q58" s="190"/>
      <c r="R58" s="182"/>
      <c r="S58" s="181"/>
      <c r="T58" s="181"/>
      <c r="U58" s="148"/>
    </row>
    <row r="59" spans="1:24" hidden="1" outlineLevel="1" x14ac:dyDescent="0.25">
      <c r="A59" s="111"/>
      <c r="B59" s="187" t="s">
        <v>285</v>
      </c>
      <c r="C59" s="188" t="s">
        <v>289</v>
      </c>
      <c r="D59" s="189">
        <f t="shared" si="7"/>
        <v>1412.0000000000005</v>
      </c>
      <c r="E59" s="180"/>
      <c r="F59" s="180"/>
      <c r="G59" s="180"/>
      <c r="H59" s="180"/>
      <c r="I59" s="180"/>
      <c r="J59" s="180"/>
      <c r="K59" s="180"/>
      <c r="L59" s="180"/>
      <c r="M59" s="180"/>
      <c r="N59" s="180"/>
      <c r="O59" s="180"/>
      <c r="P59" s="180"/>
      <c r="Q59" s="190"/>
      <c r="R59" s="182"/>
      <c r="S59" s="181"/>
      <c r="T59" s="181"/>
      <c r="U59" s="163"/>
    </row>
    <row r="60" spans="1:24" collapsed="1" x14ac:dyDescent="0.25">
      <c r="A60" s="111"/>
      <c r="B60" s="123" t="s">
        <v>250</v>
      </c>
      <c r="C60" s="167"/>
      <c r="D60" s="72" t="s">
        <v>85</v>
      </c>
      <c r="E60" s="171">
        <f t="shared" ref="E60:P60" si="10">SUM(E45*$D45,E46*$D46,E47*$D47, E48*$D48,E49*$D49,E50*$D50, E51*$D51,E52*$D52,E53*$D53,E54*$D54,E55*$D55,E56*$D56,E57*$D57,E58*D$39,E59*$D59)*E24</f>
        <v>0</v>
      </c>
      <c r="F60" s="170">
        <f t="shared" si="10"/>
        <v>0</v>
      </c>
      <c r="G60" s="170">
        <f t="shared" si="10"/>
        <v>0</v>
      </c>
      <c r="H60" s="170">
        <f t="shared" si="10"/>
        <v>0</v>
      </c>
      <c r="I60" s="170">
        <f t="shared" si="10"/>
        <v>22592.000000000007</v>
      </c>
      <c r="J60" s="170">
        <f t="shared" si="10"/>
        <v>28240.000000000007</v>
      </c>
      <c r="K60" s="170">
        <f t="shared" si="10"/>
        <v>28240.000000000007</v>
      </c>
      <c r="L60" s="170">
        <f t="shared" si="10"/>
        <v>28240.000000000007</v>
      </c>
      <c r="M60" s="170">
        <f t="shared" si="10"/>
        <v>35300.000000000007</v>
      </c>
      <c r="N60" s="170">
        <f t="shared" si="10"/>
        <v>33888.000000000015</v>
      </c>
      <c r="O60" s="170">
        <f t="shared" si="10"/>
        <v>33888.000000000015</v>
      </c>
      <c r="P60" s="170">
        <f t="shared" si="10"/>
        <v>42360.000000000015</v>
      </c>
      <c r="Q60" s="170">
        <f>SUM(Q45:Q52)</f>
        <v>252748.00000000006</v>
      </c>
      <c r="R60" s="170">
        <f>SUM(R45*$D45,R46*$D46,R47*$D47, R48*$D48,R49*$D49,R50*$D50, R51*$D51,R52*$D52,R53*$D53,R54*$D54,R55*$D55,R56*$D56,R57*$D57,R58*P$39,R59*$D59)*R24</f>
        <v>0</v>
      </c>
      <c r="S60" s="170">
        <f>SUM(S45*$D45,S46*$D46,S47*$D47, S48*$D48,S49*$D49,S50*$D50, S51*$D51,S52*$D52,S53*$D53,S54*$D54,S55*$D55,S56*$D56,S57*$D57,S58*R$39,S59*$D59)*S24</f>
        <v>0</v>
      </c>
      <c r="T60" s="171">
        <f>SUM(T45*$D45,T46*$D46,T47*$D47, T48*$D48,T49*$D49,T50*$D50, T51*$D51,T52*$D52,T53*$D53,T54*$D54,T55*$D55,T56*$D56,T57*$D57,T58*S$39,T59*$D59)*T24</f>
        <v>0</v>
      </c>
      <c r="U60" s="170">
        <f>SUM(U45:U52)</f>
        <v>0</v>
      </c>
      <c r="V60" s="170">
        <f>SUM(V45:V52)</f>
        <v>0</v>
      </c>
      <c r="W60" s="171">
        <f>SUM(W45:W52)</f>
        <v>0</v>
      </c>
      <c r="X60" s="173"/>
    </row>
    <row r="61" spans="1:24" hidden="1" x14ac:dyDescent="0.25">
      <c r="A61" s="111"/>
      <c r="D61" s="174" t="str">
        <f>IF($Z$4="N","","% of Temp sales overseas")</f>
        <v/>
      </c>
      <c r="E61" s="175" t="str">
        <f t="shared" ref="E61:P61" si="11">IF($Z$4="N","hide",0)</f>
        <v>hide</v>
      </c>
      <c r="F61" s="191" t="str">
        <f t="shared" si="11"/>
        <v>hide</v>
      </c>
      <c r="G61" s="191" t="str">
        <f t="shared" si="11"/>
        <v>hide</v>
      </c>
      <c r="H61" s="191" t="str">
        <f t="shared" si="11"/>
        <v>hide</v>
      </c>
      <c r="I61" s="191" t="str">
        <f t="shared" si="11"/>
        <v>hide</v>
      </c>
      <c r="J61" s="191" t="str">
        <f t="shared" si="11"/>
        <v>hide</v>
      </c>
      <c r="K61" s="191" t="str">
        <f t="shared" si="11"/>
        <v>hide</v>
      </c>
      <c r="L61" s="191" t="str">
        <f t="shared" si="11"/>
        <v>hide</v>
      </c>
      <c r="M61" s="191" t="str">
        <f t="shared" si="11"/>
        <v>hide</v>
      </c>
      <c r="N61" s="191" t="str">
        <f t="shared" si="11"/>
        <v>hide</v>
      </c>
      <c r="O61" s="191" t="str">
        <f t="shared" si="11"/>
        <v>hide</v>
      </c>
      <c r="P61" s="191" t="str">
        <f t="shared" si="11"/>
        <v>hide</v>
      </c>
      <c r="Q61" s="192"/>
      <c r="R61" s="191" t="str">
        <f>IF($Z$4="N","hide",0)</f>
        <v>hide</v>
      </c>
      <c r="S61" s="191" t="str">
        <f>IF($Z$4="N","hide",0)</f>
        <v>hide</v>
      </c>
      <c r="T61" s="191" t="str">
        <f>IF($Z$4="N","hide",0)</f>
        <v>hide</v>
      </c>
      <c r="U61" s="191"/>
    </row>
    <row r="62" spans="1:24" x14ac:dyDescent="0.25">
      <c r="A62" s="111"/>
      <c r="B62" s="193"/>
      <c r="C62" s="167"/>
      <c r="D62" s="72" t="s">
        <v>290</v>
      </c>
      <c r="E62" s="171">
        <f t="shared" ref="E62:W62" si="12">+E60+E41</f>
        <v>0</v>
      </c>
      <c r="F62" s="171">
        <f t="shared" si="12"/>
        <v>0</v>
      </c>
      <c r="G62" s="171">
        <f t="shared" si="12"/>
        <v>0</v>
      </c>
      <c r="H62" s="171">
        <f t="shared" si="12"/>
        <v>50625</v>
      </c>
      <c r="I62" s="171">
        <f t="shared" si="12"/>
        <v>22592.000000000007</v>
      </c>
      <c r="J62" s="171">
        <f t="shared" si="12"/>
        <v>78865</v>
      </c>
      <c r="K62" s="171">
        <f t="shared" si="12"/>
        <v>28240.000000000007</v>
      </c>
      <c r="L62" s="171">
        <f t="shared" si="12"/>
        <v>78865</v>
      </c>
      <c r="M62" s="171">
        <f t="shared" si="12"/>
        <v>35300.000000000007</v>
      </c>
      <c r="N62" s="171">
        <f t="shared" si="12"/>
        <v>84513.000000000015</v>
      </c>
      <c r="O62" s="171">
        <f t="shared" si="12"/>
        <v>33888.000000000015</v>
      </c>
      <c r="P62" s="171">
        <f t="shared" si="12"/>
        <v>92985.000000000015</v>
      </c>
      <c r="Q62" s="171">
        <f t="shared" si="12"/>
        <v>505873.00000000006</v>
      </c>
      <c r="R62" s="171">
        <f t="shared" si="12"/>
        <v>0</v>
      </c>
      <c r="S62" s="171">
        <f t="shared" si="12"/>
        <v>0</v>
      </c>
      <c r="T62" s="171">
        <f t="shared" si="12"/>
        <v>0</v>
      </c>
      <c r="U62" s="171">
        <f t="shared" si="12"/>
        <v>0</v>
      </c>
      <c r="V62" s="171">
        <f t="shared" si="12"/>
        <v>0</v>
      </c>
      <c r="W62" s="171">
        <f t="shared" si="12"/>
        <v>0</v>
      </c>
      <c r="X62" s="173"/>
    </row>
    <row r="64" spans="1:24" x14ac:dyDescent="0.25">
      <c r="B64" s="194" t="s">
        <v>291</v>
      </c>
      <c r="C64" s="195" t="s">
        <v>292</v>
      </c>
      <c r="D64" s="117" t="s">
        <v>233</v>
      </c>
      <c r="E64" s="196" t="s">
        <v>208</v>
      </c>
      <c r="F64" s="196" t="s">
        <v>208</v>
      </c>
      <c r="G64" s="196" t="s">
        <v>208</v>
      </c>
      <c r="H64" s="196" t="s">
        <v>208</v>
      </c>
      <c r="I64" s="196" t="s">
        <v>208</v>
      </c>
      <c r="J64" s="196" t="s">
        <v>208</v>
      </c>
      <c r="K64" s="196" t="s">
        <v>208</v>
      </c>
      <c r="L64" s="196" t="s">
        <v>208</v>
      </c>
      <c r="M64" s="196" t="s">
        <v>208</v>
      </c>
      <c r="N64" s="196" t="s">
        <v>208</v>
      </c>
      <c r="O64" s="196" t="s">
        <v>208</v>
      </c>
      <c r="P64" s="196" t="s">
        <v>208</v>
      </c>
      <c r="Q64" s="119"/>
      <c r="R64" s="196" t="s">
        <v>262</v>
      </c>
      <c r="S64" s="196" t="s">
        <v>262</v>
      </c>
      <c r="T64" s="196" t="s">
        <v>262</v>
      </c>
    </row>
    <row r="65" spans="2:20" x14ac:dyDescent="0.25">
      <c r="C65" s="195" t="s">
        <v>293</v>
      </c>
      <c r="D65" s="197"/>
      <c r="E65" s="198"/>
      <c r="F65" s="198"/>
      <c r="G65" s="198"/>
      <c r="H65" s="209"/>
      <c r="I65" s="209"/>
      <c r="J65" s="209"/>
      <c r="K65" s="209"/>
      <c r="L65" s="209"/>
      <c r="M65" s="209"/>
      <c r="N65" s="209"/>
      <c r="O65" s="209"/>
      <c r="P65" s="209"/>
      <c r="Q65" s="119">
        <f>SUM(E65:P65)</f>
        <v>0</v>
      </c>
      <c r="R65" s="198"/>
      <c r="S65" s="198"/>
      <c r="T65" s="198"/>
    </row>
    <row r="66" spans="2:20" x14ac:dyDescent="0.25">
      <c r="C66" s="195" t="s">
        <v>293</v>
      </c>
      <c r="D66" s="197" t="s">
        <v>294</v>
      </c>
      <c r="E66" s="198"/>
      <c r="F66" s="198"/>
      <c r="G66" s="198"/>
      <c r="H66" s="198"/>
      <c r="I66" s="198"/>
      <c r="J66" s="198"/>
      <c r="K66" s="198"/>
      <c r="L66" s="198"/>
      <c r="M66" s="198"/>
      <c r="N66" s="198"/>
      <c r="O66" s="198"/>
      <c r="P66" s="198"/>
      <c r="Q66" s="119">
        <f>SUM(E66:P66)</f>
        <v>0</v>
      </c>
      <c r="R66" s="198"/>
      <c r="S66" s="198"/>
      <c r="T66" s="198"/>
    </row>
    <row r="67" spans="2:20" x14ac:dyDescent="0.25">
      <c r="C67" s="195" t="s">
        <v>293</v>
      </c>
      <c r="D67" s="197" t="s">
        <v>295</v>
      </c>
      <c r="E67" s="198"/>
      <c r="F67" s="198"/>
      <c r="G67" s="198"/>
      <c r="H67" s="198"/>
      <c r="I67" s="198"/>
      <c r="J67" s="198"/>
      <c r="K67" s="198"/>
      <c r="L67" s="198"/>
      <c r="M67" s="198"/>
      <c r="N67" s="198"/>
      <c r="O67" s="198"/>
      <c r="P67" s="199"/>
      <c r="Q67" s="119">
        <f>SUM(E67:P67)</f>
        <v>0</v>
      </c>
      <c r="R67" s="198"/>
      <c r="S67" s="198"/>
      <c r="T67" s="198"/>
    </row>
    <row r="69" spans="2:20" x14ac:dyDescent="0.25">
      <c r="B69" s="5" t="s">
        <v>296</v>
      </c>
    </row>
    <row r="70" spans="2:20" x14ac:dyDescent="0.25">
      <c r="B70" s="195" t="s">
        <v>297</v>
      </c>
    </row>
    <row r="71" spans="2:20" ht="14.45" customHeight="1" x14ac:dyDescent="0.25">
      <c r="B71" s="279"/>
      <c r="C71" s="280"/>
      <c r="D71" s="280"/>
      <c r="E71" s="280"/>
      <c r="F71" s="280"/>
      <c r="G71" s="280"/>
      <c r="H71" s="280"/>
      <c r="I71" s="280"/>
      <c r="J71" s="280"/>
      <c r="K71" s="280"/>
      <c r="L71" s="280"/>
      <c r="M71" s="280"/>
      <c r="N71" s="280"/>
      <c r="O71" s="280"/>
      <c r="P71" s="280"/>
      <c r="Q71" s="280"/>
      <c r="R71" s="280"/>
      <c r="S71" s="280"/>
      <c r="T71" s="280"/>
    </row>
    <row r="72" spans="2:20" x14ac:dyDescent="0.25">
      <c r="B72" s="280"/>
      <c r="C72" s="280"/>
      <c r="D72" s="280"/>
      <c r="E72" s="280"/>
      <c r="F72" s="280"/>
      <c r="G72" s="280"/>
      <c r="H72" s="280"/>
      <c r="I72" s="280"/>
      <c r="J72" s="280"/>
      <c r="K72" s="280"/>
      <c r="L72" s="280"/>
      <c r="M72" s="280"/>
      <c r="N72" s="280"/>
      <c r="O72" s="280"/>
      <c r="P72" s="280"/>
      <c r="Q72" s="280"/>
      <c r="R72" s="280"/>
      <c r="S72" s="280"/>
      <c r="T72" s="280"/>
    </row>
    <row r="73" spans="2:20" x14ac:dyDescent="0.25">
      <c r="B73" t="s">
        <v>298</v>
      </c>
    </row>
    <row r="74" spans="2:20" x14ac:dyDescent="0.25">
      <c r="B74" s="281"/>
      <c r="C74" s="280"/>
      <c r="D74" s="280"/>
      <c r="E74" s="280"/>
      <c r="F74" s="280"/>
      <c r="G74" s="280"/>
      <c r="H74" s="280"/>
      <c r="I74" s="280"/>
      <c r="J74" s="280"/>
      <c r="K74" s="280"/>
      <c r="L74" s="280"/>
      <c r="M74" s="280"/>
      <c r="N74" s="280"/>
      <c r="O74" s="280"/>
      <c r="P74" s="280"/>
      <c r="Q74" s="280"/>
      <c r="R74" s="280"/>
      <c r="S74" s="280"/>
      <c r="T74" s="280"/>
    </row>
    <row r="75" spans="2:20" x14ac:dyDescent="0.25">
      <c r="B75" s="280"/>
      <c r="C75" s="280"/>
      <c r="D75" s="280"/>
      <c r="E75" s="280"/>
      <c r="F75" s="280"/>
      <c r="G75" s="280"/>
      <c r="H75" s="280"/>
      <c r="I75" s="280"/>
      <c r="J75" s="280"/>
      <c r="K75" s="280"/>
      <c r="L75" s="280"/>
      <c r="M75" s="280"/>
      <c r="N75" s="280"/>
      <c r="O75" s="280"/>
      <c r="P75" s="280"/>
      <c r="Q75" s="280"/>
      <c r="R75" s="280"/>
      <c r="S75" s="280"/>
      <c r="T75" s="280"/>
    </row>
    <row r="76" spans="2:20" x14ac:dyDescent="0.25">
      <c r="B76" s="280"/>
      <c r="C76" s="280"/>
      <c r="D76" s="280"/>
      <c r="E76" s="280"/>
      <c r="F76" s="280"/>
      <c r="G76" s="280"/>
      <c r="H76" s="280"/>
      <c r="I76" s="280"/>
      <c r="J76" s="280"/>
      <c r="K76" s="280"/>
      <c r="L76" s="280"/>
      <c r="M76" s="280"/>
      <c r="N76" s="280"/>
      <c r="O76" s="280"/>
      <c r="P76" s="280"/>
      <c r="Q76" s="280"/>
      <c r="R76" s="280"/>
      <c r="S76" s="280"/>
      <c r="T76" s="280"/>
    </row>
    <row r="77" spans="2:20" x14ac:dyDescent="0.25">
      <c r="B77" s="280"/>
      <c r="C77" s="280"/>
      <c r="D77" s="280"/>
      <c r="E77" s="280"/>
      <c r="F77" s="280"/>
      <c r="G77" s="280"/>
      <c r="H77" s="280"/>
      <c r="I77" s="280"/>
      <c r="J77" s="280"/>
      <c r="K77" s="280"/>
      <c r="L77" s="280"/>
      <c r="M77" s="280"/>
      <c r="N77" s="280"/>
      <c r="O77" s="280"/>
      <c r="P77" s="280"/>
      <c r="Q77" s="280"/>
      <c r="R77" s="280"/>
      <c r="S77" s="280"/>
      <c r="T77" s="280"/>
    </row>
    <row r="78" spans="2:20" x14ac:dyDescent="0.25">
      <c r="B78" s="280"/>
      <c r="C78" s="280"/>
      <c r="D78" s="280"/>
      <c r="E78" s="280"/>
      <c r="F78" s="280"/>
      <c r="G78" s="280"/>
      <c r="H78" s="280"/>
      <c r="I78" s="280"/>
      <c r="J78" s="280"/>
      <c r="K78" s="280"/>
      <c r="L78" s="280"/>
      <c r="M78" s="280"/>
      <c r="N78" s="280"/>
      <c r="O78" s="280"/>
      <c r="P78" s="280"/>
      <c r="Q78" s="280"/>
      <c r="R78" s="280"/>
      <c r="S78" s="280"/>
      <c r="T78" s="280"/>
    </row>
    <row r="79" spans="2:20" x14ac:dyDescent="0.25">
      <c r="B79" s="280"/>
      <c r="C79" s="280"/>
      <c r="D79" s="280"/>
      <c r="E79" s="280"/>
      <c r="F79" s="280"/>
      <c r="G79" s="280"/>
      <c r="H79" s="280"/>
      <c r="I79" s="280"/>
      <c r="J79" s="280"/>
      <c r="K79" s="280"/>
      <c r="L79" s="280"/>
      <c r="M79" s="280"/>
      <c r="N79" s="280"/>
      <c r="O79" s="280"/>
      <c r="P79" s="280"/>
      <c r="Q79" s="280"/>
      <c r="R79" s="280"/>
      <c r="S79" s="280"/>
      <c r="T79" s="280"/>
    </row>
    <row r="80" spans="2:20" x14ac:dyDescent="0.25">
      <c r="B80" s="280"/>
      <c r="C80" s="280"/>
      <c r="D80" s="280"/>
      <c r="E80" s="280"/>
      <c r="F80" s="280"/>
      <c r="G80" s="280"/>
      <c r="H80" s="280"/>
      <c r="I80" s="280"/>
      <c r="J80" s="280"/>
      <c r="K80" s="280"/>
      <c r="L80" s="280"/>
      <c r="M80" s="280"/>
      <c r="N80" s="280"/>
      <c r="O80" s="280"/>
      <c r="P80" s="280"/>
      <c r="Q80" s="280"/>
      <c r="R80" s="280"/>
      <c r="S80" s="280"/>
      <c r="T80" s="280"/>
    </row>
  </sheetData>
  <mergeCells count="3">
    <mergeCell ref="E2:F2"/>
    <mergeCell ref="B71:T72"/>
    <mergeCell ref="B74:T80"/>
  </mergeCells>
  <conditionalFormatting sqref="E42:U42 E61:U61">
    <cfRule type="containsText" dxfId="3" priority="3" operator="containsText" text="hide">
      <formula>NOT(ISERROR(SEARCH("hide",E42)))</formula>
    </cfRule>
    <cfRule type="expression" dxfId="2" priority="4">
      <formula>$Z$4=Y</formula>
    </cfRule>
  </conditionalFormatting>
  <conditionalFormatting sqref="S14">
    <cfRule type="cellIs" dxfId="1" priority="1" operator="equal">
      <formula>"Error must total 100%"</formula>
    </cfRule>
    <cfRule type="expression" dxfId="0" priority="2">
      <formula>"d97&lt;100%"</formula>
    </cfRule>
  </conditionalFormatting>
  <dataValidations count="8">
    <dataValidation type="list" allowBlank="1" showInputMessage="1" showErrorMessage="1" sqref="C3 Z4 Z26:AF26 R64:T64 E64:P64" xr:uid="{00000000-0002-0000-0400-000000000000}">
      <formula1>"Y,N"</formula1>
    </dataValidation>
    <dataValidation type="list" allowBlank="1" showInputMessage="1" showErrorMessage="1" sqref="C26:C40 C45:C59" xr:uid="{00000000-0002-0000-0400-000001000000}">
      <formula1>$C$5:$C$21</formula1>
    </dataValidation>
    <dataValidation type="decimal" allowBlank="1" showInputMessage="1" showErrorMessage="1" promptTitle="Please enter cost in £" prompt="Please enter the cost for each month/year in GBP £ for the item that you have specified in cell D67." sqref="E67:P67 R67:T67" xr:uid="{00000000-0002-0000-0400-000002000000}">
      <formula1>0</formula1>
      <formula2>10000</formula2>
    </dataValidation>
    <dataValidation type="decimal" allowBlank="1" showInputMessage="1" showErrorMessage="1" promptTitle="Enter cost in £" prompt="Please enter the cost for each month/year in GBP £ for the item that you have specified in cell D66." sqref="R66:T66 E66:P66" xr:uid="{00000000-0002-0000-0400-000003000000}">
      <formula1>0</formula1>
      <formula2>10000</formula2>
    </dataValidation>
    <dataValidation type="decimal" allowBlank="1" showInputMessage="1" showErrorMessage="1" promptTitle="Enter cost in £" prompt="Please enter the cost for each month/year in GBP £ for the item that you have specified in cell D65." sqref="R65:T65 E65:G65" xr:uid="{00000000-0002-0000-0400-000004000000}">
      <formula1>0</formula1>
      <formula2>10000</formula2>
    </dataValidation>
    <dataValidation allowBlank="1" showInputMessage="1" showErrorMessage="1" promptTitle="Please describe cost line" prompt="Please describe the cost you wish to forecast - e.g. 'Rent' ''Memberships and subscriptons', 'DBX checks' etc, " sqref="D65:D67" xr:uid="{00000000-0002-0000-0400-000005000000}"/>
    <dataValidation type="decimal" allowBlank="1" showInputMessage="1" showErrorMessage="1" prompt="Enter cost in £ - Please enter the cost for each month/year in GBP £ for the item that you have specified in cell D65." sqref="H65:P65" xr:uid="{00000000-0002-0000-0400-000007000000}">
      <formula1>0</formula1>
      <formula2>10000</formula2>
    </dataValidation>
    <dataValidation type="list" allowBlank="1" showInputMessage="1" showErrorMessage="1" sqref="Q4" xr:uid="{00000000-0002-0000-0400-000008000000}">
      <formula1>$AX$2:$AX$3</formula1>
    </dataValidation>
  </dataValidations>
  <pageMargins left="0.7" right="0.7" top="0.75" bottom="0.75" header="0.3" footer="0.3"/>
  <pageSetup paperSize="9" scale="35"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5"/>
  <sheetViews>
    <sheetView workbookViewId="0">
      <selection activeCell="F5" sqref="F5"/>
    </sheetView>
  </sheetViews>
  <sheetFormatPr defaultRowHeight="15" x14ac:dyDescent="0.25"/>
  <sheetData>
    <row r="1" spans="1:1" ht="31.5" customHeight="1" x14ac:dyDescent="0.5">
      <c r="A1" s="275" t="s">
        <v>299</v>
      </c>
    </row>
    <row r="2" spans="1:1" x14ac:dyDescent="0.25">
      <c r="A2" t="s">
        <v>300</v>
      </c>
    </row>
    <row r="5" spans="1:1" ht="18.75" customHeight="1" x14ac:dyDescent="0.3">
      <c r="A5" s="276"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Potential model changes</vt:lpstr>
      <vt:lpstr>Sales forecast by person</vt:lpstr>
      <vt:lpstr>Assumptions - Sales</vt:lpstr>
      <vt:lpstr>Business Modelling Plan</vt:lpstr>
      <vt:lpstr>Input Sheet</vt:lpstr>
      <vt:lpstr>Analysis1</vt:lpstr>
      <vt:lpstr>_1st_Biller</vt:lpstr>
      <vt:lpstr>Capex_Per_New_Starter</vt:lpstr>
      <vt:lpstr>Credit_Control___cash_collection</vt:lpstr>
      <vt:lpstr>'Input Sheet'!Print_Area</vt:lpstr>
      <vt:lpstr>Salaries_StartDates_Commission_Licences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Ashleigh Bennett</dc:creator>
  <cp:lastModifiedBy>Bryan Blair</cp:lastModifiedBy>
  <dcterms:created xsi:type="dcterms:W3CDTF">2024-04-18T13:38:47Z</dcterms:created>
  <dcterms:modified xsi:type="dcterms:W3CDTF">2025-06-06T03:14:41Z</dcterms:modified>
</cp:coreProperties>
</file>