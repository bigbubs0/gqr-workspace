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Custom Office Templates/"/>
    </mc:Choice>
  </mc:AlternateContent>
  <xr:revisionPtr revIDLastSave="0" documentId="8_{EDC6F339-BE1B-485B-B048-EB37332BC6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le 6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" i="1" l="1"/>
  <c r="G12" i="1" s="1"/>
  <c r="K12" i="1"/>
  <c r="M12" i="1"/>
  <c r="AS12" i="1" s="1"/>
  <c r="S12" i="1"/>
  <c r="T12" i="1"/>
  <c r="AB12" i="1" s="1"/>
  <c r="AJ12" i="1" s="1"/>
  <c r="AR12" i="1" s="1"/>
  <c r="AA12" i="1"/>
  <c r="AI12" i="1"/>
  <c r="AK12" i="1"/>
  <c r="AQ12" i="1"/>
  <c r="AY12" i="1"/>
  <c r="F13" i="1"/>
  <c r="G13" i="1" s="1"/>
  <c r="K13" i="1"/>
  <c r="M13" i="1"/>
  <c r="AK13" i="1" s="1"/>
  <c r="S13" i="1"/>
  <c r="T13" i="1"/>
  <c r="AA13" i="1"/>
  <c r="AB13" i="1"/>
  <c r="AJ13" i="1" s="1"/>
  <c r="AR13" i="1" s="1"/>
  <c r="AC13" i="1"/>
  <c r="AI13" i="1"/>
  <c r="AQ13" i="1"/>
  <c r="AS13" i="1"/>
  <c r="AY13" i="1"/>
  <c r="BA13" i="1"/>
  <c r="F14" i="1"/>
  <c r="G14" i="1" s="1"/>
  <c r="K14" i="1"/>
  <c r="M14" i="1"/>
  <c r="AC14" i="1" s="1"/>
  <c r="S14" i="1"/>
  <c r="T14" i="1"/>
  <c r="AB14" i="1" s="1"/>
  <c r="AJ14" i="1" s="1"/>
  <c r="AR14" i="1" s="1"/>
  <c r="U14" i="1"/>
  <c r="AA14" i="1"/>
  <c r="AI14" i="1"/>
  <c r="AK14" i="1"/>
  <c r="AQ14" i="1"/>
  <c r="AS14" i="1"/>
  <c r="AY14" i="1"/>
  <c r="F15" i="1"/>
  <c r="G15" i="1"/>
  <c r="K15" i="1"/>
  <c r="M15" i="1"/>
  <c r="U15" i="1" s="1"/>
  <c r="S15" i="1"/>
  <c r="T15" i="1"/>
  <c r="AB15" i="1" s="1"/>
  <c r="AJ15" i="1" s="1"/>
  <c r="AR15" i="1" s="1"/>
  <c r="AA15" i="1"/>
  <c r="AI15" i="1"/>
  <c r="AK15" i="1"/>
  <c r="AQ15" i="1"/>
  <c r="AY15" i="1"/>
  <c r="F16" i="1"/>
  <c r="G16" i="1" s="1"/>
  <c r="K16" i="1"/>
  <c r="M16" i="1"/>
  <c r="AC16" i="1" s="1"/>
  <c r="S16" i="1"/>
  <c r="T16" i="1"/>
  <c r="AA16" i="1"/>
  <c r="AB16" i="1"/>
  <c r="AJ16" i="1" s="1"/>
  <c r="AR16" i="1" s="1"/>
  <c r="AI16" i="1"/>
  <c r="AK16" i="1"/>
  <c r="AQ16" i="1"/>
  <c r="AY16" i="1"/>
  <c r="BA16" i="1"/>
  <c r="F17" i="1"/>
  <c r="G17" i="1" s="1"/>
  <c r="K17" i="1"/>
  <c r="M17" i="1"/>
  <c r="AC17" i="1" s="1"/>
  <c r="S17" i="1"/>
  <c r="T17" i="1"/>
  <c r="AB17" i="1" s="1"/>
  <c r="AJ17" i="1" s="1"/>
  <c r="AR17" i="1" s="1"/>
  <c r="AA17" i="1"/>
  <c r="AI17" i="1"/>
  <c r="AQ17" i="1"/>
  <c r="AY17" i="1"/>
  <c r="F18" i="1"/>
  <c r="G18" i="1" s="1"/>
  <c r="K18" i="1"/>
  <c r="M18" i="1"/>
  <c r="U18" i="1" s="1"/>
  <c r="S18" i="1"/>
  <c r="T18" i="1"/>
  <c r="AA18" i="1"/>
  <c r="AB18" i="1"/>
  <c r="AJ18" i="1" s="1"/>
  <c r="AR18" i="1" s="1"/>
  <c r="AI18" i="1"/>
  <c r="AQ18" i="1"/>
  <c r="AY18" i="1"/>
  <c r="F22" i="1"/>
  <c r="G22" i="1" s="1"/>
  <c r="K22" i="1"/>
  <c r="M22" i="1"/>
  <c r="AS22" i="1" s="1"/>
  <c r="S22" i="1"/>
  <c r="T22" i="1"/>
  <c r="AA22" i="1"/>
  <c r="AB22" i="1"/>
  <c r="AJ22" i="1" s="1"/>
  <c r="AR22" i="1" s="1"/>
  <c r="AC22" i="1"/>
  <c r="AI22" i="1"/>
  <c r="AK22" i="1"/>
  <c r="AQ22" i="1"/>
  <c r="AY22" i="1"/>
  <c r="BA22" i="1"/>
  <c r="F23" i="1"/>
  <c r="G23" i="1" s="1"/>
  <c r="K23" i="1"/>
  <c r="M23" i="1"/>
  <c r="AS23" i="1" s="1"/>
  <c r="S23" i="1"/>
  <c r="T23" i="1"/>
  <c r="AB23" i="1" s="1"/>
  <c r="AJ23" i="1" s="1"/>
  <c r="AR23" i="1" s="1"/>
  <c r="AA23" i="1"/>
  <c r="AI23" i="1"/>
  <c r="AK23" i="1"/>
  <c r="AQ23" i="1"/>
  <c r="AY23" i="1"/>
  <c r="F24" i="1"/>
  <c r="G24" i="1" s="1"/>
  <c r="K24" i="1"/>
  <c r="M24" i="1"/>
  <c r="AK24" i="1" s="1"/>
  <c r="S24" i="1"/>
  <c r="T24" i="1"/>
  <c r="AB24" i="1" s="1"/>
  <c r="AJ24" i="1" s="1"/>
  <c r="AR24" i="1" s="1"/>
  <c r="AA24" i="1"/>
  <c r="AC24" i="1"/>
  <c r="AI24" i="1"/>
  <c r="AQ24" i="1"/>
  <c r="AS24" i="1"/>
  <c r="AY24" i="1"/>
  <c r="BA24" i="1"/>
  <c r="E25" i="1"/>
  <c r="F25" i="1"/>
  <c r="G25" i="1" s="1"/>
  <c r="K25" i="1"/>
  <c r="M25" i="1"/>
  <c r="AC25" i="1" s="1"/>
  <c r="S25" i="1"/>
  <c r="T25" i="1"/>
  <c r="AB25" i="1" s="1"/>
  <c r="AJ25" i="1" s="1"/>
  <c r="AR25" i="1" s="1"/>
  <c r="U25" i="1"/>
  <c r="AA25" i="1"/>
  <c r="AI25" i="1"/>
  <c r="AK25" i="1"/>
  <c r="AQ25" i="1"/>
  <c r="AS25" i="1"/>
  <c r="AY25" i="1"/>
  <c r="F26" i="1"/>
  <c r="G26" i="1" s="1"/>
  <c r="K26" i="1"/>
  <c r="M26" i="1"/>
  <c r="U26" i="1" s="1"/>
  <c r="S26" i="1"/>
  <c r="T26" i="1"/>
  <c r="AB26" i="1" s="1"/>
  <c r="AJ26" i="1" s="1"/>
  <c r="AR26" i="1" s="1"/>
  <c r="AA26" i="1"/>
  <c r="AI26" i="1"/>
  <c r="AK26" i="1"/>
  <c r="AQ26" i="1"/>
  <c r="AY26" i="1"/>
  <c r="E27" i="1"/>
  <c r="F27" i="1"/>
  <c r="G27" i="1"/>
  <c r="K27" i="1"/>
  <c r="M27" i="1"/>
  <c r="S27" i="1"/>
  <c r="T27" i="1"/>
  <c r="AB27" i="1" s="1"/>
  <c r="AJ27" i="1" s="1"/>
  <c r="AR27" i="1" s="1"/>
  <c r="U27" i="1"/>
  <c r="AA27" i="1"/>
  <c r="AC27" i="1"/>
  <c r="AI27" i="1"/>
  <c r="AK27" i="1"/>
  <c r="AQ27" i="1"/>
  <c r="AS27" i="1"/>
  <c r="AY27" i="1"/>
  <c r="BA27" i="1"/>
  <c r="F28" i="1"/>
  <c r="G28" i="1"/>
  <c r="K28" i="1"/>
  <c r="M28" i="1"/>
  <c r="AC28" i="1" s="1"/>
  <c r="S28" i="1"/>
  <c r="T28" i="1"/>
  <c r="AB28" i="1" s="1"/>
  <c r="AJ28" i="1" s="1"/>
  <c r="AR28" i="1" s="1"/>
  <c r="U28" i="1"/>
  <c r="AA28" i="1"/>
  <c r="AI28" i="1"/>
  <c r="AK28" i="1"/>
  <c r="AQ28" i="1"/>
  <c r="AY28" i="1"/>
  <c r="F32" i="1"/>
  <c r="G32" i="1" s="1"/>
  <c r="K32" i="1"/>
  <c r="M32" i="1"/>
  <c r="U32" i="1" s="1"/>
  <c r="S32" i="1"/>
  <c r="T32" i="1"/>
  <c r="AB32" i="1" s="1"/>
  <c r="AJ32" i="1" s="1"/>
  <c r="AR32" i="1" s="1"/>
  <c r="AA32" i="1"/>
  <c r="AI32" i="1"/>
  <c r="AQ32" i="1"/>
  <c r="AY32" i="1"/>
  <c r="F33" i="1"/>
  <c r="G33" i="1" s="1"/>
  <c r="K33" i="1"/>
  <c r="M33" i="1"/>
  <c r="S33" i="1"/>
  <c r="T33" i="1"/>
  <c r="AB33" i="1" s="1"/>
  <c r="AJ33" i="1" s="1"/>
  <c r="AR33" i="1" s="1"/>
  <c r="U33" i="1"/>
  <c r="AA33" i="1"/>
  <c r="AC33" i="1"/>
  <c r="AI33" i="1"/>
  <c r="AK33" i="1"/>
  <c r="AQ33" i="1"/>
  <c r="AS33" i="1"/>
  <c r="AY33" i="1"/>
  <c r="BA33" i="1"/>
  <c r="F34" i="1"/>
  <c r="G34" i="1"/>
  <c r="K34" i="1"/>
  <c r="M34" i="1"/>
  <c r="AS34" i="1" s="1"/>
  <c r="S34" i="1"/>
  <c r="T34" i="1"/>
  <c r="AB34" i="1" s="1"/>
  <c r="AJ34" i="1" s="1"/>
  <c r="AR34" i="1" s="1"/>
  <c r="AA34" i="1"/>
  <c r="AI34" i="1"/>
  <c r="AK34" i="1"/>
  <c r="AQ34" i="1"/>
  <c r="AY34" i="1"/>
  <c r="E35" i="1"/>
  <c r="F35" i="1"/>
  <c r="G35" i="1" s="1"/>
  <c r="K35" i="1"/>
  <c r="M35" i="1"/>
  <c r="AK35" i="1" s="1"/>
  <c r="S35" i="1"/>
  <c r="T35" i="1"/>
  <c r="AB35" i="1" s="1"/>
  <c r="AJ35" i="1" s="1"/>
  <c r="AR35" i="1" s="1"/>
  <c r="AA35" i="1"/>
  <c r="AC35" i="1"/>
  <c r="AI35" i="1"/>
  <c r="AQ35" i="1"/>
  <c r="AS35" i="1"/>
  <c r="AY35" i="1"/>
  <c r="F36" i="1"/>
  <c r="G36" i="1" s="1"/>
  <c r="K36" i="1"/>
  <c r="M36" i="1"/>
  <c r="AC36" i="1" s="1"/>
  <c r="S36" i="1"/>
  <c r="T36" i="1"/>
  <c r="AB36" i="1" s="1"/>
  <c r="AJ36" i="1" s="1"/>
  <c r="AR36" i="1" s="1"/>
  <c r="AA36" i="1"/>
  <c r="AI36" i="1"/>
  <c r="AQ36" i="1"/>
  <c r="AS36" i="1"/>
  <c r="AY36" i="1"/>
  <c r="F37" i="1"/>
  <c r="G37" i="1" s="1"/>
  <c r="K37" i="1"/>
  <c r="M37" i="1"/>
  <c r="U37" i="1" s="1"/>
  <c r="S37" i="1"/>
  <c r="T37" i="1"/>
  <c r="AB37" i="1" s="1"/>
  <c r="AJ37" i="1" s="1"/>
  <c r="AR37" i="1" s="1"/>
  <c r="AA37" i="1"/>
  <c r="AI37" i="1"/>
  <c r="AK37" i="1"/>
  <c r="AQ37" i="1"/>
  <c r="AY37" i="1"/>
  <c r="F38" i="1"/>
  <c r="G38" i="1" s="1"/>
  <c r="K38" i="1"/>
  <c r="M38" i="1"/>
  <c r="AS38" i="1" s="1"/>
  <c r="S38" i="1"/>
  <c r="T38" i="1"/>
  <c r="AB38" i="1" s="1"/>
  <c r="AJ38" i="1" s="1"/>
  <c r="AR38" i="1" s="1"/>
  <c r="AA38" i="1"/>
  <c r="AI38" i="1"/>
  <c r="AK38" i="1"/>
  <c r="AQ38" i="1"/>
  <c r="AY38" i="1"/>
  <c r="F39" i="1"/>
  <c r="G39" i="1" s="1"/>
  <c r="K39" i="1"/>
  <c r="M39" i="1"/>
  <c r="AC39" i="1" s="1"/>
  <c r="S39" i="1"/>
  <c r="T39" i="1"/>
  <c r="AB39" i="1" s="1"/>
  <c r="AJ39" i="1" s="1"/>
  <c r="AR39" i="1" s="1"/>
  <c r="AA39" i="1"/>
  <c r="AI39" i="1"/>
  <c r="AQ39" i="1"/>
  <c r="AY39" i="1"/>
  <c r="F40" i="1"/>
  <c r="G40" i="1" s="1"/>
  <c r="K40" i="1"/>
  <c r="M40" i="1"/>
  <c r="AC40" i="1" s="1"/>
  <c r="S40" i="1"/>
  <c r="T40" i="1"/>
  <c r="AA40" i="1"/>
  <c r="AB40" i="1"/>
  <c r="AJ40" i="1" s="1"/>
  <c r="AR40" i="1" s="1"/>
  <c r="AI40" i="1"/>
  <c r="AQ40" i="1"/>
  <c r="AY40" i="1"/>
  <c r="F44" i="1"/>
  <c r="G44" i="1" s="1"/>
  <c r="K44" i="1"/>
  <c r="M44" i="1"/>
  <c r="AS44" i="1" s="1"/>
  <c r="S44" i="1"/>
  <c r="T44" i="1"/>
  <c r="AB44" i="1" s="1"/>
  <c r="AJ44" i="1" s="1"/>
  <c r="AR44" i="1" s="1"/>
  <c r="AA44" i="1"/>
  <c r="AI44" i="1"/>
  <c r="AK44" i="1"/>
  <c r="AQ44" i="1"/>
  <c r="AY44" i="1"/>
  <c r="F45" i="1"/>
  <c r="G45" i="1" s="1"/>
  <c r="K45" i="1"/>
  <c r="M45" i="1"/>
  <c r="AS45" i="1" s="1"/>
  <c r="S45" i="1"/>
  <c r="T45" i="1"/>
  <c r="AB45" i="1" s="1"/>
  <c r="AJ45" i="1" s="1"/>
  <c r="AR45" i="1" s="1"/>
  <c r="AA45" i="1"/>
  <c r="AI45" i="1"/>
  <c r="AQ45" i="1"/>
  <c r="AY45" i="1"/>
  <c r="F46" i="1"/>
  <c r="G46" i="1"/>
  <c r="K46" i="1"/>
  <c r="M46" i="1"/>
  <c r="AK46" i="1" s="1"/>
  <c r="S46" i="1"/>
  <c r="T46" i="1"/>
  <c r="AA46" i="1"/>
  <c r="AB46" i="1"/>
  <c r="AJ46" i="1" s="1"/>
  <c r="AR46" i="1" s="1"/>
  <c r="AC46" i="1"/>
  <c r="AI46" i="1"/>
  <c r="AQ46" i="1"/>
  <c r="AS46" i="1"/>
  <c r="AY46" i="1"/>
  <c r="BA46" i="1"/>
  <c r="F47" i="1"/>
  <c r="G47" i="1" s="1"/>
  <c r="K47" i="1"/>
  <c r="M47" i="1"/>
  <c r="AC47" i="1" s="1"/>
  <c r="S47" i="1"/>
  <c r="T47" i="1"/>
  <c r="AB47" i="1" s="1"/>
  <c r="AJ47" i="1" s="1"/>
  <c r="AR47" i="1" s="1"/>
  <c r="AA47" i="1"/>
  <c r="AI47" i="1"/>
  <c r="AK47" i="1"/>
  <c r="AQ47" i="1"/>
  <c r="AS47" i="1"/>
  <c r="AY47" i="1"/>
  <c r="F48" i="1"/>
  <c r="G48" i="1" s="1"/>
  <c r="K48" i="1"/>
  <c r="M48" i="1"/>
  <c r="U48" i="1" s="1"/>
  <c r="S48" i="1"/>
  <c r="T48" i="1"/>
  <c r="AB48" i="1" s="1"/>
  <c r="AJ48" i="1" s="1"/>
  <c r="AR48" i="1" s="1"/>
  <c r="AA48" i="1"/>
  <c r="AI48" i="1"/>
  <c r="AK48" i="1"/>
  <c r="AQ48" i="1"/>
  <c r="AY48" i="1"/>
  <c r="F49" i="1"/>
  <c r="G49" i="1"/>
  <c r="K49" i="1"/>
  <c r="M49" i="1"/>
  <c r="AS49" i="1" s="1"/>
  <c r="S49" i="1"/>
  <c r="T49" i="1"/>
  <c r="AA49" i="1"/>
  <c r="AB49" i="1"/>
  <c r="AJ49" i="1" s="1"/>
  <c r="AR49" i="1" s="1"/>
  <c r="AC49" i="1"/>
  <c r="AI49" i="1"/>
  <c r="AK49" i="1"/>
  <c r="AQ49" i="1"/>
  <c r="AY49" i="1"/>
  <c r="F50" i="1"/>
  <c r="G50" i="1"/>
  <c r="K50" i="1"/>
  <c r="M50" i="1"/>
  <c r="AC50" i="1" s="1"/>
  <c r="S50" i="1"/>
  <c r="T50" i="1"/>
  <c r="AB50" i="1" s="1"/>
  <c r="AJ50" i="1" s="1"/>
  <c r="AR50" i="1" s="1"/>
  <c r="AA50" i="1"/>
  <c r="AI50" i="1"/>
  <c r="AK50" i="1"/>
  <c r="AQ50" i="1"/>
  <c r="AY50" i="1"/>
  <c r="F54" i="1"/>
  <c r="G54" i="1" s="1"/>
  <c r="K54" i="1"/>
  <c r="M54" i="1"/>
  <c r="BA54" i="1" s="1"/>
  <c r="S54" i="1"/>
  <c r="T54" i="1"/>
  <c r="AB54" i="1" s="1"/>
  <c r="AJ54" i="1" s="1"/>
  <c r="AR54" i="1" s="1"/>
  <c r="AA54" i="1"/>
  <c r="AI54" i="1"/>
  <c r="AQ54" i="1"/>
  <c r="AY54" i="1"/>
  <c r="E55" i="1"/>
  <c r="F55" i="1"/>
  <c r="G55" i="1" s="1"/>
  <c r="K55" i="1"/>
  <c r="M55" i="1"/>
  <c r="AS55" i="1" s="1"/>
  <c r="S55" i="1"/>
  <c r="T55" i="1"/>
  <c r="AA55" i="1"/>
  <c r="AB55" i="1"/>
  <c r="AJ55" i="1" s="1"/>
  <c r="AR55" i="1" s="1"/>
  <c r="AC55" i="1"/>
  <c r="AI55" i="1"/>
  <c r="AK55" i="1"/>
  <c r="AQ55" i="1"/>
  <c r="AY55" i="1"/>
  <c r="F56" i="1"/>
  <c r="G56" i="1"/>
  <c r="K56" i="1"/>
  <c r="M56" i="1"/>
  <c r="AS56" i="1" s="1"/>
  <c r="S56" i="1"/>
  <c r="T56" i="1"/>
  <c r="AB56" i="1" s="1"/>
  <c r="AJ56" i="1" s="1"/>
  <c r="AR56" i="1" s="1"/>
  <c r="AA56" i="1"/>
  <c r="AI56" i="1"/>
  <c r="AQ56" i="1"/>
  <c r="AY56" i="1"/>
  <c r="E57" i="1"/>
  <c r="F57" i="1"/>
  <c r="G57" i="1" s="1"/>
  <c r="K57" i="1"/>
  <c r="M57" i="1"/>
  <c r="AK57" i="1" s="1"/>
  <c r="S57" i="1"/>
  <c r="T57" i="1"/>
  <c r="AB57" i="1" s="1"/>
  <c r="AJ57" i="1" s="1"/>
  <c r="AR57" i="1" s="1"/>
  <c r="AA57" i="1"/>
  <c r="AC57" i="1"/>
  <c r="AI57" i="1"/>
  <c r="AQ57" i="1"/>
  <c r="AS57" i="1"/>
  <c r="AY57" i="1"/>
  <c r="BA57" i="1"/>
  <c r="F58" i="1"/>
  <c r="G58" i="1" s="1"/>
  <c r="K58" i="1"/>
  <c r="M58" i="1"/>
  <c r="AC58" i="1" s="1"/>
  <c r="S58" i="1"/>
  <c r="T58" i="1"/>
  <c r="AB58" i="1" s="1"/>
  <c r="AJ58" i="1" s="1"/>
  <c r="AR58" i="1" s="1"/>
  <c r="U58" i="1"/>
  <c r="AA58" i="1"/>
  <c r="AI58" i="1"/>
  <c r="AK58" i="1"/>
  <c r="AQ58" i="1"/>
  <c r="AS58" i="1"/>
  <c r="AY58" i="1"/>
  <c r="F59" i="1"/>
  <c r="G59" i="1"/>
  <c r="K59" i="1"/>
  <c r="M59" i="1"/>
  <c r="U59" i="1" s="1"/>
  <c r="S59" i="1"/>
  <c r="T59" i="1"/>
  <c r="AB59" i="1" s="1"/>
  <c r="AJ59" i="1" s="1"/>
  <c r="AR59" i="1" s="1"/>
  <c r="AA59" i="1"/>
  <c r="AI59" i="1"/>
  <c r="AQ59" i="1"/>
  <c r="AY59" i="1"/>
  <c r="F60" i="1"/>
  <c r="G60" i="1" s="1"/>
  <c r="K60" i="1"/>
  <c r="M60" i="1"/>
  <c r="S60" i="1"/>
  <c r="T60" i="1"/>
  <c r="U60" i="1"/>
  <c r="AA60" i="1"/>
  <c r="AB60" i="1"/>
  <c r="AJ60" i="1" s="1"/>
  <c r="AR60" i="1" s="1"/>
  <c r="AC60" i="1"/>
  <c r="AI60" i="1"/>
  <c r="AK60" i="1"/>
  <c r="AQ60" i="1"/>
  <c r="AS60" i="1"/>
  <c r="AY60" i="1"/>
  <c r="BA60" i="1"/>
  <c r="F64" i="1"/>
  <c r="G64" i="1" s="1"/>
  <c r="K64" i="1"/>
  <c r="M64" i="1"/>
  <c r="AC64" i="1" s="1"/>
  <c r="S64" i="1"/>
  <c r="T64" i="1"/>
  <c r="AB64" i="1" s="1"/>
  <c r="AJ64" i="1" s="1"/>
  <c r="AR64" i="1" s="1"/>
  <c r="U64" i="1"/>
  <c r="AA64" i="1"/>
  <c r="AI64" i="1"/>
  <c r="AK64" i="1"/>
  <c r="AQ64" i="1"/>
  <c r="AY64" i="1"/>
  <c r="F65" i="1"/>
  <c r="G65" i="1"/>
  <c r="K65" i="1"/>
  <c r="M65" i="1"/>
  <c r="U65" i="1" s="1"/>
  <c r="S65" i="1"/>
  <c r="T65" i="1"/>
  <c r="AB65" i="1" s="1"/>
  <c r="AJ65" i="1" s="1"/>
  <c r="AR65" i="1" s="1"/>
  <c r="AA65" i="1"/>
  <c r="AI65" i="1"/>
  <c r="AQ65" i="1"/>
  <c r="AY65" i="1"/>
  <c r="F66" i="1"/>
  <c r="G66" i="1" s="1"/>
  <c r="K66" i="1"/>
  <c r="M66" i="1"/>
  <c r="S66" i="1"/>
  <c r="T66" i="1"/>
  <c r="U66" i="1"/>
  <c r="AA66" i="1"/>
  <c r="AB66" i="1"/>
  <c r="AJ66" i="1" s="1"/>
  <c r="AR66" i="1" s="1"/>
  <c r="AC66" i="1"/>
  <c r="AI66" i="1"/>
  <c r="AK66" i="1"/>
  <c r="AQ66" i="1"/>
  <c r="AS66" i="1"/>
  <c r="AY66" i="1"/>
  <c r="BA66" i="1"/>
  <c r="F67" i="1"/>
  <c r="G67" i="1" s="1"/>
  <c r="K67" i="1"/>
  <c r="M67" i="1"/>
  <c r="AS67" i="1" s="1"/>
  <c r="S67" i="1"/>
  <c r="T67" i="1"/>
  <c r="AB67" i="1" s="1"/>
  <c r="AJ67" i="1" s="1"/>
  <c r="AR67" i="1" s="1"/>
  <c r="AA67" i="1"/>
  <c r="AI67" i="1"/>
  <c r="AK67" i="1"/>
  <c r="AQ67" i="1"/>
  <c r="AY67" i="1"/>
  <c r="F68" i="1"/>
  <c r="G68" i="1"/>
  <c r="K68" i="1"/>
  <c r="M68" i="1"/>
  <c r="AK68" i="1" s="1"/>
  <c r="S68" i="1"/>
  <c r="T68" i="1"/>
  <c r="AB68" i="1" s="1"/>
  <c r="AJ68" i="1" s="1"/>
  <c r="AR68" i="1" s="1"/>
  <c r="AA68" i="1"/>
  <c r="AI68" i="1"/>
  <c r="AQ68" i="1"/>
  <c r="AS68" i="1"/>
  <c r="AY68" i="1"/>
  <c r="E69" i="1"/>
  <c r="F69" i="1"/>
  <c r="G69" i="1" s="1"/>
  <c r="K69" i="1"/>
  <c r="M69" i="1"/>
  <c r="AC69" i="1" s="1"/>
  <c r="S69" i="1"/>
  <c r="T69" i="1"/>
  <c r="AB69" i="1" s="1"/>
  <c r="AJ69" i="1" s="1"/>
  <c r="AR69" i="1" s="1"/>
  <c r="U69" i="1"/>
  <c r="AA69" i="1"/>
  <c r="AI69" i="1"/>
  <c r="AQ69" i="1"/>
  <c r="AS69" i="1"/>
  <c r="AY69" i="1"/>
  <c r="F70" i="1"/>
  <c r="G70" i="1"/>
  <c r="K70" i="1"/>
  <c r="M70" i="1"/>
  <c r="U70" i="1" s="1"/>
  <c r="S70" i="1"/>
  <c r="T70" i="1"/>
  <c r="AB70" i="1" s="1"/>
  <c r="AJ70" i="1" s="1"/>
  <c r="AR70" i="1" s="1"/>
  <c r="AA70" i="1"/>
  <c r="AI70" i="1"/>
  <c r="AK70" i="1"/>
  <c r="AQ70" i="1"/>
  <c r="AY70" i="1"/>
  <c r="F71" i="1"/>
  <c r="G71" i="1" s="1"/>
  <c r="K71" i="1"/>
  <c r="M71" i="1"/>
  <c r="BA71" i="1" s="1"/>
  <c r="S71" i="1"/>
  <c r="T71" i="1"/>
  <c r="AB71" i="1" s="1"/>
  <c r="AJ71" i="1" s="1"/>
  <c r="AR71" i="1" s="1"/>
  <c r="U71" i="1"/>
  <c r="AA71" i="1"/>
  <c r="AI71" i="1"/>
  <c r="AK71" i="1"/>
  <c r="AQ71" i="1"/>
  <c r="AS71" i="1"/>
  <c r="AY71" i="1"/>
  <c r="F72" i="1"/>
  <c r="G72" i="1" s="1"/>
  <c r="K72" i="1"/>
  <c r="M72" i="1"/>
  <c r="AC72" i="1" s="1"/>
  <c r="S72" i="1"/>
  <c r="T72" i="1"/>
  <c r="AB72" i="1" s="1"/>
  <c r="AJ72" i="1" s="1"/>
  <c r="AR72" i="1" s="1"/>
  <c r="U72" i="1"/>
  <c r="AA72" i="1"/>
  <c r="AI72" i="1"/>
  <c r="AQ72" i="1"/>
  <c r="AY72" i="1"/>
  <c r="D429" i="1"/>
  <c r="E23" i="1" s="1"/>
  <c r="E429" i="1"/>
  <c r="D430" i="1"/>
  <c r="E59" i="1" s="1"/>
  <c r="E430" i="1"/>
  <c r="D431" i="1"/>
  <c r="E70" i="1" s="1"/>
  <c r="E431" i="1"/>
  <c r="D432" i="1"/>
  <c r="E12" i="1" s="1"/>
  <c r="E432" i="1"/>
  <c r="D433" i="1"/>
  <c r="E433" i="1"/>
  <c r="D434" i="1"/>
  <c r="E13" i="1" s="1"/>
  <c r="E434" i="1"/>
  <c r="D435" i="1"/>
  <c r="E40" i="1" s="1"/>
  <c r="E435" i="1"/>
  <c r="D436" i="1"/>
  <c r="E28" i="1" s="1"/>
  <c r="E436" i="1"/>
  <c r="D437" i="1"/>
  <c r="E18" i="1" s="1"/>
  <c r="E437" i="1"/>
  <c r="D438" i="1"/>
  <c r="E438" i="1"/>
  <c r="D439" i="1"/>
  <c r="E439" i="1"/>
  <c r="D440" i="1"/>
  <c r="E34" i="1" s="1"/>
  <c r="E440" i="1"/>
  <c r="D441" i="1"/>
  <c r="E37" i="1" s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67" i="1" s="1"/>
  <c r="E449" i="1"/>
  <c r="D450" i="1"/>
  <c r="E450" i="1"/>
  <c r="D451" i="1"/>
  <c r="E451" i="1"/>
  <c r="D452" i="1"/>
  <c r="E45" i="1" s="1"/>
  <c r="E452" i="1"/>
  <c r="D453" i="1"/>
  <c r="E453" i="1"/>
  <c r="D454" i="1"/>
  <c r="E15" i="1" s="1"/>
  <c r="E454" i="1"/>
  <c r="D455" i="1"/>
  <c r="E455" i="1"/>
  <c r="D456" i="1"/>
  <c r="E456" i="1"/>
  <c r="E60" i="1" l="1"/>
  <c r="E58" i="1"/>
  <c r="E16" i="1"/>
  <c r="U22" i="1"/>
  <c r="U17" i="1"/>
  <c r="U16" i="1"/>
  <c r="AK56" i="1"/>
  <c r="E47" i="1"/>
  <c r="AC44" i="1"/>
  <c r="AK39" i="1"/>
  <c r="AC38" i="1"/>
  <c r="AK36" i="1"/>
  <c r="AS16" i="1"/>
  <c r="AC68" i="1"/>
  <c r="AK59" i="1"/>
  <c r="BA55" i="1"/>
  <c r="BA49" i="1"/>
  <c r="AK45" i="1"/>
  <c r="E44" i="1"/>
  <c r="E36" i="1"/>
  <c r="AK72" i="1"/>
  <c r="AC71" i="1"/>
  <c r="AK69" i="1"/>
  <c r="E68" i="1"/>
  <c r="U55" i="1"/>
  <c r="U50" i="1"/>
  <c r="U49" i="1"/>
  <c r="U47" i="1"/>
  <c r="BA44" i="1"/>
  <c r="BA38" i="1"/>
  <c r="BA35" i="1"/>
  <c r="U44" i="1"/>
  <c r="U39" i="1"/>
  <c r="U38" i="1"/>
  <c r="U36" i="1"/>
  <c r="E33" i="1"/>
  <c r="BA68" i="1"/>
  <c r="AK17" i="1"/>
  <c r="E66" i="1"/>
  <c r="E22" i="1"/>
  <c r="E71" i="1"/>
  <c r="E49" i="1"/>
  <c r="BA32" i="1"/>
  <c r="AC18" i="1"/>
  <c r="BA48" i="1"/>
  <c r="AS72" i="1"/>
  <c r="E72" i="1"/>
  <c r="U67" i="1"/>
  <c r="AK65" i="1"/>
  <c r="AS64" i="1"/>
  <c r="E64" i="1"/>
  <c r="U56" i="1"/>
  <c r="AK54" i="1"/>
  <c r="AS50" i="1"/>
  <c r="E50" i="1"/>
  <c r="U45" i="1"/>
  <c r="AK40" i="1"/>
  <c r="AS39" i="1"/>
  <c r="E39" i="1"/>
  <c r="U34" i="1"/>
  <c r="AK32" i="1"/>
  <c r="AS28" i="1"/>
  <c r="U23" i="1"/>
  <c r="AK18" i="1"/>
  <c r="AS17" i="1"/>
  <c r="E17" i="1"/>
  <c r="U12" i="1"/>
  <c r="E14" i="1"/>
  <c r="AC59" i="1"/>
  <c r="BA65" i="1"/>
  <c r="AC32" i="1"/>
  <c r="AC70" i="1"/>
  <c r="BA59" i="1"/>
  <c r="E46" i="1"/>
  <c r="AC37" i="1"/>
  <c r="AC26" i="1"/>
  <c r="E24" i="1"/>
  <c r="BA15" i="1"/>
  <c r="AC67" i="1"/>
  <c r="AS65" i="1"/>
  <c r="E65" i="1"/>
  <c r="U57" i="1"/>
  <c r="BA56" i="1"/>
  <c r="AC56" i="1"/>
  <c r="AS54" i="1"/>
  <c r="E54" i="1"/>
  <c r="U46" i="1"/>
  <c r="BA45" i="1"/>
  <c r="AC45" i="1"/>
  <c r="AS40" i="1"/>
  <c r="U35" i="1"/>
  <c r="BA34" i="1"/>
  <c r="AC34" i="1"/>
  <c r="AS32" i="1"/>
  <c r="E32" i="1"/>
  <c r="U24" i="1"/>
  <c r="BA23" i="1"/>
  <c r="AC23" i="1"/>
  <c r="AS18" i="1"/>
  <c r="U13" i="1"/>
  <c r="BA12" i="1"/>
  <c r="AC12" i="1"/>
  <c r="AC65" i="1"/>
  <c r="AC54" i="1"/>
  <c r="BA40" i="1"/>
  <c r="BA18" i="1"/>
  <c r="BA70" i="1"/>
  <c r="BA26" i="1"/>
  <c r="AC15" i="1"/>
  <c r="U68" i="1"/>
  <c r="BA72" i="1"/>
  <c r="BA64" i="1"/>
  <c r="AS59" i="1"/>
  <c r="U54" i="1"/>
  <c r="BA50" i="1"/>
  <c r="AS48" i="1"/>
  <c r="E48" i="1"/>
  <c r="U40" i="1"/>
  <c r="BA39" i="1"/>
  <c r="AS37" i="1"/>
  <c r="BA28" i="1"/>
  <c r="AS26" i="1"/>
  <c r="E26" i="1"/>
  <c r="BA17" i="1"/>
  <c r="AS15" i="1"/>
  <c r="E38" i="1"/>
  <c r="AC48" i="1"/>
  <c r="BA37" i="1"/>
  <c r="BA67" i="1"/>
  <c r="AS70" i="1"/>
  <c r="BA69" i="1"/>
  <c r="BA58" i="1"/>
  <c r="E56" i="1"/>
  <c r="BA47" i="1"/>
  <c r="BA36" i="1"/>
  <c r="BA25" i="1"/>
  <c r="BA14" i="1"/>
</calcChain>
</file>

<file path=xl/sharedStrings.xml><?xml version="1.0" encoding="utf-8"?>
<sst xmlns="http://schemas.openxmlformats.org/spreadsheetml/2006/main" count="1658" uniqueCount="482">
  <si>
    <t>Vertical Triceps</t>
  </si>
  <si>
    <t>https://youtu.be/gcRZqG8t44c</t>
  </si>
  <si>
    <t>Seated EZ Bar Overhead Triceps Extension</t>
  </si>
  <si>
    <t>https://youtu.be/ktU2H0DDmwk</t>
  </si>
  <si>
    <t>Seated Barbell Overhead Triceps Extension</t>
  </si>
  <si>
    <t>https://youtu.be/Bx8ga1BLHLE</t>
  </si>
  <si>
    <t>Machine Triceps Extension</t>
  </si>
  <si>
    <t>https://youtu.be/IdZ7HXnatko</t>
  </si>
  <si>
    <t>EZ Bar Overhead Tricep Extension</t>
  </si>
  <si>
    <t>https://youtu.be/kqidUIf1eJE</t>
  </si>
  <si>
    <t>Cable Rope Overhead Triceps Extension</t>
  </si>
  <si>
    <t>https://youtu.be/1u18yJELsh0</t>
  </si>
  <si>
    <t>Cable Overhead Triceps Extension</t>
  </si>
  <si>
    <t>https://youtu.be/q5X9thiKofE</t>
  </si>
  <si>
    <t>Barbell Overhead Triceps Extension</t>
  </si>
  <si>
    <t>Vertical Back</t>
  </si>
  <si>
    <t>https://youtu.be/GRgWPT9XSQQ</t>
  </si>
  <si>
    <t>Wide Grip Pullup</t>
  </si>
  <si>
    <t>https://youtu.be/YCKPD4BSD2E</t>
  </si>
  <si>
    <t>Wide Grip Pulldown</t>
  </si>
  <si>
    <t>https://youtu.be/9JC1EwqezGY</t>
  </si>
  <si>
    <t>Underhand Pullup</t>
  </si>
  <si>
    <t>https://youtu.be/VprlTxpB1rk</t>
  </si>
  <si>
    <t>Underhand Pulldown</t>
  </si>
  <si>
    <t>https://youtu.be/G9uNaXGTJ4w</t>
  </si>
  <si>
    <t>Straight Arm Pulldown</t>
  </si>
  <si>
    <t>https://youtu.be/--utaPT7XYQ</t>
  </si>
  <si>
    <t>Parallel Pulldown</t>
  </si>
  <si>
    <t>https://youtu.be/XWt6FQAK5wM</t>
  </si>
  <si>
    <t>Parallel Grip Pullup</t>
  </si>
  <si>
    <t>https://youtu.be/iWpoegdfgtc</t>
  </si>
  <si>
    <t>Normal Grip Pullup</t>
  </si>
  <si>
    <t>https://youtu.be/EUIri47Epcg</t>
  </si>
  <si>
    <t>Normal Grip Pulldown</t>
  </si>
  <si>
    <t>https://youtu.be/QzjjwxZOVdE</t>
  </si>
  <si>
    <t>Narrow Grip Pulldown</t>
  </si>
  <si>
    <t>https://youtu.be/oxpAl14EYyc</t>
  </si>
  <si>
    <t>Machine Pullover</t>
  </si>
  <si>
    <t>https://youtu.be/jQjWlIwG4sI</t>
  </si>
  <si>
    <t>Dumbbell Pullover</t>
  </si>
  <si>
    <t>https://youtu.be/0tiC6RUZL8Y</t>
  </si>
  <si>
    <t>Assisted Wide Grip Pullup</t>
  </si>
  <si>
    <t>https://youtu.be/L4ChTwrXTjc</t>
  </si>
  <si>
    <t>Assisted Underhand Pullup</t>
  </si>
  <si>
    <t>https://youtu.be/GdsRZAeeDUc</t>
  </si>
  <si>
    <t>Assisted Parallel Pullup</t>
  </si>
  <si>
    <t>https://youtu.be/8ygapPMYK1I</t>
  </si>
  <si>
    <t>Assisted Normal Grip Pullup</t>
  </si>
  <si>
    <t>Traps</t>
  </si>
  <si>
    <t>https://youtu.be/zgToz5FiI-E</t>
  </si>
  <si>
    <t>Seated Dumbbell Shrug</t>
  </si>
  <si>
    <t>https://youtu.be/_t3lrPI6Ns4</t>
  </si>
  <si>
    <t>Dumbbell Shrug</t>
  </si>
  <si>
    <t>https://youtu.be/GH_l85Ky3vA</t>
  </si>
  <si>
    <t>Dumbbell Leaning Shrug</t>
  </si>
  <si>
    <t>https://youtu.be/5z7ZtboxbBY</t>
  </si>
  <si>
    <t>Dumbbell Bent Over Shrug</t>
  </si>
  <si>
    <t>https://youtu.be/BeIcUXQ3RDc</t>
  </si>
  <si>
    <t>Cable Single Arm Side Shrug</t>
  </si>
  <si>
    <t>https://youtu.be/2zaT3WAgZi0</t>
  </si>
  <si>
    <t>Cable Side Shrug</t>
  </si>
  <si>
    <t>https://youtu.be/YykmcX2b-LY</t>
  </si>
  <si>
    <t>Cable Shrug</t>
  </si>
  <si>
    <t>https://youtu.be/nOn_Bz0zrwQ</t>
  </si>
  <si>
    <t>Cable Bent Over Shrug</t>
  </si>
  <si>
    <t>https://youtu.be/M_MjF5Nm_h4</t>
  </si>
  <si>
    <t>Barbell Shrug</t>
  </si>
  <si>
    <t>https://youtu.be/d9daNDIXtK8</t>
  </si>
  <si>
    <t>Barbell Bent Over Shrug</t>
  </si>
  <si>
    <t>Side Delts</t>
  </si>
  <si>
    <t>https://youtu.be/SKf8wHlIFX0</t>
  </si>
  <si>
    <t>Top Hold Lateral Raise</t>
  </si>
  <si>
    <t>https://youtu.be/D1f7d1OcobY</t>
  </si>
  <si>
    <t>Thumbs Down Lateral Raise</t>
  </si>
  <si>
    <t>https://youtu.be/QIpa-9dtkgA</t>
  </si>
  <si>
    <t>Smith Machine Upright Row</t>
  </si>
  <si>
    <t>https://youtu.be/0o07iGKUarI</t>
  </si>
  <si>
    <t>Machine Lateral Raise</t>
  </si>
  <si>
    <t>https://youtu.be/Ub6QruNKfbY</t>
  </si>
  <si>
    <t>Dumbbell Upright Row</t>
  </si>
  <si>
    <t>https://youtu.be/OuG1smZTsQQ</t>
  </si>
  <si>
    <t>Dumbbell Lateral Raise</t>
  </si>
  <si>
    <t>https://youtu.be/qr3ziolhjvQ</t>
  </si>
  <si>
    <t>Cable Upright Row</t>
  </si>
  <si>
    <t>https://youtu.be/lq7eLC30b9w</t>
  </si>
  <si>
    <t>Cable Leaning Lateral Raise</t>
  </si>
  <si>
    <t>https://youtu.be/2OMbdPF7mz4</t>
  </si>
  <si>
    <t>Cable Cross Body Lateral Raise</t>
  </si>
  <si>
    <t>https://youtu.be/um3VVzqunPU</t>
  </si>
  <si>
    <t>Barbell Upright Row</t>
  </si>
  <si>
    <t>Rear Delts</t>
  </si>
  <si>
    <t>https://youtu.be/5YK4bgzXDp0</t>
  </si>
  <si>
    <t>Machine Reverse Flye</t>
  </si>
  <si>
    <t>https://youtu.be/8CGMuud1ANw</t>
  </si>
  <si>
    <t>Kneeling Cable Facepull</t>
  </si>
  <si>
    <t>https://youtu.be/z3PRz2aVA10</t>
  </si>
  <si>
    <t>Incline Dumbbell Lateral Raise</t>
  </si>
  <si>
    <t>https://youtu.be/90cE3rCLtmo</t>
  </si>
  <si>
    <t>Incline Dumbbell Facepull</t>
  </si>
  <si>
    <t>https://youtu.be/nzTY7j9ocR8</t>
  </si>
  <si>
    <t>Dumbbell Facepull</t>
  </si>
  <si>
    <t>https://youtu.be/34gVHrkaiz0</t>
  </si>
  <si>
    <t>Dumbbell Bent Lateral Raise</t>
  </si>
  <si>
    <t>https://youtu.be/qz1OLup4W_M</t>
  </si>
  <si>
    <t>Cable Single Arm Rear Delt Raise</t>
  </si>
  <si>
    <t>https://youtu.be/-MODnZdnmAQ</t>
  </si>
  <si>
    <t>Cable Rope Facepull</t>
  </si>
  <si>
    <t>https://youtu.be/f0g5NkYiWUY</t>
  </si>
  <si>
    <t>Cable Cross Body Bent Lateral Raise</t>
  </si>
  <si>
    <t>https://youtu.be/hPWYuhJMUhU</t>
  </si>
  <si>
    <t>Barbell Facepull</t>
  </si>
  <si>
    <t>Quads</t>
  </si>
  <si>
    <t>https://youtu.be/1IIPcUCKxcE</t>
  </si>
  <si>
    <t>Narrow Stance Squat</t>
  </si>
  <si>
    <t>https://youtu.be/yZmx_Ac3880</t>
  </si>
  <si>
    <t>Leg Press</t>
  </si>
  <si>
    <t>https://youtu.be/m0FOpMEgero</t>
  </si>
  <si>
    <t>Leg Extension</t>
  </si>
  <si>
    <t>https://youtu.be/i7J5h7BJ07g</t>
  </si>
  <si>
    <t>High Bar Squat</t>
  </si>
  <si>
    <t>https://youtu.be/rYgNArpwE7E</t>
  </si>
  <si>
    <t>Hack Squat</t>
  </si>
  <si>
    <t>https://youtu.be/0DQvn2qsOG4</t>
  </si>
  <si>
    <t>Front Squat (Cross Grip)</t>
  </si>
  <si>
    <t>https://youtu.be/HHxNbhP16UE</t>
  </si>
  <si>
    <t xml:space="preserve">Front Squat </t>
  </si>
  <si>
    <t>https://youtu.be/-eO_VydErV0</t>
  </si>
  <si>
    <t>Feet Forward Smith Squat</t>
  </si>
  <si>
    <t>https://youtu.be/ppluAD4MHK8</t>
  </si>
  <si>
    <t>Close Stance Feet Forward Squats</t>
  </si>
  <si>
    <t>https://youtu.be/L__-j2v_LPM</t>
  </si>
  <si>
    <t>Belt Squat</t>
  </si>
  <si>
    <t>https://youtu.be/VfsPxffCAd0</t>
  </si>
  <si>
    <t>Barbell Split Squat</t>
  </si>
  <si>
    <t>Incline Push</t>
  </si>
  <si>
    <t>https://youtu.be/8urE8Z8AMQ4</t>
  </si>
  <si>
    <t>Smith Machine Incline Press</t>
  </si>
  <si>
    <t>https://youtu.be/SHL81neluiI</t>
  </si>
  <si>
    <t>Smith Machine Wide Grip Incline Press</t>
  </si>
  <si>
    <t>https://youtu.be/B09ZkYsnKko</t>
  </si>
  <si>
    <t>Low Incline Dumbbell Press</t>
  </si>
  <si>
    <t>https://youtu.be/FxQ0XEoFYQk</t>
  </si>
  <si>
    <t>Incline Wide Grip Bench Press</t>
  </si>
  <si>
    <t>https://youtu.be/Zfi0KcIJi6c</t>
  </si>
  <si>
    <t>Incline Narrow Grip Bench Press</t>
  </si>
  <si>
    <t>https://youtu.be/lJ2o89kcnxY</t>
  </si>
  <si>
    <t>Incline Medium Grip Bench Press</t>
  </si>
  <si>
    <t>https://youtu.be/TrTSvn5-MTk</t>
  </si>
  <si>
    <t>Incline Machine Chest Press</t>
  </si>
  <si>
    <t>https://youtu.be/5CECBjd7HLQ</t>
  </si>
  <si>
    <t>Incline Dumbbell Press</t>
  </si>
  <si>
    <t>Horiztonal Triceps</t>
  </si>
  <si>
    <t>https://youtu.be/OChuGyCSC7U</t>
  </si>
  <si>
    <t>Machine Triceps Pushdown</t>
  </si>
  <si>
    <t>https://youtu.be/Tih5iHyELsE</t>
  </si>
  <si>
    <t>JM Press</t>
  </si>
  <si>
    <t>https://youtu.be/Cp_bShvMY4c</t>
  </si>
  <si>
    <t>Cable Single Arm Triceps Pushdown</t>
  </si>
  <si>
    <t>https://youtu.be/-xa-6cQaZKY</t>
  </si>
  <si>
    <t>Cable Rope Pushdown</t>
  </si>
  <si>
    <t>Horizontal Triceps</t>
  </si>
  <si>
    <t>https://youtu.be/1lrjpLuXH4w</t>
  </si>
  <si>
    <t>Inverted Skullcrusher</t>
  </si>
  <si>
    <t>https://youtu.be/jPjhQ2hsAds</t>
  </si>
  <si>
    <t>Dumbbell Skullcrusher</t>
  </si>
  <si>
    <t>https://youtu.be/4LA1kF7yCGo</t>
  </si>
  <si>
    <t>Dip</t>
  </si>
  <si>
    <t>https://youtu.be/6Fzep104f0s</t>
  </si>
  <si>
    <t>Cable Triceps Pushdown</t>
  </si>
  <si>
    <t>https://youtu.be/l3rHYPtMUo8</t>
  </si>
  <si>
    <t>Barbell Skullcrusher</t>
  </si>
  <si>
    <t>https://youtu.be/yZ83t4mrPrI</t>
  </si>
  <si>
    <t>Assisted Dip</t>
  </si>
  <si>
    <t>Horizontal Push</t>
  </si>
  <si>
    <t>https://youtu.be/EeE3f4VWFDo</t>
  </si>
  <si>
    <t>Wide Grip Bench Press</t>
  </si>
  <si>
    <t>https://youtu.be/qf_FTh3QyYs</t>
  </si>
  <si>
    <t>Smith Machine Narrow Grip Bench Press</t>
  </si>
  <si>
    <t>https://youtu.be/O5viuEPDXKY</t>
  </si>
  <si>
    <t>Smith Machine Bench Press</t>
  </si>
  <si>
    <t>https://youtu.be/AK0ycfB_kYo</t>
  </si>
  <si>
    <t>Smith Machine Wide Grip Bench Press</t>
  </si>
  <si>
    <t>https://youtu.be/mm6_WcoCVTA</t>
  </si>
  <si>
    <t>Pushup</t>
  </si>
  <si>
    <t>https://youtu.be/Lz1aFtuNvEQ</t>
  </si>
  <si>
    <t>Narrow Grip Push-Up</t>
  </si>
  <si>
    <t>https://youtu.be/FiQUzPtS90E</t>
  </si>
  <si>
    <t>Narrow Grip Bench Press</t>
  </si>
  <si>
    <t>https://youtu.be/gMgvBspQ9lk</t>
  </si>
  <si>
    <t>Medium Grip Bench Press</t>
  </si>
  <si>
    <t>https://youtu.be/NwzUje3z0qY</t>
  </si>
  <si>
    <t>Machine Chest Press</t>
  </si>
  <si>
    <t>https://youtu.be/0Wa9CfRXUkA</t>
  </si>
  <si>
    <t>Hammer Machine Chest Press</t>
  </si>
  <si>
    <t>https://youtu.be/aV1U_mK3XOs</t>
  </si>
  <si>
    <t>Flat Hammer Machine Press</t>
  </si>
  <si>
    <t>https://youtu.be/YQ2s_Y7g5Qk</t>
  </si>
  <si>
    <t>Flat Dumbbell Bench Press</t>
  </si>
  <si>
    <t>https://youtu.be/gmNlqsE3Onc</t>
  </si>
  <si>
    <t>Deficit Push-Up</t>
  </si>
  <si>
    <t>Horizontal Back</t>
  </si>
  <si>
    <t>https://youtu.be/yPis7nlbqdY</t>
  </si>
  <si>
    <t>T-Bar Row</t>
  </si>
  <si>
    <t>https://youtu.be/3QcJggd_L24</t>
  </si>
  <si>
    <t>Smith Machine Row</t>
  </si>
  <si>
    <t>https://youtu.be/4H2ItXwUTp8</t>
  </si>
  <si>
    <t>Seal Row</t>
  </si>
  <si>
    <t>https://youtu.be/_FrrYQxA6kc</t>
  </si>
  <si>
    <t>Machine Chest Supported Row</t>
  </si>
  <si>
    <t>https://youtu.be/KOaCM1HMwU0</t>
  </si>
  <si>
    <t>Inverted Row</t>
  </si>
  <si>
    <t>https://youtu.be/tZUYS7X50so</t>
  </si>
  <si>
    <t>Incline Dumbbell Row</t>
  </si>
  <si>
    <t>https://youtu.be/opjbouBmUWg</t>
  </si>
  <si>
    <t>Hammer Low Row</t>
  </si>
  <si>
    <t>https://youtu.be/gg5hwJuv6KI</t>
  </si>
  <si>
    <t>Hammer High Row</t>
  </si>
  <si>
    <t>https://youtu.be/jiowkUMomlw</t>
  </si>
  <si>
    <t>Cambered Bar Row</t>
  </si>
  <si>
    <t>Horizonal Back</t>
  </si>
  <si>
    <t>https://youtu.be/H260SUUyJBM</t>
  </si>
  <si>
    <t>Underhand EZ Bar Row</t>
  </si>
  <si>
    <t>https://youtu.be/DMo3HJoawrU</t>
  </si>
  <si>
    <t>Single Arm Supported Dumbbell Row</t>
  </si>
  <si>
    <t>https://youtu.be/UCXxvVItLoM</t>
  </si>
  <si>
    <t>Seated Cable Row</t>
  </si>
  <si>
    <t>https://youtu.be/0UBRfiO4zDs</t>
  </si>
  <si>
    <t>Chest Supported Row</t>
  </si>
  <si>
    <t>https://youtu.be/UPGuwx7GQ9s</t>
  </si>
  <si>
    <t>Barbell Row to Chest</t>
  </si>
  <si>
    <t>https://youtu.be/6FZHJGzMFEc</t>
  </si>
  <si>
    <t>Barbell Bent Over Row</t>
  </si>
  <si>
    <t>https://youtu.be/5PoEksoJNaw</t>
  </si>
  <si>
    <t>2-Arm Dumbbell Row</t>
  </si>
  <si>
    <t>Hamstrings Isolation</t>
  </si>
  <si>
    <t>https://youtu.be/N6FVnaasdq0</t>
  </si>
  <si>
    <t>Single-Leg Leg Curl</t>
  </si>
  <si>
    <t>https://youtu.be/Orxowest56U</t>
  </si>
  <si>
    <t>Seated Leg Curl</t>
  </si>
  <si>
    <t>https://youtu.be/n5WDXD_mpVY</t>
  </si>
  <si>
    <t>Lying Leg Curl</t>
  </si>
  <si>
    <t>Hamstrings Hip Hinge</t>
  </si>
  <si>
    <t>https://youtu.be/CN_7cz3P-1U</t>
  </si>
  <si>
    <t>Stiff-Legged Deadlift</t>
  </si>
  <si>
    <t>https://youtu.be/mnxn-7SO9Ks</t>
  </si>
  <si>
    <t>Low Bar Good Morning</t>
  </si>
  <si>
    <t>https://youtu.be/dEJ0FTm-CEk</t>
  </si>
  <si>
    <t>High Bar Good Morning</t>
  </si>
  <si>
    <t>https://youtu.be/SBGYSfoqyfU</t>
  </si>
  <si>
    <t>Glute Ham Raise</t>
  </si>
  <si>
    <t>https://youtu.be/cYKYGwcg0U8</t>
  </si>
  <si>
    <t>Dumbbell Stiff Legged Deadlift</t>
  </si>
  <si>
    <t>https://youtu.be/5_ejbGfdAQE</t>
  </si>
  <si>
    <t>45 Degree Back Raise</t>
  </si>
  <si>
    <t>Glutes</t>
  </si>
  <si>
    <t>https://youtu.be/LU2GYsqkgAQ</t>
  </si>
  <si>
    <t>Wide Stance Belt Squat</t>
  </si>
  <si>
    <t>https://youtu.be/wjw-4R5VR20</t>
  </si>
  <si>
    <t>Sumo Squat</t>
  </si>
  <si>
    <t>https://youtu.be/xp1IeyTOB4U</t>
  </si>
  <si>
    <t>Sumo Deadlift</t>
  </si>
  <si>
    <t>https://youtu.be/CSXVj047Ss4</t>
  </si>
  <si>
    <t>Single Leg Dumbbell Hip Thrust</t>
  </si>
  <si>
    <t>https://youtu.be/NLDBFtSNhqg</t>
  </si>
  <si>
    <t>Machine Glute Kickback</t>
  </si>
  <si>
    <t>https://youtu.be/eFWCn5iEbTU</t>
  </si>
  <si>
    <t>Dumbbell Walking Lunge</t>
  </si>
  <si>
    <t>https://youtu.be/pjAewD4LxXs</t>
  </si>
  <si>
    <t>Dumbbell Split Squat</t>
  </si>
  <si>
    <t>https://youtu.be/D-c2CWwEweo</t>
  </si>
  <si>
    <t>Dumbbell Reverse Lunge</t>
  </si>
  <si>
    <t>https://youtu.be/X-uKkAukJVA</t>
  </si>
  <si>
    <t>Deficit Deadlift</t>
  </si>
  <si>
    <t>https://youtu.be/kvWcDHH62j0</t>
  </si>
  <si>
    <t xml:space="preserve">Deficit 25's Deadlift </t>
  </si>
  <si>
    <t>https://youtu.be/AweC3UaM14o</t>
  </si>
  <si>
    <t>Deadlift</t>
  </si>
  <si>
    <t>https://youtu.be/pv8e6OSyETE</t>
  </si>
  <si>
    <t>Cable Pull Through</t>
  </si>
  <si>
    <t>https://youtu.be/_meXEWq5MOQ</t>
  </si>
  <si>
    <t>Barbell Walking Lunge</t>
  </si>
  <si>
    <t>https://youtu.be/EF7jXP17DPE</t>
  </si>
  <si>
    <t>Barbell Hip Thrust</t>
  </si>
  <si>
    <t>Front Delts</t>
  </si>
  <si>
    <t>https://youtu.be/Raemd3qWgJc</t>
  </si>
  <si>
    <t>Standing Dumbbell Shoulder Press</t>
  </si>
  <si>
    <t>https://youtu.be/G2qpTG1Eh40</t>
  </si>
  <si>
    <t>Standing Barbell Shoulder Press</t>
  </si>
  <si>
    <t>https://youtu.be/OLqZDUUD2b0</t>
  </si>
  <si>
    <t>Smith Machine Seated Shoulder Press</t>
  </si>
  <si>
    <t>https://youtu.be/HzIiNhHhhtA</t>
  </si>
  <si>
    <t>Seated Dumbbell Shoulder Press</t>
  </si>
  <si>
    <t>https://youtu.be/IuzRCN6eG6Y</t>
  </si>
  <si>
    <t>Seated Barbell Shoulder Press</t>
  </si>
  <si>
    <t>https://youtu.be/WvLMauqrnK8</t>
  </si>
  <si>
    <t>Machine Shoulder Press</t>
  </si>
  <si>
    <t>https://youtu.be/GFYrRBoov3w</t>
  </si>
  <si>
    <t>High Incline Dumbbell Press</t>
  </si>
  <si>
    <t>https://youtu.be/87pZAbYjXc4</t>
  </si>
  <si>
    <t>EZ Bar Underhand Front Raise</t>
  </si>
  <si>
    <t>https://youtu.be/hRJ6tR5-if0</t>
  </si>
  <si>
    <t>Dumbbell Front Raise</t>
  </si>
  <si>
    <t>https://youtu.be/yIoAcMD3jcE</t>
  </si>
  <si>
    <t>Cable Underhand Front Raise</t>
  </si>
  <si>
    <t>https://youtu.be/_ikCPws1mbE</t>
  </si>
  <si>
    <t>Barbell Front Raise</t>
  </si>
  <si>
    <t>Forearms</t>
  </si>
  <si>
    <t>https://youtu.be/iQ4JjOK73PE</t>
  </si>
  <si>
    <t>Dumbbell Standing Wrist Curl</t>
  </si>
  <si>
    <t>https://youtu.be/2wPpcJBe03o</t>
  </si>
  <si>
    <t>Dumbbell Bench Wrist Curl</t>
  </si>
  <si>
    <t>https://youtu.be/WVAaKJvToe0</t>
  </si>
  <si>
    <t>Cable Wrist Curl</t>
  </si>
  <si>
    <t>https://youtu.be/lfQR7oVS8eo</t>
  </si>
  <si>
    <t>Barbell Standing Wrist Curl</t>
  </si>
  <si>
    <t>Chest Isolation</t>
  </si>
  <si>
    <t>https://youtu.be/O-OBCfyh9Fw</t>
  </si>
  <si>
    <t>Pec Dec Flye</t>
  </si>
  <si>
    <t>https://youtu.be/FDay9wFe5uE</t>
  </si>
  <si>
    <t>Machine Flye</t>
  </si>
  <si>
    <t>https://youtu.be/lTfiohnjbyM</t>
  </si>
  <si>
    <t>Incline Dumbbell Press Flye</t>
  </si>
  <si>
    <t>https://youtu.be/8oR5hBwbIBc</t>
  </si>
  <si>
    <t>Incline Dumbbell Flye</t>
  </si>
  <si>
    <t>https://youtu.be/ipoTKasbDyQ</t>
  </si>
  <si>
    <t>High Cable Flye</t>
  </si>
  <si>
    <t>https://youtu.be/BhlL-esnitU</t>
  </si>
  <si>
    <t>Flat Dumbbell Press Flye</t>
  </si>
  <si>
    <t>https://youtu.be/JFm8KbhjibM</t>
  </si>
  <si>
    <t>Flat Dumbbell Flye</t>
  </si>
  <si>
    <t>https://youtu.be/_9VlfuYYC7w</t>
  </si>
  <si>
    <t>Cambered Bar Bench Press</t>
  </si>
  <si>
    <t>https://youtu.be/e_8HLu59-to</t>
  </si>
  <si>
    <t>Cable Underhand Flye</t>
  </si>
  <si>
    <t>https://youtu.be/4mfLHnFL0Uw</t>
  </si>
  <si>
    <t>Cable Flye</t>
  </si>
  <si>
    <t>https://youtu.be/Cj6P91eFXkM</t>
  </si>
  <si>
    <t>Cable Bent Flye</t>
  </si>
  <si>
    <t>Calves</t>
  </si>
  <si>
    <t>https://youtu.be/__qfDhdByMY</t>
  </si>
  <si>
    <t>Stair Calves</t>
  </si>
  <si>
    <t>https://youtu.be/hh5516HCu4k</t>
  </si>
  <si>
    <t>Smith Machine Calves</t>
  </si>
  <si>
    <t>https://youtu.be/_gEx2ijsmNM</t>
  </si>
  <si>
    <t>Single Leg Stair Calves</t>
  </si>
  <si>
    <t>https://youtu.be/KxEYX_cuesM</t>
  </si>
  <si>
    <t>Leg Press Calves</t>
  </si>
  <si>
    <t>https://youtu.be/N3awlEyTY98</t>
  </si>
  <si>
    <t>Calf Machine</t>
  </si>
  <si>
    <t>Biceps</t>
  </si>
  <si>
    <t>https://youtu.be/Ja6ZlIDONac</t>
  </si>
  <si>
    <t>Machine Preacher Curl</t>
  </si>
  <si>
    <t>https://youtu.be/aTYlqC_JacQ</t>
  </si>
  <si>
    <t>Incline Dumbbell Curl</t>
  </si>
  <si>
    <t>https://youtu.be/XOEL4MgekYE</t>
  </si>
  <si>
    <t>Hammer Curl</t>
  </si>
  <si>
    <t>https://youtu.be/MCjBeB844rU</t>
  </si>
  <si>
    <t xml:space="preserve">EZ Curl </t>
  </si>
  <si>
    <t>https://youtu.be/WG3vdcq__I0</t>
  </si>
  <si>
    <t>EZ Bar Spider Curl</t>
  </si>
  <si>
    <t>https://youtu.be/sxA__DoLsgo</t>
  </si>
  <si>
    <t>EZ Bar Preacher Curl</t>
  </si>
  <si>
    <t>https://youtu.be/EK747VC37yE</t>
  </si>
  <si>
    <t>EZ Bar Curl Wide Grip</t>
  </si>
  <si>
    <t>https://youtu.be/cdmnvo3augg</t>
  </si>
  <si>
    <t>EZ Bar Curl Narrow Grip</t>
  </si>
  <si>
    <t>https://youtu.be/tRXw8HQ7-oA</t>
  </si>
  <si>
    <t>Dummbell Twist Curl</t>
  </si>
  <si>
    <t>https://youtu.be/ke2shAeQ0O8</t>
  </si>
  <si>
    <t>Dumbbell Spider Curl</t>
  </si>
  <si>
    <t>https://youtu.be/fuK3nFvwgXk</t>
  </si>
  <si>
    <t>Dumbbell Single Arm Preacher Curl</t>
  </si>
  <si>
    <t>https://youtu.be/GztM7atVgd8</t>
  </si>
  <si>
    <t>Close Grip Barbell Curl</t>
  </si>
  <si>
    <t>https://youtu.be/2CDKTFFp5fA</t>
  </si>
  <si>
    <t>Cable Rope Twist Curl</t>
  </si>
  <si>
    <t>https://youtu.be/yuozln3CC94</t>
  </si>
  <si>
    <t>Cable EZ Bar Curl Wide Grip</t>
  </si>
  <si>
    <t>https://youtu.be/opFVuRi_3b8</t>
  </si>
  <si>
    <t>Cable EZ Bar Curl</t>
  </si>
  <si>
    <t>https://youtu.be/nW7w5vG6IIc</t>
  </si>
  <si>
    <t>Cable Curl</t>
  </si>
  <si>
    <t>https://youtu.be/JnLFSFurrqQ</t>
  </si>
  <si>
    <t>Barbell Curl Normal Grip</t>
  </si>
  <si>
    <t>https://youtu.be/pUS6HBQjRmc</t>
  </si>
  <si>
    <t>Barbell Curl Narrow Grip</t>
  </si>
  <si>
    <t>https://youtu.be/iixND1P2lik</t>
  </si>
  <si>
    <t>Alternating Dumbbell Curl</t>
  </si>
  <si>
    <t>https://youtu.be/yYB76DOBPsM</t>
  </si>
  <si>
    <t>2-Arm Dumbbell Curl</t>
  </si>
  <si>
    <t>Abs</t>
  </si>
  <si>
    <t>https://youtu.be/BIOM5eSsJ_8</t>
  </si>
  <si>
    <t>V-Up</t>
  </si>
  <si>
    <t>https://youtu.be/DAnTf16NcT0</t>
  </si>
  <si>
    <t>Slant Board Sit-Up</t>
  </si>
  <si>
    <t>https://youtu.be/pXg8qppif7I</t>
  </si>
  <si>
    <t>Reaching Sit-Up</t>
  </si>
  <si>
    <t>https://youtu.be/T_X5rb3G5lk</t>
  </si>
  <si>
    <t>Modified Candlestick</t>
  </si>
  <si>
    <t>https://youtu.be/-OUSBPnHvsQ</t>
  </si>
  <si>
    <t>Machine Crunch</t>
  </si>
  <si>
    <t>https://youtu.be/7FwGZ8qY5OU</t>
  </si>
  <si>
    <t>Hanging Straight Leg Raise</t>
  </si>
  <si>
    <t>https://youtu.be/RD_A-Z15ER4</t>
  </si>
  <si>
    <t>Hanging Knee Raise</t>
  </si>
  <si>
    <t>https://youtu.be/6GMKPQVERzw</t>
  </si>
  <si>
    <t>Cable Rope Crunch</t>
  </si>
  <si>
    <t>Category</t>
  </si>
  <si>
    <t>Link</t>
  </si>
  <si>
    <t>Exercise</t>
  </si>
  <si>
    <t>Vertical_Triceps_M6</t>
  </si>
  <si>
    <t>Vertical_Back_M6</t>
  </si>
  <si>
    <t>Triceps_M6</t>
  </si>
  <si>
    <t>Triceps</t>
  </si>
  <si>
    <t>Side_Delts_M6</t>
  </si>
  <si>
    <t>Shoulders_M6</t>
  </si>
  <si>
    <t>Shoulders</t>
  </si>
  <si>
    <t>Rear_or_Side_Delts_M6</t>
  </si>
  <si>
    <t>Rear or Side Delts</t>
  </si>
  <si>
    <t>Rear_Delts_M6</t>
  </si>
  <si>
    <t>Quads_M6</t>
  </si>
  <si>
    <t>Incline_Push_or_Front_Delts_M6</t>
  </si>
  <si>
    <t>Incline Push or Front Delts</t>
  </si>
  <si>
    <t>Incline_Push_M6</t>
  </si>
  <si>
    <t>Horizontal_Triceps_M6</t>
  </si>
  <si>
    <t>Horizontal_Push_M6</t>
  </si>
  <si>
    <t>Horizonal_Back_M6</t>
  </si>
  <si>
    <t>Hamstrings_Isolation_M6</t>
  </si>
  <si>
    <t>Hamstrings_Hip_Hinge_M6</t>
  </si>
  <si>
    <t>Hamstrings_M6</t>
  </si>
  <si>
    <t>Hams</t>
  </si>
  <si>
    <t>Glutes_M6</t>
  </si>
  <si>
    <t>Glute_Iso_M6</t>
  </si>
  <si>
    <t>Glute Isolation</t>
  </si>
  <si>
    <t>Front_Delts_M6</t>
  </si>
  <si>
    <t>Traps_M6</t>
  </si>
  <si>
    <t>Extra Trap Work</t>
  </si>
  <si>
    <t>Forearms_M6</t>
  </si>
  <si>
    <t>Extra Forearm Work</t>
  </si>
  <si>
    <t>Abs_M6</t>
  </si>
  <si>
    <t>Extra Ab Work</t>
  </si>
  <si>
    <t>Chest_Isolation_M6</t>
  </si>
  <si>
    <t>Chest Isolations</t>
  </si>
  <si>
    <t>Chest_Isolation_or_Triceps_M6</t>
  </si>
  <si>
    <t>Chest Isolation or Triceps</t>
  </si>
  <si>
    <t>Chest_Compound_M6</t>
  </si>
  <si>
    <t>Chest Compounds</t>
  </si>
  <si>
    <t>Calves_M6</t>
  </si>
  <si>
    <t>Biceps_M6</t>
  </si>
  <si>
    <t>Back_M6</t>
  </si>
  <si>
    <t>Back</t>
  </si>
  <si>
    <t>Link List</t>
  </si>
  <si>
    <t>Name List</t>
  </si>
  <si>
    <t>Table name</t>
  </si>
  <si>
    <t>Rear Delts or Side Delts</t>
  </si>
  <si>
    <t>Exercise Rating Menu:</t>
  </si>
  <si>
    <t xml:space="preserve"> </t>
  </si>
  <si>
    <t>Rest one day and then do next week's Day 1</t>
  </si>
  <si>
    <t>1/2 reps of Week 1</t>
  </si>
  <si>
    <t>1/fail</t>
  </si>
  <si>
    <t>2/fail</t>
  </si>
  <si>
    <t>3/fail</t>
  </si>
  <si>
    <t>Rep Goal</t>
  </si>
  <si>
    <t>Weight</t>
  </si>
  <si>
    <t>Sets</t>
  </si>
  <si>
    <t>Day 6</t>
  </si>
  <si>
    <t>Pump Rating</t>
  </si>
  <si>
    <t>Soreness Rating</t>
  </si>
  <si>
    <t>Rep Results</t>
  </si>
  <si>
    <t>Estimated 10RM</t>
  </si>
  <si>
    <t>Instructional Video</t>
  </si>
  <si>
    <t>Exercise Focus</t>
  </si>
  <si>
    <t xml:space="preserve">Do Day 6 tomorrow </t>
  </si>
  <si>
    <t>Day 5</t>
  </si>
  <si>
    <t xml:space="preserve">Do Day 5 tomorrow </t>
  </si>
  <si>
    <t>Day 4</t>
  </si>
  <si>
    <t xml:space="preserve">Do Day 4 tomorrow </t>
  </si>
  <si>
    <t>Day 3</t>
  </si>
  <si>
    <t xml:space="preserve">Do Day 3 tomorrow </t>
  </si>
  <si>
    <t>Day 2</t>
  </si>
  <si>
    <t>Do Day 2 tomorrow. Make sure not to take more than one rest day per week so that you can complete all of your weekly workouts!</t>
  </si>
  <si>
    <t>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</si>
</sst>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DBDDB"/>
        <bgColor indexed="64"/>
      </patternFill>
    </fill>
    <fill>
      <patternFill patternType="solid">
        <fgColor rgb="FFAECCE0"/>
        <bgColor indexed="64"/>
      </patternFill>
    </fill>
    <fill>
      <patternFill patternType="solid">
        <fgColor rgb="FFB1DDB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D0F17"/>
        <bgColor indexed="64"/>
      </patternFill>
    </fill>
    <fill>
      <patternFill patternType="solid">
        <fgColor rgb="FFC75D5D"/>
        <bgColor indexed="64"/>
      </patternFill>
    </fill>
    <fill>
      <patternFill patternType="solid">
        <fgColor rgb="FFD08A8A"/>
        <bgColor indexed="64"/>
      </patternFill>
    </fill>
    <fill>
      <patternFill patternType="solid">
        <fgColor rgb="FFE3BFBF"/>
        <bgColor indexed="64"/>
      </patternFill>
    </fill>
    <fill>
      <patternFill patternType="solid">
        <fgColor rgb="FFEDE3E3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1" applyAlignment="1" applyProtection="1"/>
    <xf numFmtId="0" fontId="6" fillId="0" borderId="0" xfId="1" applyFont="1" applyAlignment="1" applyProtection="1"/>
    <xf numFmtId="0" fontId="6" fillId="0" borderId="0" xfId="0" applyFont="1"/>
    <xf numFmtId="0" fontId="0" fillId="0" borderId="0" xfId="0" applyAlignment="1">
      <alignment horizontal="center"/>
    </xf>
    <xf numFmtId="0" fontId="5" fillId="0" borderId="0" xfId="1" applyAlignment="1" applyProtection="1">
      <alignment horizontal="center"/>
    </xf>
    <xf numFmtId="0" fontId="7" fillId="0" borderId="0" xfId="1" applyFont="1" applyFill="1" applyBorder="1" applyAlignment="1" applyProtection="1"/>
    <xf numFmtId="0" fontId="8" fillId="0" borderId="0" xfId="1" applyFont="1" applyAlignment="1" applyProtection="1">
      <alignment horizontal="center"/>
    </xf>
    <xf numFmtId="0" fontId="4" fillId="0" borderId="0" xfId="0" applyFont="1" applyAlignment="1">
      <alignment horizontal="center" shrinkToFit="1"/>
    </xf>
    <xf numFmtId="0" fontId="9" fillId="0" borderId="0" xfId="1" applyFont="1" applyAlignment="1" applyProtection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 shrinkToFit="1"/>
    </xf>
    <xf numFmtId="0" fontId="10" fillId="0" borderId="0" xfId="1" applyFont="1" applyAlignment="1" applyProtection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0" fillId="3" borderId="1" xfId="1" applyFont="1" applyFill="1" applyBorder="1" applyAlignment="1" applyProtection="1">
      <alignment horizontal="center" shrinkToFit="1"/>
    </xf>
    <xf numFmtId="0" fontId="6" fillId="3" borderId="2" xfId="0" applyFont="1" applyFill="1" applyBorder="1" applyAlignment="1">
      <alignment horizontal="left"/>
    </xf>
    <xf numFmtId="0" fontId="4" fillId="0" borderId="0" xfId="1" applyFont="1" applyFill="1" applyAlignment="1" applyProtection="1">
      <alignment horizontal="left"/>
    </xf>
    <xf numFmtId="0" fontId="5" fillId="0" borderId="0" xfId="1" applyAlignment="1" applyProtection="1">
      <alignment horizontal="center" vertical="center"/>
    </xf>
    <xf numFmtId="0" fontId="5" fillId="0" borderId="0" xfId="1" applyFill="1" applyAlignment="1" applyProtection="1"/>
    <xf numFmtId="0" fontId="5" fillId="0" borderId="0" xfId="1" applyFill="1" applyAlignment="1" applyProtection="1">
      <alignment horizontal="center"/>
    </xf>
    <xf numFmtId="0" fontId="4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4" fillId="0" borderId="0" xfId="1" applyFont="1" applyAlignment="1" applyProtection="1">
      <alignment horizontal="left"/>
    </xf>
    <xf numFmtId="0" fontId="9" fillId="0" borderId="0" xfId="1" applyFont="1" applyAlignment="1" applyProtection="1">
      <alignment horizontal="center" shrinkToFit="1"/>
    </xf>
    <xf numFmtId="0" fontId="4" fillId="0" borderId="0" xfId="1" applyNumberFormat="1" applyFont="1" applyFill="1" applyAlignment="1" applyProtection="1">
      <alignment horizontal="center" shrinkToFit="1"/>
    </xf>
    <xf numFmtId="0" fontId="9" fillId="0" borderId="0" xfId="1" applyNumberFormat="1" applyFont="1" applyFill="1" applyBorder="1" applyAlignment="1" applyProtection="1">
      <alignment horizontal="center" shrinkToFit="1"/>
    </xf>
    <xf numFmtId="0" fontId="4" fillId="0" borderId="3" xfId="0" applyFont="1" applyBorder="1" applyAlignment="1">
      <alignment horizontal="left"/>
    </xf>
    <xf numFmtId="0" fontId="4" fillId="0" borderId="3" xfId="1" applyFont="1" applyFill="1" applyBorder="1" applyAlignment="1">
      <alignment horizontal="left"/>
    </xf>
    <xf numFmtId="0" fontId="11" fillId="0" borderId="1" xfId="1" applyFont="1" applyFill="1" applyBorder="1" applyAlignment="1">
      <alignment horizontal="center" shrinkToFit="1"/>
    </xf>
    <xf numFmtId="0" fontId="12" fillId="0" borderId="4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1" applyNumberFormat="1" applyFont="1" applyAlignment="1" applyProtection="1">
      <alignment horizontal="center" shrinkToFit="1"/>
    </xf>
    <xf numFmtId="0" fontId="9" fillId="0" borderId="0" xfId="1" applyNumberFormat="1" applyFont="1" applyAlignment="1" applyProtection="1">
      <alignment horizontal="center" shrinkToFit="1"/>
    </xf>
    <xf numFmtId="0" fontId="10" fillId="0" borderId="0" xfId="1" applyFont="1" applyAlignment="1" applyProtection="1">
      <alignment horizontal="center" shrinkToFit="1"/>
    </xf>
    <xf numFmtId="0" fontId="6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0" fontId="5" fillId="0" borderId="0" xfId="1" applyFill="1" applyBorder="1" applyAlignment="1" applyProtection="1">
      <alignment horizontal="center" vertical="center"/>
    </xf>
    <xf numFmtId="0" fontId="5" fillId="0" borderId="0" xfId="1" applyFill="1" applyBorder="1" applyAlignment="1" applyProtection="1"/>
    <xf numFmtId="0" fontId="0" fillId="0" borderId="0" xfId="0" applyAlignment="1">
      <alignment horizontal="center" shrinkToFit="1"/>
    </xf>
    <xf numFmtId="0" fontId="1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shrinkToFit="1"/>
    </xf>
    <xf numFmtId="0" fontId="0" fillId="0" borderId="6" xfId="0" applyBorder="1" applyAlignment="1">
      <alignment horizontal="center" shrinkToFit="1"/>
    </xf>
    <xf numFmtId="0" fontId="0" fillId="4" borderId="8" xfId="0" applyFill="1" applyBorder="1" applyAlignment="1">
      <alignment horizontal="center" wrapText="1" shrinkToFit="1"/>
    </xf>
    <xf numFmtId="0" fontId="0" fillId="5" borderId="6" xfId="0" applyFill="1" applyBorder="1" applyAlignment="1">
      <alignment horizontal="center" wrapText="1" shrinkToFit="1"/>
    </xf>
    <xf numFmtId="0" fontId="0" fillId="6" borderId="6" xfId="0" applyFill="1" applyBorder="1" applyAlignment="1">
      <alignment horizontal="center" wrapText="1" shrinkToFit="1"/>
    </xf>
    <xf numFmtId="0" fontId="3" fillId="7" borderId="6" xfId="0" applyFont="1" applyFill="1" applyBorder="1" applyAlignment="1">
      <alignment shrinkToFit="1"/>
    </xf>
    <xf numFmtId="0" fontId="5" fillId="0" borderId="6" xfId="1" applyBorder="1" applyAlignment="1">
      <alignment horizontal="left" shrinkToFit="1"/>
    </xf>
    <xf numFmtId="0" fontId="0" fillId="0" borderId="6" xfId="0" applyBorder="1" applyAlignment="1">
      <alignment horizontal="left" indent="1"/>
    </xf>
    <xf numFmtId="0" fontId="3" fillId="0" borderId="6" xfId="0" applyFont="1" applyBorder="1" applyAlignment="1">
      <alignment horizontal="center" vertical="center" wrapText="1" shrinkToFit="1"/>
    </xf>
    <xf numFmtId="0" fontId="3" fillId="4" borderId="8" xfId="0" applyFont="1" applyFill="1" applyBorder="1" applyAlignment="1">
      <alignment horizontal="center" vertical="center" wrapText="1" shrinkToFit="1"/>
    </xf>
    <xf numFmtId="0" fontId="3" fillId="5" borderId="6" xfId="0" applyFont="1" applyFill="1" applyBorder="1" applyAlignment="1">
      <alignment horizontal="center" vertical="center" wrapText="1" shrinkToFit="1"/>
    </xf>
    <xf numFmtId="0" fontId="3" fillId="6" borderId="11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center" shrinkToFit="1"/>
    </xf>
    <xf numFmtId="0" fontId="3" fillId="7" borderId="10" xfId="0" applyFont="1" applyFill="1" applyBorder="1" applyAlignment="1">
      <alignment horizontal="center" vertical="center" wrapText="1" shrinkToFit="1"/>
    </xf>
    <xf numFmtId="0" fontId="3" fillId="0" borderId="10" xfId="0" applyFont="1" applyBorder="1" applyAlignment="1">
      <alignment horizontal="center" vertical="center" wrapText="1" shrinkToFit="1"/>
    </xf>
    <xf numFmtId="0" fontId="3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shrinkToFit="1"/>
    </xf>
    <xf numFmtId="0" fontId="0" fillId="6" borderId="11" xfId="0" applyFill="1" applyBorder="1" applyAlignment="1">
      <alignment horizontal="center" wrapText="1" shrinkToFit="1"/>
    </xf>
    <xf numFmtId="0" fontId="0" fillId="5" borderId="8" xfId="0" applyFill="1" applyBorder="1" applyAlignment="1">
      <alignment horizontal="center" wrapText="1" shrinkToFit="1"/>
    </xf>
    <xf numFmtId="0" fontId="0" fillId="0" borderId="0" xfId="0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15" fillId="0" borderId="0" xfId="0" applyFont="1" applyAlignment="1">
      <alignment horizontal="center" vertical="center"/>
    </xf>
    <xf numFmtId="0" fontId="2" fillId="0" borderId="0" xfId="0" applyFont="1"/>
    <xf numFmtId="0" fontId="0" fillId="0" borderId="16" xfId="0" applyBorder="1"/>
    <xf numFmtId="0" fontId="2" fillId="0" borderId="10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13" fillId="0" borderId="5" xfId="0" applyFont="1" applyBorder="1" applyAlignment="1">
      <alignment horizontal="center" vertical="center" shrinkToFit="1"/>
    </xf>
    <xf numFmtId="0" fontId="2" fillId="7" borderId="12" xfId="0" applyFont="1" applyFill="1" applyBorder="1" applyAlignment="1">
      <alignment horizontal="center" shrinkToFit="1"/>
    </xf>
    <xf numFmtId="0" fontId="2" fillId="7" borderId="11" xfId="0" applyFont="1" applyFill="1" applyBorder="1" applyAlignment="1">
      <alignment horizontal="center" shrinkToFit="1"/>
    </xf>
    <xf numFmtId="0" fontId="2" fillId="7" borderId="8" xfId="0" applyFont="1" applyFill="1" applyBorder="1" applyAlignment="1">
      <alignment horizontal="center" shrinkToFit="1"/>
    </xf>
    <xf numFmtId="0" fontId="13" fillId="0" borderId="11" xfId="0" applyFont="1" applyBorder="1" applyAlignment="1">
      <alignment horizontal="center" vertical="center" shrinkToFit="1"/>
    </xf>
    <xf numFmtId="0" fontId="2" fillId="12" borderId="12" xfId="0" applyFont="1" applyFill="1" applyBorder="1" applyAlignment="1">
      <alignment horizontal="center" shrinkToFit="1"/>
    </xf>
    <xf numFmtId="0" fontId="2" fillId="12" borderId="11" xfId="0" applyFont="1" applyFill="1" applyBorder="1" applyAlignment="1">
      <alignment horizontal="center" shrinkToFit="1"/>
    </xf>
    <xf numFmtId="0" fontId="2" fillId="12" borderId="8" xfId="0" applyFont="1" applyFill="1" applyBorder="1" applyAlignment="1">
      <alignment horizontal="center" shrinkToFit="1"/>
    </xf>
    <xf numFmtId="0" fontId="2" fillId="11" borderId="15" xfId="0" applyFont="1" applyFill="1" applyBorder="1" applyAlignment="1">
      <alignment horizontal="center" shrinkToFit="1"/>
    </xf>
    <xf numFmtId="0" fontId="2" fillId="11" borderId="14" xfId="0" applyFont="1" applyFill="1" applyBorder="1" applyAlignment="1">
      <alignment horizontal="center" shrinkToFit="1"/>
    </xf>
    <xf numFmtId="0" fontId="2" fillId="11" borderId="13" xfId="0" applyFont="1" applyFill="1" applyBorder="1" applyAlignment="1">
      <alignment horizontal="center" shrinkToFit="1"/>
    </xf>
    <xf numFmtId="0" fontId="2" fillId="10" borderId="12" xfId="0" applyFont="1" applyFill="1" applyBorder="1" applyAlignment="1">
      <alignment horizontal="center" shrinkToFit="1"/>
    </xf>
    <xf numFmtId="0" fontId="2" fillId="10" borderId="11" xfId="0" applyFont="1" applyFill="1" applyBorder="1" applyAlignment="1">
      <alignment horizontal="center" shrinkToFit="1"/>
    </xf>
    <xf numFmtId="0" fontId="2" fillId="10" borderId="8" xfId="0" applyFont="1" applyFill="1" applyBorder="1" applyAlignment="1">
      <alignment horizontal="center" shrinkToFit="1"/>
    </xf>
    <xf numFmtId="0" fontId="2" fillId="9" borderId="12" xfId="0" applyFont="1" applyFill="1" applyBorder="1" applyAlignment="1">
      <alignment horizontal="center" shrinkToFit="1"/>
    </xf>
    <xf numFmtId="0" fontId="2" fillId="9" borderId="11" xfId="0" applyFont="1" applyFill="1" applyBorder="1" applyAlignment="1">
      <alignment horizontal="center" shrinkToFit="1"/>
    </xf>
    <xf numFmtId="0" fontId="2" fillId="9" borderId="8" xfId="0" applyFont="1" applyFill="1" applyBorder="1" applyAlignment="1">
      <alignment horizontal="center" shrinkToFit="1"/>
    </xf>
    <xf numFmtId="0" fontId="2" fillId="8" borderId="12" xfId="0" applyFont="1" applyFill="1" applyBorder="1" applyAlignment="1">
      <alignment horizontal="center" shrinkToFit="1"/>
    </xf>
    <xf numFmtId="0" fontId="2" fillId="8" borderId="11" xfId="0" applyFont="1" applyFill="1" applyBorder="1" applyAlignment="1">
      <alignment horizontal="center" shrinkToFit="1"/>
    </xf>
    <xf numFmtId="0" fontId="2" fillId="8" borderId="8" xfId="0" applyFont="1" applyFill="1" applyBorder="1" applyAlignment="1">
      <alignment horizontal="center" shrinkToFit="1"/>
    </xf>
    <xf numFmtId="0" fontId="2" fillId="11" borderId="12" xfId="0" applyFont="1" applyFill="1" applyBorder="1" applyAlignment="1">
      <alignment horizontal="center" shrinkToFit="1"/>
    </xf>
    <xf numFmtId="0" fontId="2" fillId="11" borderId="11" xfId="0" applyFont="1" applyFill="1" applyBorder="1" applyAlignment="1">
      <alignment horizontal="center" shrinkToFit="1"/>
    </xf>
    <xf numFmtId="0" fontId="2" fillId="11" borderId="8" xfId="0" applyFont="1" applyFill="1" applyBorder="1" applyAlignment="1">
      <alignment horizontal="center" shrinkToFit="1"/>
    </xf>
    <xf numFmtId="0" fontId="2" fillId="0" borderId="10" xfId="0" applyFont="1" applyBorder="1" applyAlignment="1">
      <alignment horizontal="center" vertical="center" textRotation="90" shrinkToFit="1"/>
    </xf>
    <xf numFmtId="0" fontId="2" fillId="0" borderId="9" xfId="0" applyFont="1" applyBorder="1" applyAlignment="1">
      <alignment horizontal="center" vertical="center" textRotation="90" shrinkToFit="1"/>
    </xf>
    <xf numFmtId="0" fontId="2" fillId="0" borderId="7" xfId="0" applyFont="1" applyBorder="1" applyAlignment="1">
      <alignment horizontal="center" vertical="center" textRotation="90" shrinkToFit="1"/>
    </xf>
    <xf numFmtId="0" fontId="13" fillId="0" borderId="11" xfId="0" applyFont="1" applyBorder="1" applyAlignment="1">
      <alignment horizontal="center" vertical="center" wrapText="1" shrinkToFit="1"/>
    </xf>
    <xf numFmtId="0" fontId="2" fillId="7" borderId="12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70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rgb="FF95B3D7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fill>
        <patternFill patternType="none">
          <bgColor auto="1"/>
        </patternFill>
      </fill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fill>
        <patternFill patternType="none">
          <bgColor auto="1"/>
        </patternFill>
      </fill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0" formatCode="General"/>
      <alignment horizontal="center" vertical="bottom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left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3_2">
  <dgm:title val=""/>
  <dgm:desc val=""/>
  <dgm:catLst>
    <dgm:cat type="accent3" pri="112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lnNode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8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AAB2F9D-01FF-4269-B0AC-0FCDFFF60D32}" type="doc">
      <dgm:prSet loTypeId="urn:microsoft.com/office/officeart/2005/8/layout/chevron1" loCatId="process" qsTypeId="urn:microsoft.com/office/officeart/2005/8/quickstyle/simple1" qsCatId="simple" csTypeId="urn:microsoft.com/office/officeart/2005/8/colors/accent1_2" csCatId="accent1" phldr="1"/>
      <dgm:spPr/>
    </dgm:pt>
    <dgm:pt modelId="{94717AC7-0B70-4039-B56D-630826D777A4}">
      <dgm:prSet phldrT="[Text]" custT="1"/>
      <dgm:spPr>
        <a:solidFill>
          <a:schemeClr val="bg1">
            <a:lumMod val="50000"/>
          </a:schemeClr>
        </a:solidFill>
        <a:ln>
          <a:solidFill>
            <a:schemeClr val="tx1"/>
          </a:solidFill>
        </a:ln>
      </dgm:spPr>
      <dgm:t>
        <a:bodyPr/>
        <a:lstStyle/>
        <a:p>
          <a:r>
            <a:rPr lang="en-US" sz="2400"/>
            <a:t>Building Your Program</a:t>
          </a:r>
        </a:p>
      </dgm:t>
    </dgm:pt>
    <dgm:pt modelId="{5DC0C51F-5655-4411-8A9E-D5177CB032FC}" type="parTrans" cxnId="{6C664550-C68E-47D8-AB2B-898E5E0F20C4}">
      <dgm:prSet/>
      <dgm:spPr/>
      <dgm:t>
        <a:bodyPr/>
        <a:lstStyle/>
        <a:p>
          <a:endParaRPr lang="en-US"/>
        </a:p>
      </dgm:t>
    </dgm:pt>
    <dgm:pt modelId="{7F9FA109-94E1-4EFE-ADC1-1B6F10982116}" type="sibTrans" cxnId="{6C664550-C68E-47D8-AB2B-898E5E0F20C4}">
      <dgm:prSet/>
      <dgm:spPr/>
      <dgm:t>
        <a:bodyPr/>
        <a:lstStyle/>
        <a:p>
          <a:endParaRPr lang="en-US"/>
        </a:p>
      </dgm:t>
    </dgm:pt>
    <dgm:pt modelId="{7B7F4E42-3607-4A36-800B-4CF6475B1309}">
      <dgm:prSet phldrT="[Text]" custT="1"/>
      <dgm:spPr>
        <a:gradFill flip="none" rotWithShape="1">
          <a:gsLst>
            <a:gs pos="0">
              <a:srgbClr val="B1DDB8"/>
            </a:gs>
            <a:gs pos="53000">
              <a:srgbClr val="AECCE0"/>
            </a:gs>
            <a:gs pos="100000">
              <a:srgbClr val="DDBDDB"/>
            </a:gs>
          </a:gsLst>
          <a:lin ang="0" scaled="0"/>
          <a:tileRect/>
        </a:gradFill>
        <a:ln>
          <a:solidFill>
            <a:schemeClr val="tx1"/>
          </a:solidFill>
        </a:ln>
      </dgm:spPr>
      <dgm:t>
        <a:bodyPr/>
        <a:lstStyle/>
        <a:p>
          <a:r>
            <a:rPr lang="en-US" sz="2400">
              <a:solidFill>
                <a:schemeClr val="tx1"/>
              </a:solidFill>
            </a:rPr>
            <a:t>During Your Training</a:t>
          </a:r>
        </a:p>
      </dgm:t>
    </dgm:pt>
    <dgm:pt modelId="{4D458BE0-CE38-407B-86CB-95FF65A7615D}" type="parTrans" cxnId="{E9F34F38-8945-43E7-AE41-715957AA4893}">
      <dgm:prSet/>
      <dgm:spPr/>
      <dgm:t>
        <a:bodyPr/>
        <a:lstStyle/>
        <a:p>
          <a:endParaRPr lang="en-US"/>
        </a:p>
      </dgm:t>
    </dgm:pt>
    <dgm:pt modelId="{847F7118-A426-467B-A26E-355F3DBC8AB9}" type="sibTrans" cxnId="{E9F34F38-8945-43E7-AE41-715957AA4893}">
      <dgm:prSet/>
      <dgm:spPr/>
      <dgm:t>
        <a:bodyPr/>
        <a:lstStyle/>
        <a:p>
          <a:endParaRPr lang="en-US"/>
        </a:p>
      </dgm:t>
    </dgm:pt>
    <dgm:pt modelId="{2CE7EE3A-F348-4D1F-90AC-387FA4EA83B0}" type="pres">
      <dgm:prSet presAssocID="{2AAB2F9D-01FF-4269-B0AC-0FCDFFF60D32}" presName="Name0" presStyleCnt="0">
        <dgm:presLayoutVars>
          <dgm:dir/>
          <dgm:animLvl val="lvl"/>
          <dgm:resizeHandles val="exact"/>
        </dgm:presLayoutVars>
      </dgm:prSet>
      <dgm:spPr/>
    </dgm:pt>
    <dgm:pt modelId="{EAF843FC-F061-48CE-955C-938499FCD5D0}" type="pres">
      <dgm:prSet presAssocID="{94717AC7-0B70-4039-B56D-630826D777A4}" presName="parTxOnly" presStyleLbl="node1" presStyleIdx="0" presStyleCnt="2" custScaleX="35293" custScaleY="52696" custLinFactX="-513" custLinFactNeighborX="-100000">
        <dgm:presLayoutVars>
          <dgm:chMax val="0"/>
          <dgm:chPref val="0"/>
          <dgm:bulletEnabled val="1"/>
        </dgm:presLayoutVars>
      </dgm:prSet>
      <dgm:spPr/>
    </dgm:pt>
    <dgm:pt modelId="{6ADCCE72-10A2-4DAF-B0F9-CABF8F520649}" type="pres">
      <dgm:prSet presAssocID="{7F9FA109-94E1-4EFE-ADC1-1B6F10982116}" presName="parTxOnlySpace" presStyleCnt="0"/>
      <dgm:spPr/>
    </dgm:pt>
    <dgm:pt modelId="{A70B33AA-D6EE-42F5-99FB-C3853B4F1F51}" type="pres">
      <dgm:prSet presAssocID="{7B7F4E42-3607-4A36-800B-4CF6475B1309}" presName="parTxOnly" presStyleLbl="node1" presStyleIdx="1" presStyleCnt="2" custScaleX="55241" custScaleY="51966" custLinFactNeighborX="92950" custLinFactNeighborY="-365">
        <dgm:presLayoutVars>
          <dgm:chMax val="0"/>
          <dgm:chPref val="0"/>
          <dgm:bulletEnabled val="1"/>
        </dgm:presLayoutVars>
      </dgm:prSet>
      <dgm:spPr/>
    </dgm:pt>
  </dgm:ptLst>
  <dgm:cxnLst>
    <dgm:cxn modelId="{17BF3B1A-3EC0-4B6E-BD86-D606581C941B}" type="presOf" srcId="{2AAB2F9D-01FF-4269-B0AC-0FCDFFF60D32}" destId="{2CE7EE3A-F348-4D1F-90AC-387FA4EA83B0}" srcOrd="0" destOrd="0" presId="urn:microsoft.com/office/officeart/2005/8/layout/chevron1"/>
    <dgm:cxn modelId="{C78AF91D-3648-4C12-BEAD-2D6FAB698B21}" type="presOf" srcId="{7B7F4E42-3607-4A36-800B-4CF6475B1309}" destId="{A70B33AA-D6EE-42F5-99FB-C3853B4F1F51}" srcOrd="0" destOrd="0" presId="urn:microsoft.com/office/officeart/2005/8/layout/chevron1"/>
    <dgm:cxn modelId="{3EEBDC36-6830-4DE9-970E-A71506A5D9FF}" type="presOf" srcId="{94717AC7-0B70-4039-B56D-630826D777A4}" destId="{EAF843FC-F061-48CE-955C-938499FCD5D0}" srcOrd="0" destOrd="0" presId="urn:microsoft.com/office/officeart/2005/8/layout/chevron1"/>
    <dgm:cxn modelId="{E9F34F38-8945-43E7-AE41-715957AA4893}" srcId="{2AAB2F9D-01FF-4269-B0AC-0FCDFFF60D32}" destId="{7B7F4E42-3607-4A36-800B-4CF6475B1309}" srcOrd="1" destOrd="0" parTransId="{4D458BE0-CE38-407B-86CB-95FF65A7615D}" sibTransId="{847F7118-A426-467B-A26E-355F3DBC8AB9}"/>
    <dgm:cxn modelId="{6C664550-C68E-47D8-AB2B-898E5E0F20C4}" srcId="{2AAB2F9D-01FF-4269-B0AC-0FCDFFF60D32}" destId="{94717AC7-0B70-4039-B56D-630826D777A4}" srcOrd="0" destOrd="0" parTransId="{5DC0C51F-5655-4411-8A9E-D5177CB032FC}" sibTransId="{7F9FA109-94E1-4EFE-ADC1-1B6F10982116}"/>
    <dgm:cxn modelId="{7FF09F0B-6713-4079-9080-3327C3D2752F}" type="presParOf" srcId="{2CE7EE3A-F348-4D1F-90AC-387FA4EA83B0}" destId="{EAF843FC-F061-48CE-955C-938499FCD5D0}" srcOrd="0" destOrd="0" presId="urn:microsoft.com/office/officeart/2005/8/layout/chevron1"/>
    <dgm:cxn modelId="{3649374C-1823-436D-9894-6B01E5734AAB}" type="presParOf" srcId="{2CE7EE3A-F348-4D1F-90AC-387FA4EA83B0}" destId="{6ADCCE72-10A2-4DAF-B0F9-CABF8F520649}" srcOrd="1" destOrd="0" presId="urn:microsoft.com/office/officeart/2005/8/layout/chevron1"/>
    <dgm:cxn modelId="{D4097C59-D24C-482C-82F8-CDA770C12D5A}" type="presParOf" srcId="{2CE7EE3A-F348-4D1F-90AC-387FA4EA83B0}" destId="{A70B33AA-D6EE-42F5-99FB-C3853B4F1F51}" srcOrd="2" destOrd="0" presId="urn:microsoft.com/office/officeart/2005/8/layout/chevron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AA0E9762-2FC9-4429-B67A-450FF777EDA5}" type="doc">
      <dgm:prSet loTypeId="urn:microsoft.com/office/officeart/2005/8/layout/hList1" loCatId="list" qsTypeId="urn:microsoft.com/office/officeart/2005/8/quickstyle/simple1" qsCatId="simple" csTypeId="urn:microsoft.com/office/officeart/2005/8/colors/accent3_2" csCatId="accent3" phldr="1"/>
      <dgm:spPr/>
      <dgm:t>
        <a:bodyPr/>
        <a:lstStyle/>
        <a:p>
          <a:endParaRPr lang="en-US"/>
        </a:p>
      </dgm:t>
    </dgm:pt>
    <dgm:pt modelId="{C783F416-F3DE-44CF-9661-C161E04DCED2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ysClr val="windowText" lastClr="000000"/>
              </a:solidFill>
            </a:rPr>
            <a:t>Step 1</a:t>
          </a:r>
        </a:p>
        <a:p>
          <a:r>
            <a:rPr lang="en-US" sz="1400" b="1">
              <a:solidFill>
                <a:sysClr val="windowText" lastClr="000000"/>
              </a:solidFill>
            </a:rPr>
            <a:t>Choose your exercises</a:t>
          </a:r>
        </a:p>
      </dgm:t>
    </dgm:pt>
    <dgm:pt modelId="{59A6FA46-659A-4416-8491-2E7E9BB6A56C}" type="parTrans" cxnId="{26914DD6-FE1F-4B6C-AAF3-ED03749CF7D7}">
      <dgm:prSet/>
      <dgm:spPr/>
      <dgm:t>
        <a:bodyPr/>
        <a:lstStyle/>
        <a:p>
          <a:endParaRPr lang="en-US"/>
        </a:p>
      </dgm:t>
    </dgm:pt>
    <dgm:pt modelId="{0C655B2C-1169-407A-A6A5-F90676279684}" type="sibTrans" cxnId="{26914DD6-FE1F-4B6C-AAF3-ED03749CF7D7}">
      <dgm:prSet/>
      <dgm:spPr/>
      <dgm:t>
        <a:bodyPr/>
        <a:lstStyle/>
        <a:p>
          <a:endParaRPr lang="en-US"/>
        </a:p>
      </dgm:t>
    </dgm:pt>
    <dgm:pt modelId="{0634390B-CD98-471D-82ED-2745AFBF2CC6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>
              <a:latin typeface="+mn-lt"/>
            </a:rPr>
            <a:t>Use the dropdowns located in the "Exercise" column .</a:t>
          </a:r>
        </a:p>
      </dgm:t>
    </dgm:pt>
    <dgm:pt modelId="{FA9C5BC8-6D20-43EB-96DF-D5B49120268C}" type="parTrans" cxnId="{F288EA35-AE05-40F9-9A46-53F425F7AE4E}">
      <dgm:prSet/>
      <dgm:spPr/>
      <dgm:t>
        <a:bodyPr/>
        <a:lstStyle/>
        <a:p>
          <a:endParaRPr lang="en-US"/>
        </a:p>
      </dgm:t>
    </dgm:pt>
    <dgm:pt modelId="{851B4C75-5F5D-4475-BB53-5E9261132956}" type="sibTrans" cxnId="{F288EA35-AE05-40F9-9A46-53F425F7AE4E}">
      <dgm:prSet/>
      <dgm:spPr/>
      <dgm:t>
        <a:bodyPr/>
        <a:lstStyle/>
        <a:p>
          <a:endParaRPr lang="en-US"/>
        </a:p>
      </dgm:t>
    </dgm:pt>
    <dgm:pt modelId="{6795554C-ED73-4AEA-8DB7-829033B3EC05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ysClr val="windowText" lastClr="000000"/>
              </a:solidFill>
            </a:rPr>
            <a:t>Step 2</a:t>
          </a:r>
        </a:p>
        <a:p>
          <a:r>
            <a:rPr lang="en-US" sz="1400" b="1">
              <a:solidFill>
                <a:sysClr val="windowText" lastClr="000000"/>
              </a:solidFill>
            </a:rPr>
            <a:t>Enter estimated 10RM</a:t>
          </a:r>
        </a:p>
      </dgm:t>
    </dgm:pt>
    <dgm:pt modelId="{BE690012-ADB6-4946-B517-9144CDB1F1D9}" type="parTrans" cxnId="{6461B814-B1DE-406B-8190-59463D804350}">
      <dgm:prSet/>
      <dgm:spPr/>
      <dgm:t>
        <a:bodyPr/>
        <a:lstStyle/>
        <a:p>
          <a:endParaRPr lang="en-US"/>
        </a:p>
      </dgm:t>
    </dgm:pt>
    <dgm:pt modelId="{8505A652-1876-47C1-8568-6ED4BA76043B}" type="sibTrans" cxnId="{6461B814-B1DE-406B-8190-59463D804350}">
      <dgm:prSet/>
      <dgm:spPr/>
      <dgm:t>
        <a:bodyPr/>
        <a:lstStyle/>
        <a:p>
          <a:endParaRPr lang="en-US"/>
        </a:p>
      </dgm:t>
    </dgm:pt>
    <dgm:pt modelId="{7107282B-65D3-406F-B1FC-0611C4C7B9F9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 kern="1200">
              <a:latin typeface="+mn-lt"/>
            </a:rPr>
            <a:t>Do this for each exercise.</a:t>
          </a:r>
        </a:p>
      </dgm:t>
    </dgm:pt>
    <dgm:pt modelId="{75E4306E-5238-4E40-B385-B20A896E282C}" type="parTrans" cxnId="{9E9D1756-85CD-4504-A849-B4EC5D2C6542}">
      <dgm:prSet/>
      <dgm:spPr/>
      <dgm:t>
        <a:bodyPr/>
        <a:lstStyle/>
        <a:p>
          <a:endParaRPr lang="en-US"/>
        </a:p>
      </dgm:t>
    </dgm:pt>
    <dgm:pt modelId="{49FCE59F-3979-4E7E-ADEB-741EB0DE3A85}" type="sibTrans" cxnId="{9E9D1756-85CD-4504-A849-B4EC5D2C6542}">
      <dgm:prSet/>
      <dgm:spPr/>
      <dgm:t>
        <a:bodyPr/>
        <a:lstStyle/>
        <a:p>
          <a:endParaRPr lang="en-US"/>
        </a:p>
      </dgm:t>
    </dgm:pt>
    <dgm:pt modelId="{F909FABB-84F7-41ED-AFC0-E3571B62FD7D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 kern="1200">
              <a:latin typeface="+mn-lt"/>
            </a:rPr>
            <a:t>It does not have to be exact—a rough estimate </a:t>
          </a:r>
          <a:br>
            <a:rPr lang="en-US" sz="1100" kern="1200">
              <a:latin typeface="+mn-lt"/>
            </a:rPr>
          </a:br>
          <a:r>
            <a:rPr lang="en-US" sz="1100" kern="1200">
              <a:latin typeface="+mn-lt"/>
            </a:rPr>
            <a:t>    will </a:t>
          </a:r>
          <a:r>
            <a:rPr lang="en-US" sz="1100" kern="120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+mn-lt"/>
              <a:ea typeface="+mn-ea"/>
              <a:cs typeface="+mn-cs"/>
            </a:rPr>
            <a:t>work</a:t>
          </a:r>
          <a:r>
            <a:rPr lang="en-US" sz="1100" kern="1200">
              <a:latin typeface="+mn-lt"/>
            </a:rPr>
            <a:t> just fine.</a:t>
          </a:r>
        </a:p>
      </dgm:t>
    </dgm:pt>
    <dgm:pt modelId="{429A1903-68D4-4E13-AD4D-C91D36AE9C01}" type="parTrans" cxnId="{4BA0E09D-41F4-4E88-A89D-8B9F20D532E4}">
      <dgm:prSet/>
      <dgm:spPr/>
      <dgm:t>
        <a:bodyPr/>
        <a:lstStyle/>
        <a:p>
          <a:endParaRPr lang="en-US"/>
        </a:p>
      </dgm:t>
    </dgm:pt>
    <dgm:pt modelId="{257B9E28-A2AE-48C6-9AAD-77825400C832}" type="sibTrans" cxnId="{4BA0E09D-41F4-4E88-A89D-8B9F20D532E4}">
      <dgm:prSet/>
      <dgm:spPr/>
      <dgm:t>
        <a:bodyPr/>
        <a:lstStyle/>
        <a:p>
          <a:endParaRPr lang="en-US"/>
        </a:p>
      </dgm:t>
    </dgm:pt>
    <dgm:pt modelId="{732257BD-EC6B-418F-8A40-60B2E77C5074}">
      <dgm:prSet phldrT="[Text]" custT="1"/>
      <dgm:spPr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>
              <a:latin typeface="+mn-lt"/>
            </a:rPr>
            <a:t>Do this for each exercise.</a:t>
          </a:r>
        </a:p>
      </dgm:t>
    </dgm:pt>
    <dgm:pt modelId="{91278FE6-8A6A-45FC-9BEC-E996276DEEAD}" type="parTrans" cxnId="{29E4CCBC-8B6D-4578-9CF3-1A8C0BE35946}">
      <dgm:prSet/>
      <dgm:spPr/>
      <dgm:t>
        <a:bodyPr/>
        <a:lstStyle/>
        <a:p>
          <a:endParaRPr lang="en-US"/>
        </a:p>
      </dgm:t>
    </dgm:pt>
    <dgm:pt modelId="{949FE878-2C09-49E1-92C7-B7497E646CCD}" type="sibTrans" cxnId="{29E4CCBC-8B6D-4578-9CF3-1A8C0BE35946}">
      <dgm:prSet/>
      <dgm:spPr/>
      <dgm:t>
        <a:bodyPr/>
        <a:lstStyle/>
        <a:p>
          <a:endParaRPr lang="en-US"/>
        </a:p>
      </dgm:t>
    </dgm:pt>
    <dgm:pt modelId="{A6FA78FB-548C-4785-9623-57BDD62E3072}" type="pres">
      <dgm:prSet presAssocID="{AA0E9762-2FC9-4429-B67A-450FF777EDA5}" presName="Name0" presStyleCnt="0">
        <dgm:presLayoutVars>
          <dgm:dir/>
          <dgm:animLvl val="lvl"/>
          <dgm:resizeHandles val="exact"/>
        </dgm:presLayoutVars>
      </dgm:prSet>
      <dgm:spPr/>
    </dgm:pt>
    <dgm:pt modelId="{39DC75F6-2115-4795-89E9-22095A447781}" type="pres">
      <dgm:prSet presAssocID="{C783F416-F3DE-44CF-9661-C161E04DCED2}" presName="composite" presStyleCnt="0"/>
      <dgm:spPr/>
    </dgm:pt>
    <dgm:pt modelId="{9B9143F4-C31B-4C5F-957B-A791C5CCBFB5}" type="pres">
      <dgm:prSet presAssocID="{C783F416-F3DE-44CF-9661-C161E04DCED2}" presName="parTx" presStyleLbl="alignNode1" presStyleIdx="0" presStyleCnt="2">
        <dgm:presLayoutVars>
          <dgm:chMax val="0"/>
          <dgm:chPref val="0"/>
          <dgm:bulletEnabled val="1"/>
        </dgm:presLayoutVars>
      </dgm:prSet>
      <dgm:spPr/>
    </dgm:pt>
    <dgm:pt modelId="{713011DA-06C2-4D83-9C1B-A5380E48F152}" type="pres">
      <dgm:prSet presAssocID="{C783F416-F3DE-44CF-9661-C161E04DCED2}" presName="desTx" presStyleLbl="alignAccFollowNode1" presStyleIdx="0" presStyleCnt="2" custLinFactNeighborX="-1179">
        <dgm:presLayoutVars>
          <dgm:bulletEnabled val="1"/>
        </dgm:presLayoutVars>
      </dgm:prSet>
      <dgm:spPr/>
    </dgm:pt>
    <dgm:pt modelId="{45412926-26BE-44DB-BEDE-F96C37768DB8}" type="pres">
      <dgm:prSet presAssocID="{0C655B2C-1169-407A-A6A5-F90676279684}" presName="space" presStyleCnt="0"/>
      <dgm:spPr/>
    </dgm:pt>
    <dgm:pt modelId="{7F15AE23-22F4-4ECB-B838-9BF724DE113F}" type="pres">
      <dgm:prSet presAssocID="{6795554C-ED73-4AEA-8DB7-829033B3EC05}" presName="composite" presStyleCnt="0"/>
      <dgm:spPr/>
    </dgm:pt>
    <dgm:pt modelId="{34A33220-F2C0-4040-87D5-13AFEB3166CF}" type="pres">
      <dgm:prSet presAssocID="{6795554C-ED73-4AEA-8DB7-829033B3EC05}" presName="parTx" presStyleLbl="alignNode1" presStyleIdx="1" presStyleCnt="2" custAng="0">
        <dgm:presLayoutVars>
          <dgm:chMax val="0"/>
          <dgm:chPref val="0"/>
          <dgm:bulletEnabled val="1"/>
        </dgm:presLayoutVars>
      </dgm:prSet>
      <dgm:spPr/>
    </dgm:pt>
    <dgm:pt modelId="{60CD37D8-4163-438B-854E-01ECE872D25C}" type="pres">
      <dgm:prSet presAssocID="{6795554C-ED73-4AEA-8DB7-829033B3EC05}" presName="desTx" presStyleLbl="alignAccFollowNode1" presStyleIdx="1" presStyleCnt="2">
        <dgm:presLayoutVars>
          <dgm:bulletEnabled val="1"/>
        </dgm:presLayoutVars>
      </dgm:prSet>
      <dgm:spPr/>
    </dgm:pt>
  </dgm:ptLst>
  <dgm:cxnLst>
    <dgm:cxn modelId="{B882F802-7137-4764-8FF2-307355C9D6FD}" type="presOf" srcId="{732257BD-EC6B-418F-8A40-60B2E77C5074}" destId="{713011DA-06C2-4D83-9C1B-A5380E48F152}" srcOrd="0" destOrd="1" presId="urn:microsoft.com/office/officeart/2005/8/layout/hList1"/>
    <dgm:cxn modelId="{6461B814-B1DE-406B-8190-59463D804350}" srcId="{AA0E9762-2FC9-4429-B67A-450FF777EDA5}" destId="{6795554C-ED73-4AEA-8DB7-829033B3EC05}" srcOrd="1" destOrd="0" parTransId="{BE690012-ADB6-4946-B517-9144CDB1F1D9}" sibTransId="{8505A652-1876-47C1-8568-6ED4BA76043B}"/>
    <dgm:cxn modelId="{5B123327-FC97-4462-BCB0-F0F2092156D2}" type="presOf" srcId="{0634390B-CD98-471D-82ED-2745AFBF2CC6}" destId="{713011DA-06C2-4D83-9C1B-A5380E48F152}" srcOrd="0" destOrd="0" presId="urn:microsoft.com/office/officeart/2005/8/layout/hList1"/>
    <dgm:cxn modelId="{F288EA35-AE05-40F9-9A46-53F425F7AE4E}" srcId="{C783F416-F3DE-44CF-9661-C161E04DCED2}" destId="{0634390B-CD98-471D-82ED-2745AFBF2CC6}" srcOrd="0" destOrd="0" parTransId="{FA9C5BC8-6D20-43EB-96DF-D5B49120268C}" sibTransId="{851B4C75-5F5D-4475-BB53-5E9261132956}"/>
    <dgm:cxn modelId="{CC719346-B793-40D5-BDA8-9A0AF2A639F6}" type="presOf" srcId="{C783F416-F3DE-44CF-9661-C161E04DCED2}" destId="{9B9143F4-C31B-4C5F-957B-A791C5CCBFB5}" srcOrd="0" destOrd="0" presId="urn:microsoft.com/office/officeart/2005/8/layout/hList1"/>
    <dgm:cxn modelId="{0375006C-3ECE-427F-9731-312C2700C479}" type="presOf" srcId="{AA0E9762-2FC9-4429-B67A-450FF777EDA5}" destId="{A6FA78FB-548C-4785-9623-57BDD62E3072}" srcOrd="0" destOrd="0" presId="urn:microsoft.com/office/officeart/2005/8/layout/hList1"/>
    <dgm:cxn modelId="{35BC494D-AC4F-49A6-B496-06B2B853EA32}" type="presOf" srcId="{7107282B-65D3-406F-B1FC-0611C4C7B9F9}" destId="{60CD37D8-4163-438B-854E-01ECE872D25C}" srcOrd="0" destOrd="0" presId="urn:microsoft.com/office/officeart/2005/8/layout/hList1"/>
    <dgm:cxn modelId="{9E9D1756-85CD-4504-A849-B4EC5D2C6542}" srcId="{6795554C-ED73-4AEA-8DB7-829033B3EC05}" destId="{7107282B-65D3-406F-B1FC-0611C4C7B9F9}" srcOrd="0" destOrd="0" parTransId="{75E4306E-5238-4E40-B385-B20A896E282C}" sibTransId="{49FCE59F-3979-4E7E-ADEB-741EB0DE3A85}"/>
    <dgm:cxn modelId="{4BA0E09D-41F4-4E88-A89D-8B9F20D532E4}" srcId="{6795554C-ED73-4AEA-8DB7-829033B3EC05}" destId="{F909FABB-84F7-41ED-AFC0-E3571B62FD7D}" srcOrd="1" destOrd="0" parTransId="{429A1903-68D4-4E13-AD4D-C91D36AE9C01}" sibTransId="{257B9E28-A2AE-48C6-9AAD-77825400C832}"/>
    <dgm:cxn modelId="{29E4CCBC-8B6D-4578-9CF3-1A8C0BE35946}" srcId="{C783F416-F3DE-44CF-9661-C161E04DCED2}" destId="{732257BD-EC6B-418F-8A40-60B2E77C5074}" srcOrd="1" destOrd="0" parTransId="{91278FE6-8A6A-45FC-9BEC-E996276DEEAD}" sibTransId="{949FE878-2C09-49E1-92C7-B7497E646CCD}"/>
    <dgm:cxn modelId="{1A3D77BF-0A34-4B73-AA62-E71D77B5A70B}" type="presOf" srcId="{6795554C-ED73-4AEA-8DB7-829033B3EC05}" destId="{34A33220-F2C0-4040-87D5-13AFEB3166CF}" srcOrd="0" destOrd="0" presId="urn:microsoft.com/office/officeart/2005/8/layout/hList1"/>
    <dgm:cxn modelId="{26914DD6-FE1F-4B6C-AAF3-ED03749CF7D7}" srcId="{AA0E9762-2FC9-4429-B67A-450FF777EDA5}" destId="{C783F416-F3DE-44CF-9661-C161E04DCED2}" srcOrd="0" destOrd="0" parTransId="{59A6FA46-659A-4416-8491-2E7E9BB6A56C}" sibTransId="{0C655B2C-1169-407A-A6A5-F90676279684}"/>
    <dgm:cxn modelId="{AA1B6FDE-B53B-4C25-86E6-EE88C40F5B99}" type="presOf" srcId="{F909FABB-84F7-41ED-AFC0-E3571B62FD7D}" destId="{60CD37D8-4163-438B-854E-01ECE872D25C}" srcOrd="0" destOrd="1" presId="urn:microsoft.com/office/officeart/2005/8/layout/hList1"/>
    <dgm:cxn modelId="{A02856D7-F30E-4EC9-BF48-8F47A22B26B4}" type="presParOf" srcId="{A6FA78FB-548C-4785-9623-57BDD62E3072}" destId="{39DC75F6-2115-4795-89E9-22095A447781}" srcOrd="0" destOrd="0" presId="urn:microsoft.com/office/officeart/2005/8/layout/hList1"/>
    <dgm:cxn modelId="{B77BBC34-E358-47C4-A52D-4A6D7925B587}" type="presParOf" srcId="{39DC75F6-2115-4795-89E9-22095A447781}" destId="{9B9143F4-C31B-4C5F-957B-A791C5CCBFB5}" srcOrd="0" destOrd="0" presId="urn:microsoft.com/office/officeart/2005/8/layout/hList1"/>
    <dgm:cxn modelId="{5766A674-2035-4B13-ABC7-9C15A9AA1811}" type="presParOf" srcId="{39DC75F6-2115-4795-89E9-22095A447781}" destId="{713011DA-06C2-4D83-9C1B-A5380E48F152}" srcOrd="1" destOrd="0" presId="urn:microsoft.com/office/officeart/2005/8/layout/hList1"/>
    <dgm:cxn modelId="{74A9D4DA-B2A3-47EC-846D-D4A968F19B3D}" type="presParOf" srcId="{A6FA78FB-548C-4785-9623-57BDD62E3072}" destId="{45412926-26BE-44DB-BEDE-F96C37768DB8}" srcOrd="1" destOrd="0" presId="urn:microsoft.com/office/officeart/2005/8/layout/hList1"/>
    <dgm:cxn modelId="{E1F2F131-9179-4039-AAB4-2F8BA665E02E}" type="presParOf" srcId="{A6FA78FB-548C-4785-9623-57BDD62E3072}" destId="{7F15AE23-22F4-4ECB-B838-9BF724DE113F}" srcOrd="2" destOrd="0" presId="urn:microsoft.com/office/officeart/2005/8/layout/hList1"/>
    <dgm:cxn modelId="{FC22CAEC-D70C-4704-9756-4EEE150A5133}" type="presParOf" srcId="{7F15AE23-22F4-4ECB-B838-9BF724DE113F}" destId="{34A33220-F2C0-4040-87D5-13AFEB3166CF}" srcOrd="0" destOrd="0" presId="urn:microsoft.com/office/officeart/2005/8/layout/hList1"/>
    <dgm:cxn modelId="{FC9DC87F-2284-4C73-AA98-37A12DCA3C63}" type="presParOf" srcId="{7F15AE23-22F4-4ECB-B838-9BF724DE113F}" destId="{60CD37D8-4163-438B-854E-01ECE872D25C}" srcOrd="1" destOrd="0" presId="urn:microsoft.com/office/officeart/2005/8/layout/hList1"/>
  </dgm:cxnLst>
  <dgm:bg/>
  <dgm:whole>
    <a:ln w="9525" cap="flat" cmpd="sng" algn="ctr">
      <a:noFill/>
      <a:prstDash val="solid"/>
      <a:round/>
      <a:headEnd type="none" w="med" len="med"/>
      <a:tailEnd type="none" w="med" len="med"/>
    </a:ln>
  </dgm:whole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AA0E9762-2FC9-4429-B67A-450FF777EDA5}" type="doc">
      <dgm:prSet loTypeId="urn:microsoft.com/office/officeart/2005/8/layout/h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3A4759A-9618-4059-B52F-BD56FCFE8BBC}">
      <dgm:prSet phldrT="[Text]" custT="1"/>
      <dgm:spPr>
        <a:solidFill>
          <a:srgbClr val="B1DDB8"/>
        </a:solidFill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chemeClr val="tx1"/>
              </a:solidFill>
            </a:rPr>
            <a:t>Step 3</a:t>
          </a:r>
        </a:p>
        <a:p>
          <a:r>
            <a:rPr lang="en-US" sz="1400" b="1">
              <a:solidFill>
                <a:schemeClr val="tx1"/>
              </a:solidFill>
            </a:rPr>
            <a:t>Enter reps completed</a:t>
          </a:r>
        </a:p>
      </dgm:t>
    </dgm:pt>
    <dgm:pt modelId="{CB7AC2B2-7F43-4165-95CB-12237980B971}" type="parTrans" cxnId="{5B86DBB0-72E1-4D6E-8AAD-B65E856FD029}">
      <dgm:prSet/>
      <dgm:spPr/>
      <dgm:t>
        <a:bodyPr/>
        <a:lstStyle/>
        <a:p>
          <a:endParaRPr lang="en-US" sz="1400"/>
        </a:p>
      </dgm:t>
    </dgm:pt>
    <dgm:pt modelId="{F8E53E7D-10D1-4D38-9EDB-98C0A72976DC}" type="sibTrans" cxnId="{5B86DBB0-72E1-4D6E-8AAD-B65E856FD029}">
      <dgm:prSet/>
      <dgm:spPr/>
      <dgm:t>
        <a:bodyPr/>
        <a:lstStyle/>
        <a:p>
          <a:endParaRPr lang="en-US" sz="1400"/>
        </a:p>
      </dgm:t>
    </dgm:pt>
    <dgm:pt modelId="{65338772-AC29-4106-ADC6-3C4895EC0F12}">
      <dgm:prSet phldrT="[Text]" custT="1"/>
      <dgm:spPr>
        <a:solidFill>
          <a:srgbClr val="F1E3F0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/>
            <a:t>0 = </a:t>
          </a:r>
          <a:r>
            <a:rPr lang="en-US" sz="1100" b="0" i="0"/>
            <a:t>My pump was out of this world or was at least pretty good. </a:t>
          </a:r>
          <a:endParaRPr lang="en-US" sz="1100"/>
        </a:p>
      </dgm:t>
    </dgm:pt>
    <dgm:pt modelId="{702C01C7-6916-4BE6-A8C6-DD951B841973}" type="parTrans" cxnId="{B7C75BBB-1EC4-4D2B-AB85-7553DBA0374C}">
      <dgm:prSet/>
      <dgm:spPr/>
      <dgm:t>
        <a:bodyPr/>
        <a:lstStyle/>
        <a:p>
          <a:endParaRPr lang="en-US" sz="1400"/>
        </a:p>
      </dgm:t>
    </dgm:pt>
    <dgm:pt modelId="{709495AE-B2F6-429A-ACEE-CD6E5372DB5E}" type="sibTrans" cxnId="{B7C75BBB-1EC4-4D2B-AB85-7553DBA0374C}">
      <dgm:prSet/>
      <dgm:spPr/>
      <dgm:t>
        <a:bodyPr/>
        <a:lstStyle/>
        <a:p>
          <a:endParaRPr lang="en-US" sz="1400"/>
        </a:p>
      </dgm:t>
    </dgm:pt>
    <dgm:pt modelId="{F9003AAB-64A2-438F-A450-79403B4138DB}">
      <dgm:prSet phldrT="[Text]" custT="1"/>
      <dgm:spPr>
        <a:solidFill>
          <a:srgbClr val="AECCE0"/>
        </a:solidFill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chemeClr val="tx1"/>
              </a:solidFill>
            </a:rPr>
            <a:t>Step 4</a:t>
          </a:r>
        </a:p>
        <a:p>
          <a:r>
            <a:rPr lang="en-US" sz="1400" b="1">
              <a:solidFill>
                <a:schemeClr val="tx1"/>
              </a:solidFill>
            </a:rPr>
            <a:t>Select soreness rating</a:t>
          </a:r>
        </a:p>
      </dgm:t>
    </dgm:pt>
    <dgm:pt modelId="{5917CC89-8B11-498E-B514-DFA03A0E71FC}" type="parTrans" cxnId="{7D27F007-6AF1-4444-AB88-CA5BEF839302}">
      <dgm:prSet/>
      <dgm:spPr/>
      <dgm:t>
        <a:bodyPr/>
        <a:lstStyle/>
        <a:p>
          <a:endParaRPr lang="en-US" sz="1400"/>
        </a:p>
      </dgm:t>
    </dgm:pt>
    <dgm:pt modelId="{24FAC3AF-78A5-4C4A-9800-0B470BABACF2}" type="sibTrans" cxnId="{7D27F007-6AF1-4444-AB88-CA5BEF839302}">
      <dgm:prSet/>
      <dgm:spPr/>
      <dgm:t>
        <a:bodyPr/>
        <a:lstStyle/>
        <a:p>
          <a:endParaRPr lang="en-US" sz="1400"/>
        </a:p>
      </dgm:t>
    </dgm:pt>
    <dgm:pt modelId="{688F8768-0784-423B-81B2-39ED2562BE45}">
      <dgm:prSet phldrT="[Text]" custT="1"/>
      <dgm:spPr>
        <a:solidFill>
          <a:srgbClr val="DDBDDB"/>
        </a:solidFill>
        <a:ln>
          <a:solidFill>
            <a:schemeClr val="tx1"/>
          </a:solidFill>
        </a:ln>
      </dgm:spPr>
      <dgm:t>
        <a:bodyPr/>
        <a:lstStyle/>
        <a:p>
          <a:r>
            <a:rPr lang="en-US" sz="1400" b="1" u="sng">
              <a:solidFill>
                <a:schemeClr val="tx1"/>
              </a:solidFill>
            </a:rPr>
            <a:t>Step 5</a:t>
          </a:r>
        </a:p>
        <a:p>
          <a:r>
            <a:rPr lang="en-US" sz="1400" b="1">
              <a:solidFill>
                <a:schemeClr val="tx1"/>
              </a:solidFill>
            </a:rPr>
            <a:t>Select pump rating</a:t>
          </a:r>
        </a:p>
      </dgm:t>
    </dgm:pt>
    <dgm:pt modelId="{B4288CEF-F820-405E-83A9-DEA727E8C62E}" type="parTrans" cxnId="{EA959BC3-91E8-40A1-996E-1657A2FC84FF}">
      <dgm:prSet/>
      <dgm:spPr/>
      <dgm:t>
        <a:bodyPr/>
        <a:lstStyle/>
        <a:p>
          <a:endParaRPr lang="en-US" sz="1400"/>
        </a:p>
      </dgm:t>
    </dgm:pt>
    <dgm:pt modelId="{6849A181-3356-4890-A66D-FFD7C75F43BD}" type="sibTrans" cxnId="{EA959BC3-91E8-40A1-996E-1657A2FC84FF}">
      <dgm:prSet/>
      <dgm:spPr/>
      <dgm:t>
        <a:bodyPr/>
        <a:lstStyle/>
        <a:p>
          <a:endParaRPr lang="en-US" sz="1400"/>
        </a:p>
      </dgm:t>
    </dgm:pt>
    <dgm:pt modelId="{C7B554EF-4F04-4966-B6C6-9455A217F7F3}">
      <dgm:prSet custT="1"/>
      <dgm:spPr>
        <a:solidFill>
          <a:srgbClr val="E5F3E7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/>
            <a:t>Do this for each exercise.</a:t>
          </a:r>
        </a:p>
      </dgm:t>
    </dgm:pt>
    <dgm:pt modelId="{9C5DC8BF-0E6F-4F27-AE52-9F2CC97C3D99}" type="parTrans" cxnId="{E96E7B88-0177-4620-A5E8-7BE25F1DE821}">
      <dgm:prSet/>
      <dgm:spPr/>
      <dgm:t>
        <a:bodyPr/>
        <a:lstStyle/>
        <a:p>
          <a:endParaRPr lang="en-US" sz="1400"/>
        </a:p>
      </dgm:t>
    </dgm:pt>
    <dgm:pt modelId="{80F6369F-BBAA-46F6-B93D-CAFD290848F0}" type="sibTrans" cxnId="{E96E7B88-0177-4620-A5E8-7BE25F1DE821}">
      <dgm:prSet/>
      <dgm:spPr/>
      <dgm:t>
        <a:bodyPr/>
        <a:lstStyle/>
        <a:p>
          <a:endParaRPr lang="en-US" sz="1400"/>
        </a:p>
      </dgm:t>
    </dgm:pt>
    <dgm:pt modelId="{93D108F1-2557-41F8-B33E-32CA4842873A}">
      <dgm:prSet phldrT="[Text]" custT="1"/>
      <dgm:spPr>
        <a:solidFill>
          <a:srgbClr val="E6F0F6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marL="182880" indent="-182880">
            <a:buSzPct val="70000"/>
            <a:buFont typeface="Arial" panose="020B0604020202020204" pitchFamily="34" charset="0"/>
            <a:buChar char="•"/>
          </a:pPr>
          <a:r>
            <a:rPr lang="en-US" sz="1100"/>
            <a:t>-1 = I'm still sore in this muscle from last time.</a:t>
          </a:r>
        </a:p>
      </dgm:t>
    </dgm:pt>
    <dgm:pt modelId="{9E5CB003-0D4D-4BE0-8FAE-CB2C174220D7}" type="parTrans" cxnId="{6684313C-42B2-4C28-A0F7-DF7D37DA2BD8}">
      <dgm:prSet/>
      <dgm:spPr/>
      <dgm:t>
        <a:bodyPr/>
        <a:lstStyle/>
        <a:p>
          <a:endParaRPr lang="en-US" sz="1400"/>
        </a:p>
      </dgm:t>
    </dgm:pt>
    <dgm:pt modelId="{B43180F6-6859-4F49-8F5F-C0CFD9A16BA2}" type="sibTrans" cxnId="{6684313C-42B2-4C28-A0F7-DF7D37DA2BD8}">
      <dgm:prSet/>
      <dgm:spPr/>
      <dgm:t>
        <a:bodyPr/>
        <a:lstStyle/>
        <a:p>
          <a:endParaRPr lang="en-US" sz="1400"/>
        </a:p>
      </dgm:t>
    </dgm:pt>
    <dgm:pt modelId="{FBEC0FED-8BEE-4062-BC45-510EEEBA80DF}">
      <dgm:prSet custT="1"/>
      <dgm:spPr>
        <a:solidFill>
          <a:srgbClr val="F1E3F0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indent="-182880">
            <a:buSzPct val="70000"/>
          </a:pPr>
          <a:r>
            <a:rPr lang="en-US" sz="1100"/>
            <a:t>1 = My pump was hardly noticeable or nonexistent.</a:t>
          </a:r>
        </a:p>
      </dgm:t>
    </dgm:pt>
    <dgm:pt modelId="{39085049-2AA6-4963-B0A6-DC01F3B2E2CE}" type="parTrans" cxnId="{5CB5ADF4-E3E0-4D95-82FA-0A6CB2655ABC}">
      <dgm:prSet/>
      <dgm:spPr/>
      <dgm:t>
        <a:bodyPr/>
        <a:lstStyle/>
        <a:p>
          <a:endParaRPr lang="en-US" sz="1400"/>
        </a:p>
      </dgm:t>
    </dgm:pt>
    <dgm:pt modelId="{D3C902D6-ED2A-4D9C-B92C-4A2F7FE94BA6}" type="sibTrans" cxnId="{5CB5ADF4-E3E0-4D95-82FA-0A6CB2655ABC}">
      <dgm:prSet/>
      <dgm:spPr/>
      <dgm:t>
        <a:bodyPr/>
        <a:lstStyle/>
        <a:p>
          <a:endParaRPr lang="en-US" sz="1400"/>
        </a:p>
      </dgm:t>
    </dgm:pt>
    <dgm:pt modelId="{4B11FAE1-AA9B-4F4F-B3AC-A41B27ADDA6E}">
      <dgm:prSet custT="1"/>
      <dgm:spPr>
        <a:solidFill>
          <a:srgbClr val="E6F0F6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marL="182880" indent="-182880">
            <a:buSzPct val="70000"/>
            <a:buFont typeface="Arial" panose="020B0604020202020204" pitchFamily="34" charset="0"/>
            <a:buChar char="•"/>
          </a:pPr>
          <a:r>
            <a:rPr lang="en-US" sz="1100"/>
            <a:t>0 = I </a:t>
          </a:r>
          <a:r>
            <a:rPr lang="en-US" sz="1100" b="0" i="0"/>
            <a:t>recovered just on time for this session and wasn't sore during it.</a:t>
          </a:r>
          <a:endParaRPr lang="en-US" sz="1100"/>
        </a:p>
      </dgm:t>
    </dgm:pt>
    <dgm:pt modelId="{8B9012A3-A11D-4E5E-94BC-746736193B8B}" type="sibTrans" cxnId="{E21531B7-9CEC-4934-A7BB-A92409610BB4}">
      <dgm:prSet/>
      <dgm:spPr/>
      <dgm:t>
        <a:bodyPr/>
        <a:lstStyle/>
        <a:p>
          <a:endParaRPr lang="en-US" sz="1400"/>
        </a:p>
      </dgm:t>
    </dgm:pt>
    <dgm:pt modelId="{611BA239-3150-451D-991F-8E799924C839}" type="parTrans" cxnId="{E21531B7-9CEC-4934-A7BB-A92409610BB4}">
      <dgm:prSet/>
      <dgm:spPr/>
      <dgm:t>
        <a:bodyPr/>
        <a:lstStyle/>
        <a:p>
          <a:endParaRPr lang="en-US" sz="1400"/>
        </a:p>
      </dgm:t>
    </dgm:pt>
    <dgm:pt modelId="{49D691F7-E0CC-4149-8835-D2E1E0718FD8}">
      <dgm:prSet custT="1"/>
      <dgm:spPr>
        <a:solidFill>
          <a:srgbClr val="E6F0F6">
            <a:alpha val="89804"/>
          </a:srgbClr>
        </a:solidFill>
        <a:ln>
          <a:solidFill>
            <a:schemeClr val="tx1"/>
          </a:solidFill>
        </a:ln>
      </dgm:spPr>
      <dgm:t>
        <a:bodyPr/>
        <a:lstStyle/>
        <a:p>
          <a:pPr marL="182880" indent="-182880">
            <a:buSzPct val="70000"/>
            <a:buFont typeface="Arial" panose="020B0604020202020204" pitchFamily="34" charset="0"/>
            <a:buChar char="•"/>
          </a:pPr>
          <a:r>
            <a:rPr lang="en-US" sz="1100"/>
            <a:t>1 = I got just a bit sore last time or didn't even get sore at all. Either way, I was healed days before the current session.</a:t>
          </a:r>
        </a:p>
      </dgm:t>
    </dgm:pt>
    <dgm:pt modelId="{19B0E713-0CC4-4C6F-BE54-657E6C73F867}" type="sibTrans" cxnId="{84FECDA1-E9D5-4226-AB94-1A58D1EAE90E}">
      <dgm:prSet/>
      <dgm:spPr/>
      <dgm:t>
        <a:bodyPr/>
        <a:lstStyle/>
        <a:p>
          <a:endParaRPr lang="en-US" sz="1400"/>
        </a:p>
      </dgm:t>
    </dgm:pt>
    <dgm:pt modelId="{66574F0B-0C9D-49D9-8E95-B7470307676B}" type="parTrans" cxnId="{84FECDA1-E9D5-4226-AB94-1A58D1EAE90E}">
      <dgm:prSet/>
      <dgm:spPr/>
      <dgm:t>
        <a:bodyPr/>
        <a:lstStyle/>
        <a:p>
          <a:endParaRPr lang="en-US" sz="1400"/>
        </a:p>
      </dgm:t>
    </dgm:pt>
    <dgm:pt modelId="{A6FA78FB-548C-4785-9623-57BDD62E3072}" type="pres">
      <dgm:prSet presAssocID="{AA0E9762-2FC9-4429-B67A-450FF777EDA5}" presName="Name0" presStyleCnt="0">
        <dgm:presLayoutVars>
          <dgm:dir/>
          <dgm:animLvl val="lvl"/>
          <dgm:resizeHandles val="exact"/>
        </dgm:presLayoutVars>
      </dgm:prSet>
      <dgm:spPr/>
    </dgm:pt>
    <dgm:pt modelId="{5CD2551A-D3D7-4E9A-89A0-B2A56D110E8D}" type="pres">
      <dgm:prSet presAssocID="{73A4759A-9618-4059-B52F-BD56FCFE8BBC}" presName="composite" presStyleCnt="0"/>
      <dgm:spPr/>
    </dgm:pt>
    <dgm:pt modelId="{36362E47-B0F7-466B-998D-4A467BC42372}" type="pres">
      <dgm:prSet presAssocID="{73A4759A-9618-4059-B52F-BD56FCFE8BBC}" presName="parTx" presStyleLbl="alignNode1" presStyleIdx="0" presStyleCnt="3" custScaleX="67702" custLinFactNeighborX="-289">
        <dgm:presLayoutVars>
          <dgm:chMax val="0"/>
          <dgm:chPref val="0"/>
          <dgm:bulletEnabled val="1"/>
        </dgm:presLayoutVars>
      </dgm:prSet>
      <dgm:spPr/>
    </dgm:pt>
    <dgm:pt modelId="{7656D299-4592-4CCE-A222-C21566EF8B1C}" type="pres">
      <dgm:prSet presAssocID="{73A4759A-9618-4059-B52F-BD56FCFE8BBC}" presName="desTx" presStyleLbl="alignAccFollowNode1" presStyleIdx="0" presStyleCnt="3" custScaleX="67702" custScaleY="99139" custLinFactNeighborX="-223" custLinFactNeighborY="119">
        <dgm:presLayoutVars>
          <dgm:bulletEnabled val="1"/>
        </dgm:presLayoutVars>
      </dgm:prSet>
      <dgm:spPr/>
    </dgm:pt>
    <dgm:pt modelId="{E33E6FB3-A920-4A6A-95BB-61F4B70E82DD}" type="pres">
      <dgm:prSet presAssocID="{F8E53E7D-10D1-4D38-9EDB-98C0A72976DC}" presName="space" presStyleCnt="0"/>
      <dgm:spPr/>
    </dgm:pt>
    <dgm:pt modelId="{E4103B00-A15D-4965-9988-4A4B8641CF7D}" type="pres">
      <dgm:prSet presAssocID="{F9003AAB-64A2-438F-A450-79403B4138DB}" presName="composite" presStyleCnt="0"/>
      <dgm:spPr/>
    </dgm:pt>
    <dgm:pt modelId="{40BCC76E-D332-4C4B-B356-893A57EBF53F}" type="pres">
      <dgm:prSet presAssocID="{F9003AAB-64A2-438F-A450-79403B4138DB}" presName="parTx" presStyleLbl="alignNode1" presStyleIdx="1" presStyleCnt="3" custScaleX="110898">
        <dgm:presLayoutVars>
          <dgm:chMax val="0"/>
          <dgm:chPref val="0"/>
          <dgm:bulletEnabled val="1"/>
        </dgm:presLayoutVars>
      </dgm:prSet>
      <dgm:spPr/>
    </dgm:pt>
    <dgm:pt modelId="{99CAD207-1CE7-46AB-ACBE-05F2F87B7B0C}" type="pres">
      <dgm:prSet presAssocID="{F9003AAB-64A2-438F-A450-79403B4138DB}" presName="desTx" presStyleLbl="alignAccFollowNode1" presStyleIdx="1" presStyleCnt="3" custScaleX="110898">
        <dgm:presLayoutVars>
          <dgm:bulletEnabled val="1"/>
        </dgm:presLayoutVars>
      </dgm:prSet>
      <dgm:spPr/>
    </dgm:pt>
    <dgm:pt modelId="{328E2CC5-D53D-4A63-B854-16DF54AD8A91}" type="pres">
      <dgm:prSet presAssocID="{24FAC3AF-78A5-4C4A-9800-0B470BABACF2}" presName="space" presStyleCnt="0"/>
      <dgm:spPr/>
    </dgm:pt>
    <dgm:pt modelId="{898B25CC-DBF0-4749-B825-4BE48E936B09}" type="pres">
      <dgm:prSet presAssocID="{688F8768-0784-423B-81B2-39ED2562BE45}" presName="composite" presStyleCnt="0"/>
      <dgm:spPr/>
    </dgm:pt>
    <dgm:pt modelId="{48BA14ED-5126-4E30-AAC4-33E65896D5E1}" type="pres">
      <dgm:prSet presAssocID="{688F8768-0784-423B-81B2-39ED2562BE45}" presName="parTx" presStyleLbl="alignNode1" presStyleIdx="2" presStyleCnt="3">
        <dgm:presLayoutVars>
          <dgm:chMax val="0"/>
          <dgm:chPref val="0"/>
          <dgm:bulletEnabled val="1"/>
        </dgm:presLayoutVars>
      </dgm:prSet>
      <dgm:spPr/>
    </dgm:pt>
    <dgm:pt modelId="{24159FCF-C98A-4872-83CE-DE0F23FF2BF2}" type="pres">
      <dgm:prSet presAssocID="{688F8768-0784-423B-81B2-39ED2562BE45}" presName="desTx" presStyleLbl="alignAccFollowNode1" presStyleIdx="2" presStyleCnt="3" custLinFactNeighborX="1143">
        <dgm:presLayoutVars>
          <dgm:bulletEnabled val="1"/>
        </dgm:presLayoutVars>
      </dgm:prSet>
      <dgm:spPr/>
    </dgm:pt>
  </dgm:ptLst>
  <dgm:cxnLst>
    <dgm:cxn modelId="{7D27F007-6AF1-4444-AB88-CA5BEF839302}" srcId="{AA0E9762-2FC9-4429-B67A-450FF777EDA5}" destId="{F9003AAB-64A2-438F-A450-79403B4138DB}" srcOrd="1" destOrd="0" parTransId="{5917CC89-8B11-498E-B514-DFA03A0E71FC}" sibTransId="{24FAC3AF-78A5-4C4A-9800-0B470BABACF2}"/>
    <dgm:cxn modelId="{4C4C1F13-3A1B-40F9-9147-1A9758BD6267}" type="presOf" srcId="{FBEC0FED-8BEE-4062-BC45-510EEEBA80DF}" destId="{24159FCF-C98A-4872-83CE-DE0F23FF2BF2}" srcOrd="0" destOrd="1" presId="urn:microsoft.com/office/officeart/2005/8/layout/hList1"/>
    <dgm:cxn modelId="{7BC38420-3436-4A84-BB0F-6DB7DBE80E0A}" type="presOf" srcId="{93D108F1-2557-41F8-B33E-32CA4842873A}" destId="{99CAD207-1CE7-46AB-ACBE-05F2F87B7B0C}" srcOrd="0" destOrd="0" presId="urn:microsoft.com/office/officeart/2005/8/layout/hList1"/>
    <dgm:cxn modelId="{2173E920-572E-4DAD-A561-6CA743E64028}" type="presOf" srcId="{4B11FAE1-AA9B-4F4F-B3AC-A41B27ADDA6E}" destId="{99CAD207-1CE7-46AB-ACBE-05F2F87B7B0C}" srcOrd="0" destOrd="1" presId="urn:microsoft.com/office/officeart/2005/8/layout/hList1"/>
    <dgm:cxn modelId="{F6F2992F-FE81-4C11-9991-46CF71F85016}" type="presOf" srcId="{73A4759A-9618-4059-B52F-BD56FCFE8BBC}" destId="{36362E47-B0F7-466B-998D-4A467BC42372}" srcOrd="0" destOrd="0" presId="urn:microsoft.com/office/officeart/2005/8/layout/hList1"/>
    <dgm:cxn modelId="{6684313C-42B2-4C28-A0F7-DF7D37DA2BD8}" srcId="{F9003AAB-64A2-438F-A450-79403B4138DB}" destId="{93D108F1-2557-41F8-B33E-32CA4842873A}" srcOrd="0" destOrd="0" parTransId="{9E5CB003-0D4D-4BE0-8FAE-CB2C174220D7}" sibTransId="{B43180F6-6859-4F49-8F5F-C0CFD9A16BA2}"/>
    <dgm:cxn modelId="{5BAE2E41-0FF0-46FD-B92D-0DE3DD72C4FC}" type="presOf" srcId="{F9003AAB-64A2-438F-A450-79403B4138DB}" destId="{40BCC76E-D332-4C4B-B356-893A57EBF53F}" srcOrd="0" destOrd="0" presId="urn:microsoft.com/office/officeart/2005/8/layout/hList1"/>
    <dgm:cxn modelId="{0375006C-3ECE-427F-9731-312C2700C479}" type="presOf" srcId="{AA0E9762-2FC9-4429-B67A-450FF777EDA5}" destId="{A6FA78FB-548C-4785-9623-57BDD62E3072}" srcOrd="0" destOrd="0" presId="urn:microsoft.com/office/officeart/2005/8/layout/hList1"/>
    <dgm:cxn modelId="{AAD67F54-E17A-4094-8D15-0084A4BBA87D}" type="presOf" srcId="{688F8768-0784-423B-81B2-39ED2562BE45}" destId="{48BA14ED-5126-4E30-AAC4-33E65896D5E1}" srcOrd="0" destOrd="0" presId="urn:microsoft.com/office/officeart/2005/8/layout/hList1"/>
    <dgm:cxn modelId="{E96E7B88-0177-4620-A5E8-7BE25F1DE821}" srcId="{73A4759A-9618-4059-B52F-BD56FCFE8BBC}" destId="{C7B554EF-4F04-4966-B6C6-9455A217F7F3}" srcOrd="0" destOrd="0" parTransId="{9C5DC8BF-0E6F-4F27-AE52-9F2CC97C3D99}" sibTransId="{80F6369F-BBAA-46F6-B93D-CAFD290848F0}"/>
    <dgm:cxn modelId="{84FECDA1-E9D5-4226-AB94-1A58D1EAE90E}" srcId="{F9003AAB-64A2-438F-A450-79403B4138DB}" destId="{49D691F7-E0CC-4149-8835-D2E1E0718FD8}" srcOrd="2" destOrd="0" parTransId="{66574F0B-0C9D-49D9-8E95-B7470307676B}" sibTransId="{19B0E713-0CC4-4C6F-BE54-657E6C73F867}"/>
    <dgm:cxn modelId="{5B86DBB0-72E1-4D6E-8AAD-B65E856FD029}" srcId="{AA0E9762-2FC9-4429-B67A-450FF777EDA5}" destId="{73A4759A-9618-4059-B52F-BD56FCFE8BBC}" srcOrd="0" destOrd="0" parTransId="{CB7AC2B2-7F43-4165-95CB-12237980B971}" sibTransId="{F8E53E7D-10D1-4D38-9EDB-98C0A72976DC}"/>
    <dgm:cxn modelId="{E21531B7-9CEC-4934-A7BB-A92409610BB4}" srcId="{F9003AAB-64A2-438F-A450-79403B4138DB}" destId="{4B11FAE1-AA9B-4F4F-B3AC-A41B27ADDA6E}" srcOrd="1" destOrd="0" parTransId="{611BA239-3150-451D-991F-8E799924C839}" sibTransId="{8B9012A3-A11D-4E5E-94BC-746736193B8B}"/>
    <dgm:cxn modelId="{24025CB7-2509-4124-AD59-19756C101B87}" type="presOf" srcId="{49D691F7-E0CC-4149-8835-D2E1E0718FD8}" destId="{99CAD207-1CE7-46AB-ACBE-05F2F87B7B0C}" srcOrd="0" destOrd="2" presId="urn:microsoft.com/office/officeart/2005/8/layout/hList1"/>
    <dgm:cxn modelId="{B7C75BBB-1EC4-4D2B-AB85-7553DBA0374C}" srcId="{688F8768-0784-423B-81B2-39ED2562BE45}" destId="{65338772-AC29-4106-ADC6-3C4895EC0F12}" srcOrd="0" destOrd="0" parTransId="{702C01C7-6916-4BE6-A8C6-DD951B841973}" sibTransId="{709495AE-B2F6-429A-ACEE-CD6E5372DB5E}"/>
    <dgm:cxn modelId="{EA959BC3-91E8-40A1-996E-1657A2FC84FF}" srcId="{AA0E9762-2FC9-4429-B67A-450FF777EDA5}" destId="{688F8768-0784-423B-81B2-39ED2562BE45}" srcOrd="2" destOrd="0" parTransId="{B4288CEF-F820-405E-83A9-DEA727E8C62E}" sibTransId="{6849A181-3356-4890-A66D-FFD7C75F43BD}"/>
    <dgm:cxn modelId="{385B83CD-A657-4F1F-A3B0-1DB4A9BA048F}" type="presOf" srcId="{65338772-AC29-4106-ADC6-3C4895EC0F12}" destId="{24159FCF-C98A-4872-83CE-DE0F23FF2BF2}" srcOrd="0" destOrd="0" presId="urn:microsoft.com/office/officeart/2005/8/layout/hList1"/>
    <dgm:cxn modelId="{68D068E6-A37D-4B04-9D0B-1B0D06628036}" type="presOf" srcId="{C7B554EF-4F04-4966-B6C6-9455A217F7F3}" destId="{7656D299-4592-4CCE-A222-C21566EF8B1C}" srcOrd="0" destOrd="0" presId="urn:microsoft.com/office/officeart/2005/8/layout/hList1"/>
    <dgm:cxn modelId="{5CB5ADF4-E3E0-4D95-82FA-0A6CB2655ABC}" srcId="{688F8768-0784-423B-81B2-39ED2562BE45}" destId="{FBEC0FED-8BEE-4062-BC45-510EEEBA80DF}" srcOrd="1" destOrd="0" parTransId="{39085049-2AA6-4963-B0A6-DC01F3B2E2CE}" sibTransId="{D3C902D6-ED2A-4D9C-B92C-4A2F7FE94BA6}"/>
    <dgm:cxn modelId="{4657F1F9-5AF8-49DF-87DE-FB16259D38DF}" type="presParOf" srcId="{A6FA78FB-548C-4785-9623-57BDD62E3072}" destId="{5CD2551A-D3D7-4E9A-89A0-B2A56D110E8D}" srcOrd="0" destOrd="0" presId="urn:microsoft.com/office/officeart/2005/8/layout/hList1"/>
    <dgm:cxn modelId="{1477D573-8BE7-404D-BA88-9D59C1685675}" type="presParOf" srcId="{5CD2551A-D3D7-4E9A-89A0-B2A56D110E8D}" destId="{36362E47-B0F7-466B-998D-4A467BC42372}" srcOrd="0" destOrd="0" presId="urn:microsoft.com/office/officeart/2005/8/layout/hList1"/>
    <dgm:cxn modelId="{BA1261D0-9F5C-43C9-9ED0-1F55657A2F6B}" type="presParOf" srcId="{5CD2551A-D3D7-4E9A-89A0-B2A56D110E8D}" destId="{7656D299-4592-4CCE-A222-C21566EF8B1C}" srcOrd="1" destOrd="0" presId="urn:microsoft.com/office/officeart/2005/8/layout/hList1"/>
    <dgm:cxn modelId="{E51A9F52-6277-48EE-8598-0967390AF0DD}" type="presParOf" srcId="{A6FA78FB-548C-4785-9623-57BDD62E3072}" destId="{E33E6FB3-A920-4A6A-95BB-61F4B70E82DD}" srcOrd="1" destOrd="0" presId="urn:microsoft.com/office/officeart/2005/8/layout/hList1"/>
    <dgm:cxn modelId="{C9C8860B-339A-4B9E-A0DB-F2F1C5572A37}" type="presParOf" srcId="{A6FA78FB-548C-4785-9623-57BDD62E3072}" destId="{E4103B00-A15D-4965-9988-4A4B8641CF7D}" srcOrd="2" destOrd="0" presId="urn:microsoft.com/office/officeart/2005/8/layout/hList1"/>
    <dgm:cxn modelId="{D709B7BF-E773-47A9-85E2-F88147DC3984}" type="presParOf" srcId="{E4103B00-A15D-4965-9988-4A4B8641CF7D}" destId="{40BCC76E-D332-4C4B-B356-893A57EBF53F}" srcOrd="0" destOrd="0" presId="urn:microsoft.com/office/officeart/2005/8/layout/hList1"/>
    <dgm:cxn modelId="{4B34165A-12D4-4CDF-BAF7-8FC97C94CA45}" type="presParOf" srcId="{E4103B00-A15D-4965-9988-4A4B8641CF7D}" destId="{99CAD207-1CE7-46AB-ACBE-05F2F87B7B0C}" srcOrd="1" destOrd="0" presId="urn:microsoft.com/office/officeart/2005/8/layout/hList1"/>
    <dgm:cxn modelId="{05E6F02D-438E-41C3-BED4-4C2A799D5350}" type="presParOf" srcId="{A6FA78FB-548C-4785-9623-57BDD62E3072}" destId="{328E2CC5-D53D-4A63-B854-16DF54AD8A91}" srcOrd="3" destOrd="0" presId="urn:microsoft.com/office/officeart/2005/8/layout/hList1"/>
    <dgm:cxn modelId="{AC58F63E-037A-4EFD-B855-2CD747D545DC}" type="presParOf" srcId="{A6FA78FB-548C-4785-9623-57BDD62E3072}" destId="{898B25CC-DBF0-4749-B825-4BE48E936B09}" srcOrd="4" destOrd="0" presId="urn:microsoft.com/office/officeart/2005/8/layout/hList1"/>
    <dgm:cxn modelId="{DE633B10-358F-4709-8255-D46A91F80661}" type="presParOf" srcId="{898B25CC-DBF0-4749-B825-4BE48E936B09}" destId="{48BA14ED-5126-4E30-AAC4-33E65896D5E1}" srcOrd="0" destOrd="0" presId="urn:microsoft.com/office/officeart/2005/8/layout/hList1"/>
    <dgm:cxn modelId="{7AED7E0B-77AA-4D61-B867-50EA3E839AFF}" type="presParOf" srcId="{898B25CC-DBF0-4749-B825-4BE48E936B09}" destId="{24159FCF-C98A-4872-83CE-DE0F23FF2BF2}" srcOrd="1" destOrd="0" presId="urn:microsoft.com/office/officeart/2005/8/layout/hList1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AF843FC-F061-48CE-955C-938499FCD5D0}">
      <dsp:nvSpPr>
        <dsp:cNvPr id="0" name=""/>
        <dsp:cNvSpPr/>
      </dsp:nvSpPr>
      <dsp:spPr>
        <a:xfrm>
          <a:off x="0" y="0"/>
          <a:ext cx="6474948" cy="690505"/>
        </a:xfrm>
        <a:prstGeom prst="chevron">
          <a:avLst/>
        </a:prstGeom>
        <a:solidFill>
          <a:schemeClr val="bg1">
            <a:lumMod val="5000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6012" tIns="32004" rIns="32004" bIns="32004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Building Your Program</a:t>
          </a:r>
        </a:p>
      </dsp:txBody>
      <dsp:txXfrm>
        <a:off x="345253" y="0"/>
        <a:ext cx="5784443" cy="690505"/>
      </dsp:txXfrm>
    </dsp:sp>
    <dsp:sp modelId="{A70B33AA-D6EE-42F5-99FB-C3853B4F1F51}">
      <dsp:nvSpPr>
        <dsp:cNvPr id="0" name=""/>
        <dsp:cNvSpPr/>
      </dsp:nvSpPr>
      <dsp:spPr>
        <a:xfrm>
          <a:off x="8140215" y="0"/>
          <a:ext cx="10134661" cy="680939"/>
        </a:xfrm>
        <a:prstGeom prst="chevron">
          <a:avLst/>
        </a:prstGeom>
        <a:gradFill flip="none" rotWithShape="1">
          <a:gsLst>
            <a:gs pos="0">
              <a:srgbClr val="B1DDB8"/>
            </a:gs>
            <a:gs pos="53000">
              <a:srgbClr val="AECCE0"/>
            </a:gs>
            <a:gs pos="100000">
              <a:srgbClr val="DDBDDB"/>
            </a:gs>
          </a:gsLst>
          <a:lin ang="0" scaled="0"/>
          <a:tileRect/>
        </a:gra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6012" tIns="32004" rIns="32004" bIns="32004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>
              <a:solidFill>
                <a:schemeClr val="tx1"/>
              </a:solidFill>
            </a:rPr>
            <a:t>During Your Training</a:t>
          </a:r>
        </a:p>
      </dsp:txBody>
      <dsp:txXfrm>
        <a:off x="8480685" y="0"/>
        <a:ext cx="9453722" cy="680939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B9143F4-C31B-4C5F-957B-A791C5CCBFB5}">
      <dsp:nvSpPr>
        <dsp:cNvPr id="0" name=""/>
        <dsp:cNvSpPr/>
      </dsp:nvSpPr>
      <dsp:spPr>
        <a:xfrm>
          <a:off x="32" y="34977"/>
          <a:ext cx="3116985" cy="662400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ysClr val="windowText" lastClr="000000"/>
              </a:solidFill>
            </a:rPr>
            <a:t>Step 1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ysClr val="windowText" lastClr="000000"/>
              </a:solidFill>
            </a:rPr>
            <a:t>Choose your exercises</a:t>
          </a:r>
        </a:p>
      </dsp:txBody>
      <dsp:txXfrm>
        <a:off x="32" y="34977"/>
        <a:ext cx="3116985" cy="662400"/>
      </dsp:txXfrm>
    </dsp:sp>
    <dsp:sp modelId="{713011DA-06C2-4D83-9C1B-A5380E48F152}">
      <dsp:nvSpPr>
        <dsp:cNvPr id="0" name=""/>
        <dsp:cNvSpPr/>
      </dsp:nvSpPr>
      <dsp:spPr>
        <a:xfrm>
          <a:off x="0" y="697377"/>
          <a:ext cx="3116985" cy="1010160"/>
        </a:xfrm>
        <a:prstGeom prst="rect">
          <a:avLst/>
        </a:prstGeom>
        <a:solidFill>
          <a:schemeClr val="accent3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>
              <a:latin typeface="+mn-lt"/>
            </a:rPr>
            <a:t>Use the dropdowns located in the "Exercise" column .</a:t>
          </a:r>
        </a:p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>
              <a:latin typeface="+mn-lt"/>
            </a:rPr>
            <a:t>Do this for each exercise.</a:t>
          </a:r>
        </a:p>
      </dsp:txBody>
      <dsp:txXfrm>
        <a:off x="0" y="697377"/>
        <a:ext cx="3116985" cy="1010160"/>
      </dsp:txXfrm>
    </dsp:sp>
    <dsp:sp modelId="{34A33220-F2C0-4040-87D5-13AFEB3166CF}">
      <dsp:nvSpPr>
        <dsp:cNvPr id="0" name=""/>
        <dsp:cNvSpPr/>
      </dsp:nvSpPr>
      <dsp:spPr>
        <a:xfrm>
          <a:off x="3553396" y="34977"/>
          <a:ext cx="3116985" cy="662400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ysClr val="windowText" lastClr="000000"/>
              </a:solidFill>
            </a:rPr>
            <a:t>Step 2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ysClr val="windowText" lastClr="000000"/>
              </a:solidFill>
            </a:rPr>
            <a:t>Enter estimated 10RM</a:t>
          </a:r>
        </a:p>
      </dsp:txBody>
      <dsp:txXfrm>
        <a:off x="3553396" y="34977"/>
        <a:ext cx="3116985" cy="662400"/>
      </dsp:txXfrm>
    </dsp:sp>
    <dsp:sp modelId="{60CD37D8-4163-438B-854E-01ECE872D25C}">
      <dsp:nvSpPr>
        <dsp:cNvPr id="0" name=""/>
        <dsp:cNvSpPr/>
      </dsp:nvSpPr>
      <dsp:spPr>
        <a:xfrm>
          <a:off x="3553396" y="697377"/>
          <a:ext cx="3116985" cy="1010160"/>
        </a:xfrm>
        <a:prstGeom prst="rect">
          <a:avLst/>
        </a:prstGeom>
        <a:solidFill>
          <a:schemeClr val="accent3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>
              <a:latin typeface="+mn-lt"/>
            </a:rPr>
            <a:t>Do this for each exercise.</a:t>
          </a:r>
        </a:p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>
              <a:latin typeface="+mn-lt"/>
            </a:rPr>
            <a:t>It does not have to be exact—a rough estimate </a:t>
          </a:r>
          <a:br>
            <a:rPr lang="en-US" sz="1100" kern="1200">
              <a:latin typeface="+mn-lt"/>
            </a:rPr>
          </a:br>
          <a:r>
            <a:rPr lang="en-US" sz="1100" kern="1200">
              <a:latin typeface="+mn-lt"/>
            </a:rPr>
            <a:t>    will </a:t>
          </a:r>
          <a:r>
            <a:rPr lang="en-US" sz="1100" kern="120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+mn-lt"/>
              <a:ea typeface="+mn-ea"/>
              <a:cs typeface="+mn-cs"/>
            </a:rPr>
            <a:t>work</a:t>
          </a:r>
          <a:r>
            <a:rPr lang="en-US" sz="1100" kern="1200">
              <a:latin typeface="+mn-lt"/>
            </a:rPr>
            <a:t> just fine.</a:t>
          </a:r>
        </a:p>
      </dsp:txBody>
      <dsp:txXfrm>
        <a:off x="3553396" y="697377"/>
        <a:ext cx="3116985" cy="1010160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6362E47-B0F7-466B-998D-4A467BC42372}">
      <dsp:nvSpPr>
        <dsp:cNvPr id="0" name=""/>
        <dsp:cNvSpPr/>
      </dsp:nvSpPr>
      <dsp:spPr>
        <a:xfrm>
          <a:off x="0" y="19995"/>
          <a:ext cx="2219550" cy="604800"/>
        </a:xfrm>
        <a:prstGeom prst="rect">
          <a:avLst/>
        </a:prstGeom>
        <a:solidFill>
          <a:srgbClr val="B1DDB8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chemeClr val="tx1"/>
              </a:solidFill>
            </a:rPr>
            <a:t>Step 3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chemeClr val="tx1"/>
              </a:solidFill>
            </a:rPr>
            <a:t>Enter reps completed</a:t>
          </a:r>
        </a:p>
      </dsp:txBody>
      <dsp:txXfrm>
        <a:off x="0" y="19995"/>
        <a:ext cx="2219550" cy="604800"/>
      </dsp:txXfrm>
    </dsp:sp>
    <dsp:sp modelId="{7656D299-4592-4CCE-A222-C21566EF8B1C}">
      <dsp:nvSpPr>
        <dsp:cNvPr id="0" name=""/>
        <dsp:cNvSpPr/>
      </dsp:nvSpPr>
      <dsp:spPr>
        <a:xfrm>
          <a:off x="7" y="630972"/>
          <a:ext cx="2219550" cy="1114399"/>
        </a:xfrm>
        <a:prstGeom prst="rect">
          <a:avLst/>
        </a:prstGeom>
        <a:solidFill>
          <a:srgbClr val="E5F3E7">
            <a:alpha val="89804"/>
          </a:srgb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/>
            <a:t>Do this for each exercise.</a:t>
          </a:r>
        </a:p>
      </dsp:txBody>
      <dsp:txXfrm>
        <a:off x="7" y="630972"/>
        <a:ext cx="2219550" cy="1114399"/>
      </dsp:txXfrm>
    </dsp:sp>
    <dsp:sp modelId="{40BCC76E-D332-4C4B-B356-893A57EBF53F}">
      <dsp:nvSpPr>
        <dsp:cNvPr id="0" name=""/>
        <dsp:cNvSpPr/>
      </dsp:nvSpPr>
      <dsp:spPr>
        <a:xfrm>
          <a:off x="2685846" y="17576"/>
          <a:ext cx="3635692" cy="604800"/>
        </a:xfrm>
        <a:prstGeom prst="rect">
          <a:avLst/>
        </a:prstGeom>
        <a:solidFill>
          <a:srgbClr val="AECCE0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chemeClr val="tx1"/>
              </a:solidFill>
            </a:rPr>
            <a:t>Step 4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chemeClr val="tx1"/>
              </a:solidFill>
            </a:rPr>
            <a:t>Select soreness rating</a:t>
          </a:r>
        </a:p>
      </dsp:txBody>
      <dsp:txXfrm>
        <a:off x="2685846" y="17576"/>
        <a:ext cx="3635692" cy="604800"/>
      </dsp:txXfrm>
    </dsp:sp>
    <dsp:sp modelId="{99CAD207-1CE7-46AB-ACBE-05F2F87B7B0C}">
      <dsp:nvSpPr>
        <dsp:cNvPr id="0" name=""/>
        <dsp:cNvSpPr/>
      </dsp:nvSpPr>
      <dsp:spPr>
        <a:xfrm>
          <a:off x="2685846" y="622376"/>
          <a:ext cx="3635692" cy="1124077"/>
        </a:xfrm>
        <a:prstGeom prst="rect">
          <a:avLst/>
        </a:prstGeom>
        <a:solidFill>
          <a:srgbClr val="E6F0F6">
            <a:alpha val="89804"/>
          </a:srgb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18288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Font typeface="Arial" panose="020B0604020202020204" pitchFamily="34" charset="0"/>
            <a:buChar char="•"/>
          </a:pPr>
          <a:r>
            <a:rPr lang="en-US" sz="1100" kern="1200"/>
            <a:t>-1 = I'm still sore in this muscle from last time.</a:t>
          </a:r>
        </a:p>
        <a:p>
          <a:pPr marL="18288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Font typeface="Arial" panose="020B0604020202020204" pitchFamily="34" charset="0"/>
            <a:buChar char="•"/>
          </a:pPr>
          <a:r>
            <a:rPr lang="en-US" sz="1100" kern="1200"/>
            <a:t>0 = I </a:t>
          </a:r>
          <a:r>
            <a:rPr lang="en-US" sz="1100" b="0" i="0" kern="1200"/>
            <a:t>recovered just on time for this session and wasn't sore during it.</a:t>
          </a:r>
          <a:endParaRPr lang="en-US" sz="1100" kern="1200"/>
        </a:p>
        <a:p>
          <a:pPr marL="18288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Font typeface="Arial" panose="020B0604020202020204" pitchFamily="34" charset="0"/>
            <a:buChar char="•"/>
          </a:pPr>
          <a:r>
            <a:rPr lang="en-US" sz="1100" kern="1200"/>
            <a:t>1 = I got just a bit sore last time or didn't even get sore at all. Either way, I was healed days before the current session.</a:t>
          </a:r>
        </a:p>
      </dsp:txBody>
      <dsp:txXfrm>
        <a:off x="2685846" y="622376"/>
        <a:ext cx="3635692" cy="1124077"/>
      </dsp:txXfrm>
    </dsp:sp>
    <dsp:sp modelId="{48BA14ED-5126-4E30-AAC4-33E65896D5E1}">
      <dsp:nvSpPr>
        <dsp:cNvPr id="0" name=""/>
        <dsp:cNvSpPr/>
      </dsp:nvSpPr>
      <dsp:spPr>
        <a:xfrm>
          <a:off x="6780516" y="17576"/>
          <a:ext cx="3278411" cy="604800"/>
        </a:xfrm>
        <a:prstGeom prst="rect">
          <a:avLst/>
        </a:prstGeom>
        <a:solidFill>
          <a:srgbClr val="DDBDDB"/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568" tIns="56896" rIns="99568" bIns="56896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u="sng" kern="1200">
              <a:solidFill>
                <a:schemeClr val="tx1"/>
              </a:solidFill>
            </a:rPr>
            <a:t>Step 5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1" kern="1200">
              <a:solidFill>
                <a:schemeClr val="tx1"/>
              </a:solidFill>
            </a:rPr>
            <a:t>Select pump rating</a:t>
          </a:r>
        </a:p>
      </dsp:txBody>
      <dsp:txXfrm>
        <a:off x="6780516" y="17576"/>
        <a:ext cx="3278411" cy="604800"/>
      </dsp:txXfrm>
    </dsp:sp>
    <dsp:sp modelId="{24159FCF-C98A-4872-83CE-DE0F23FF2BF2}">
      <dsp:nvSpPr>
        <dsp:cNvPr id="0" name=""/>
        <dsp:cNvSpPr/>
      </dsp:nvSpPr>
      <dsp:spPr>
        <a:xfrm>
          <a:off x="6787835" y="622376"/>
          <a:ext cx="3278411" cy="1124077"/>
        </a:xfrm>
        <a:prstGeom prst="rect">
          <a:avLst/>
        </a:prstGeom>
        <a:solidFill>
          <a:srgbClr val="F1E3F0">
            <a:alpha val="89804"/>
          </a:srgb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/>
            <a:t>0 = </a:t>
          </a:r>
          <a:r>
            <a:rPr lang="en-US" sz="1100" b="0" i="0" kern="1200"/>
            <a:t>My pump was out of this world or was at least pretty good. </a:t>
          </a:r>
          <a:endParaRPr lang="en-US" sz="1100" kern="1200"/>
        </a:p>
        <a:p>
          <a:pPr marL="57150" lvl="1" indent="-18288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SzPct val="70000"/>
            <a:buChar char="•"/>
          </a:pPr>
          <a:r>
            <a:rPr lang="en-US" sz="1100" kern="1200"/>
            <a:t>1 = My pump was hardly noticeable or nonexistent.</a:t>
          </a:r>
        </a:p>
      </dsp:txBody>
      <dsp:txXfrm>
        <a:off x="6787835" y="622376"/>
        <a:ext cx="3278411" cy="112407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hevron1">
  <dgm:title val=""/>
  <dgm:desc val=""/>
  <dgm:catLst>
    <dgm:cat type="process" pri="9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des" func="maxDepth" op="gte" val="2">
        <dgm:constrLst>
          <dgm:constr type="h" for="ch" forName="composite" refType="h"/>
          <dgm:constr type="w" for="ch" forName="composite" refType="w"/>
          <dgm:constr type="w" for="des" forName="parTx"/>
          <dgm:constr type="h" for="des" forName="parTx" op="equ"/>
          <dgm:constr type="w" for="des" forName="desTx"/>
          <dgm:constr type="h" for="des" forName="desTx" op="equ"/>
          <dgm:constr type="primFontSz" for="des" forName="parTx" val="65"/>
          <dgm:constr type="secFontSz" for="des" forName="desTx" refType="primFontSz" refFor="des" refForName="parTx" op="equ"/>
          <dgm:constr type="h" for="des" forName="parTx" refType="primFontSz" refFor="des" refForName="parTx" fact="1.5"/>
          <dgm:constr type="h" for="des" forName="desTx" refType="primFontSz" refFor="des" refForName="parTx" fact="0.5"/>
          <dgm:constr type="w" for="ch" forName="space" op="equ" val="-6"/>
        </dgm:constrLst>
        <dgm:ruleLst>
          <dgm:rule type="w" for="ch" forName="composite" val="0" fact="NaN" max="NaN"/>
          <dgm:rule type="primFontSz" for="des" forName="parTx" val="5" fact="NaN" max="NaN"/>
        </dgm:ruleLst>
        <dgm:forEach name="Name6" axis="ch" ptType="node"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hoose name="Name7">
              <dgm:if name="Name8" func="var" arg="dir" op="equ" val="norm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if>
              <dgm:else name="Name9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 refType="w" fact="0.2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else>
            </dgm:choose>
            <dgm:ruleLst>
              <dgm:rule type="h" val="INF" fact="NaN" max="NaN"/>
            </dgm:ruleLst>
            <dgm:layoutNode name="parTx">
              <dgm:varLst>
                <dgm:chMax val="0"/>
                <dgm:chPref val="0"/>
                <dgm:bulletEnabled val="1"/>
              </dgm:varLst>
              <dgm:alg type="tx"/>
              <dgm:choose name="Name10">
                <dgm:if name="Name11" func="var" arg="dir" op="equ" val="norm">
                  <dgm:shape xmlns:r="http://schemas.openxmlformats.org/officeDocument/2006/relationships" type="chevron" r:blip="">
                    <dgm:adjLst/>
                  </dgm:shape>
                </dgm:if>
                <dgm:else name="Name12">
                  <dgm:shape xmlns:r="http://schemas.openxmlformats.org/officeDocument/2006/relationships" rot="180" type="chevron" r:blip="">
                    <dgm:adjLst/>
                  </dgm:shape>
                </dgm:else>
              </dgm:choose>
              <dgm:presOf axis="self" ptType="node"/>
              <dgm:choose name="Name13">
                <dgm:if name="Name14" func="var" arg="dir" op="equ" val="norm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315"/>
                    <dgm:constr type="rMarg" refType="primFontSz" fact="0.105"/>
                  </dgm:constrLst>
                </dgm:if>
                <dgm:else name="Name15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105"/>
                    <dgm:constr type="rMarg" refType="primFontSz" fact="0.315"/>
                  </dgm:constrLst>
                </dgm:else>
              </dgm:choose>
              <dgm:ruleLst>
                <dgm:rule type="h" val="INF" fact="NaN" max="NaN"/>
              </dgm:ruleLst>
            </dgm:layoutNode>
            <dgm:layoutNode name="desTx" styleLbl="revTx">
              <dgm:varLst>
                <dgm:bulletEnabled val="1"/>
              </dgm:varLst>
              <dgm:alg type="tx">
                <dgm:param type="stBulletLvl" val="1"/>
              </dgm:alg>
              <dgm:choose name="Name16">
                <dgm:if name="Name17" axis="ch" ptType="node" func="cnt" op="gte" val="1">
                  <dgm:shape xmlns:r="http://schemas.openxmlformats.org/officeDocument/2006/relationships" type="rect" r:blip="">
                    <dgm:adjLst/>
                  </dgm:shape>
                </dgm:if>
                <dgm:else name="Name18">
                  <dgm:shape xmlns:r="http://schemas.openxmlformats.org/officeDocument/2006/relationships" type="rect" r:blip="" hideGeom="1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h"/>
                <dgm:constr type="tMarg"/>
                <dgm:constr type="bMarg"/>
                <dgm:constr type="rMarg"/>
                <dgm:constr type="lMarg"/>
              </dgm:constrLst>
              <dgm:ruleLst>
                <dgm:rule type="h" val="INF" fact="NaN" max="NaN"/>
              </dgm:ruleLst>
            </dgm:layoutNode>
          </dgm:layoutNode>
          <dgm:forEach name="Name19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20">
        <dgm:constrLst>
          <dgm:constr type="w" for="ch" forName="parTxOnly" refType="w"/>
          <dgm:constr type="h" for="des" forName="parTxOnly" op="equ"/>
          <dgm:constr type="primFontSz" for="des" forName="parTxOnly" op="equ" val="65"/>
          <dgm:constr type="w" for="ch" forName="parTxOnlySpace" refType="w" refFor="ch" refForName="parTxOnly" fact="-0.1"/>
        </dgm:constrLst>
        <dgm:ruleLst/>
        <dgm:forEach name="Name21" axis="ch" ptType="node">
          <dgm:layoutNode name="parTxOnly">
            <dgm:varLst>
              <dgm:chMax val="0"/>
              <dgm:chPref val="0"/>
              <dgm:bulletEnabled val="1"/>
            </dgm:varLst>
            <dgm:alg type="tx"/>
            <dgm:choose name="Name22">
              <dgm:if name="Name23" func="var" arg="dir" op="equ" val="norm">
                <dgm:shape xmlns:r="http://schemas.openxmlformats.org/officeDocument/2006/relationships" type="chevron" r:blip="">
                  <dgm:adjLst/>
                </dgm:shape>
              </dgm:if>
              <dgm:else name="Name24">
                <dgm:shape xmlns:r="http://schemas.openxmlformats.org/officeDocument/2006/relationships" rot="180" type="chevron" r:blip="">
                  <dgm:adjLst/>
                </dgm:shape>
              </dgm:else>
            </dgm:choose>
            <dgm:presOf axis="self" ptType="node"/>
            <dgm:choose name="Name25">
              <dgm:if name="Name26" func="var" arg="dir" op="equ" val="norm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315"/>
                  <dgm:constr type="rMarg" refType="primFontSz" fact="0.105"/>
                </dgm:constrLst>
              </dgm:if>
              <dgm:else name="Name27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105"/>
                  <dgm:constr type="rMarg" refType="primFontSz" fact="0.315"/>
                </dgm:constrLst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TxOnly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List1">
  <dgm:title val=""/>
  <dgm:desc val=""/>
  <dgm:catLst>
    <dgm:cat type="list" pri="5000"/>
    <dgm:cat type="convert" pri="5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/>
      <dgm:constr type="w" for="ch" forName="composite" refType="w"/>
      <dgm:constr type="w" for="des" forName="parTx"/>
      <dgm:constr type="h" for="des" forName="parTx" op="equ"/>
      <dgm:constr type="w" for="des" forName="desTx"/>
      <dgm:constr type="h" for="des" forName="desTx" op="equ"/>
      <dgm:constr type="primFontSz" for="des" forName="parTx" val="65"/>
      <dgm:constr type="secFontSz" for="des" forName="desTx" refType="primFontSz" refFor="des" refForName="parTx" op="equ"/>
      <dgm:constr type="h" for="des" forName="parTx" refType="primFontSz" refFor="des" refForName="parTx" fact="0.8"/>
      <dgm:constr type="h" for="des" forName="desTx" refType="primFontSz" refFor="des" refForName="parTx" fact="1.22"/>
      <dgm:constr type="w" for="ch" forName="space" refType="w" refFor="ch" refForName="composite" op="equ" fact="0.14"/>
    </dgm:constrLst>
    <dgm:ruleLst>
      <dgm:rule type="w" for="ch" forName="composite" val="0" fact="NaN" max="NaN"/>
      <dgm:rule type="primFontSz" for="des" forName="parTx" val="5" fact="NaN" max="NaN"/>
    </dgm:ruleLst>
    <dgm:forEach name="Name4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desTx"/>
          <dgm:constr type="w" for="ch" forName="desTx" refType="w" refFor="ch" refForName="parTx"/>
          <dgm:constr type="t" for="ch" forName="desTx" refType="h" refFor="ch" refForName="parTx"/>
        </dgm:constrLst>
        <dgm:ruleLst>
          <dgm:rule type="h" val="INF" fact="NaN" max="NaN"/>
        </dgm:ruleLst>
        <dgm:layoutNode name="parTx" styleLbl="alignNod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>
            <dgm:adjLst/>
          </dgm:shape>
          <dgm:presOf axis="self" ptType="node"/>
          <dgm:constrLst>
            <dgm:constr type="h" refType="w" op="lte" fact="0.4"/>
            <dgm:constr type="h"/>
            <dgm:constr type="tMarg" refType="primFontSz" fact="0.32"/>
            <dgm:constr type="bMarg" refType="primFontSz" fact="0.32"/>
          </dgm:constrLst>
          <dgm:ruleLst>
            <dgm:rule type="h" val="INF" fact="NaN" max="NaN"/>
          </dgm:ruleLst>
        </dgm:layoutNode>
        <dgm:layoutNode name="desTx" styleLbl="alignAccFollowNode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ect" r:blip="">
            <dgm:adjLst/>
          </dgm:shape>
          <dgm:presOf axis="des" ptType="node"/>
          <dgm:constrLst>
            <dgm:constr type="secFontSz" val="65"/>
            <dgm:constr type="primFontSz" refType="secFontSz"/>
            <dgm:constr type="h"/>
            <dgm:constr type="lMarg" refType="primFontSz" fact="0.42"/>
            <dgm:constr type="tMarg" refType="primFontSz" fact="0.42"/>
            <dgm:constr type="bMarg" refType="primFontSz" fact="0.63"/>
          </dgm:constrLst>
          <dgm:ruleLst>
            <dgm:rule type="h" val="INF" fact="NaN" max="NaN"/>
          </dgm:ruleLst>
        </dgm:layoutNode>
      </dgm:layoutNode>
      <dgm:forEach name="Name5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hList1">
  <dgm:title val=""/>
  <dgm:desc val=""/>
  <dgm:catLst>
    <dgm:cat type="list" pri="5000"/>
    <dgm:cat type="convert" pri="5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/>
      <dgm:constr type="w" for="ch" forName="composite" refType="w"/>
      <dgm:constr type="w" for="des" forName="parTx"/>
      <dgm:constr type="h" for="des" forName="parTx" op="equ"/>
      <dgm:constr type="w" for="des" forName="desTx"/>
      <dgm:constr type="h" for="des" forName="desTx" op="equ"/>
      <dgm:constr type="primFontSz" for="des" forName="parTx" val="65"/>
      <dgm:constr type="secFontSz" for="des" forName="desTx" refType="primFontSz" refFor="des" refForName="parTx" op="equ"/>
      <dgm:constr type="h" for="des" forName="parTx" refType="primFontSz" refFor="des" refForName="parTx" fact="0.8"/>
      <dgm:constr type="h" for="des" forName="desTx" refType="primFontSz" refFor="des" refForName="parTx" fact="1.22"/>
      <dgm:constr type="w" for="ch" forName="space" refType="w" refFor="ch" refForName="composite" op="equ" fact="0.14"/>
    </dgm:constrLst>
    <dgm:ruleLst>
      <dgm:rule type="w" for="ch" forName="composite" val="0" fact="NaN" max="NaN"/>
      <dgm:rule type="primFontSz" for="des" forName="parTx" val="5" fact="NaN" max="NaN"/>
    </dgm:ruleLst>
    <dgm:forEach name="Name4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desTx"/>
          <dgm:constr type="w" for="ch" forName="desTx" refType="w" refFor="ch" refForName="parTx"/>
          <dgm:constr type="t" for="ch" forName="desTx" refType="h" refFor="ch" refForName="parTx"/>
        </dgm:constrLst>
        <dgm:ruleLst>
          <dgm:rule type="h" val="INF" fact="NaN" max="NaN"/>
        </dgm:ruleLst>
        <dgm:layoutNode name="parTx" styleLbl="alignNod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>
            <dgm:adjLst/>
          </dgm:shape>
          <dgm:presOf axis="self" ptType="node"/>
          <dgm:constrLst>
            <dgm:constr type="h" refType="w" op="lte" fact="0.4"/>
            <dgm:constr type="h"/>
            <dgm:constr type="tMarg" refType="primFontSz" fact="0.32"/>
            <dgm:constr type="bMarg" refType="primFontSz" fact="0.32"/>
          </dgm:constrLst>
          <dgm:ruleLst>
            <dgm:rule type="h" val="INF" fact="NaN" max="NaN"/>
          </dgm:ruleLst>
        </dgm:layoutNode>
        <dgm:layoutNode name="desTx" styleLbl="alignAccFollowNode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ect" r:blip="">
            <dgm:adjLst/>
          </dgm:shape>
          <dgm:presOf axis="des" ptType="node"/>
          <dgm:constrLst>
            <dgm:constr type="secFontSz" val="65"/>
            <dgm:constr type="primFontSz" refType="secFontSz"/>
            <dgm:constr type="h"/>
            <dgm:constr type="lMarg" refType="primFontSz" fact="0.42"/>
            <dgm:constr type="tMarg" refType="primFontSz" fact="0.42"/>
            <dgm:constr type="bMarg" refType="primFontSz" fact="0.63"/>
          </dgm:constrLst>
          <dgm:ruleLst>
            <dgm:rule type="h" val="INF" fact="NaN" max="NaN"/>
          </dgm:ruleLst>
        </dgm:layoutNode>
      </dgm:layoutNode>
      <dgm:forEach name="Name5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2" Type="http://schemas.openxmlformats.org/officeDocument/2006/relationships/diagramLayout" Target="../diagrams/layout1.xml"/><Relationship Id="rId16" Type="http://schemas.openxmlformats.org/officeDocument/2006/relationships/image" Target="../media/image1.png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11202</xdr:colOff>
      <xdr:row>10</xdr:row>
      <xdr:rowOff>0</xdr:rowOff>
    </xdr:from>
    <xdr:to>
      <xdr:col>45</xdr:col>
      <xdr:colOff>448232</xdr:colOff>
      <xdr:row>10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331CFC5-18F0-7A4D-B9D0-923F26F78D39}"/>
            </a:ext>
          </a:extLst>
        </xdr:cNvPr>
        <xdr:cNvSpPr/>
      </xdr:nvSpPr>
      <xdr:spPr>
        <a:xfrm>
          <a:off x="29627602" y="1905000"/>
          <a:ext cx="1110130" cy="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44</xdr:col>
      <xdr:colOff>11202</xdr:colOff>
      <xdr:row>10</xdr:row>
      <xdr:rowOff>0</xdr:rowOff>
    </xdr:from>
    <xdr:to>
      <xdr:col>45</xdr:col>
      <xdr:colOff>448232</xdr:colOff>
      <xdr:row>10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FAB00D-F14E-9F47-B7FC-AFE218F7E744}"/>
            </a:ext>
          </a:extLst>
        </xdr:cNvPr>
        <xdr:cNvSpPr/>
      </xdr:nvSpPr>
      <xdr:spPr>
        <a:xfrm>
          <a:off x="29627602" y="1905000"/>
          <a:ext cx="1110130" cy="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12</xdr:col>
      <xdr:colOff>67232</xdr:colOff>
      <xdr:row>19</xdr:row>
      <xdr:rowOff>112060</xdr:rowOff>
    </xdr:from>
    <xdr:to>
      <xdr:col>13</xdr:col>
      <xdr:colOff>414614</xdr:colOff>
      <xdr:row>19</xdr:row>
      <xdr:rowOff>324972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FBA5434-6CEE-4F4E-879F-6120D9FE9F28}"/>
            </a:ext>
          </a:extLst>
        </xdr:cNvPr>
        <xdr:cNvSpPr/>
      </xdr:nvSpPr>
      <xdr:spPr>
        <a:xfrm>
          <a:off x="8144432" y="3731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12</xdr:col>
      <xdr:colOff>67232</xdr:colOff>
      <xdr:row>29</xdr:row>
      <xdr:rowOff>112060</xdr:rowOff>
    </xdr:from>
    <xdr:to>
      <xdr:col>13</xdr:col>
      <xdr:colOff>414614</xdr:colOff>
      <xdr:row>29</xdr:row>
      <xdr:rowOff>324972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366E312-A206-DE4E-BD79-DC3B7159FB95}"/>
            </a:ext>
          </a:extLst>
        </xdr:cNvPr>
        <xdr:cNvSpPr/>
      </xdr:nvSpPr>
      <xdr:spPr>
        <a:xfrm>
          <a:off x="8144432" y="5636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19</xdr:row>
      <xdr:rowOff>112058</xdr:rowOff>
    </xdr:from>
    <xdr:to>
      <xdr:col>21</xdr:col>
      <xdr:colOff>425818</xdr:colOff>
      <xdr:row>19</xdr:row>
      <xdr:rowOff>324970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96242DD-B382-194E-9A9E-366A1B9E0EF7}"/>
            </a:ext>
          </a:extLst>
        </xdr:cNvPr>
        <xdr:cNvSpPr/>
      </xdr:nvSpPr>
      <xdr:spPr>
        <a:xfrm>
          <a:off x="13540436" y="3731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20</xdr:col>
      <xdr:colOff>78436</xdr:colOff>
      <xdr:row>29</xdr:row>
      <xdr:rowOff>112058</xdr:rowOff>
    </xdr:from>
    <xdr:to>
      <xdr:col>21</xdr:col>
      <xdr:colOff>425818</xdr:colOff>
      <xdr:row>29</xdr:row>
      <xdr:rowOff>324970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45865FF-4BF8-AD4A-AEF3-ACBF553B5048}"/>
            </a:ext>
          </a:extLst>
        </xdr:cNvPr>
        <xdr:cNvSpPr/>
      </xdr:nvSpPr>
      <xdr:spPr>
        <a:xfrm>
          <a:off x="13540436" y="5636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19</xdr:row>
      <xdr:rowOff>89647</xdr:rowOff>
    </xdr:from>
    <xdr:to>
      <xdr:col>29</xdr:col>
      <xdr:colOff>425821</xdr:colOff>
      <xdr:row>19</xdr:row>
      <xdr:rowOff>302559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C14E585-2F17-5E49-BB12-02FACFC85F16}"/>
            </a:ext>
          </a:extLst>
        </xdr:cNvPr>
        <xdr:cNvSpPr/>
      </xdr:nvSpPr>
      <xdr:spPr>
        <a:xfrm>
          <a:off x="18869209" y="3709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28</xdr:col>
      <xdr:colOff>22409</xdr:colOff>
      <xdr:row>29</xdr:row>
      <xdr:rowOff>89647</xdr:rowOff>
    </xdr:from>
    <xdr:to>
      <xdr:col>29</xdr:col>
      <xdr:colOff>425821</xdr:colOff>
      <xdr:row>29</xdr:row>
      <xdr:rowOff>302559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241C096-3264-204A-83E0-1A95E533D939}"/>
            </a:ext>
          </a:extLst>
        </xdr:cNvPr>
        <xdr:cNvSpPr/>
      </xdr:nvSpPr>
      <xdr:spPr>
        <a:xfrm>
          <a:off x="18869209" y="5614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19</xdr:row>
      <xdr:rowOff>96370</xdr:rowOff>
    </xdr:from>
    <xdr:to>
      <xdr:col>37</xdr:col>
      <xdr:colOff>443748</xdr:colOff>
      <xdr:row>19</xdr:row>
      <xdr:rowOff>309282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771F89D-078E-B446-8B1C-D1D98E7299CB}"/>
            </a:ext>
          </a:extLst>
        </xdr:cNvPr>
        <xdr:cNvSpPr/>
      </xdr:nvSpPr>
      <xdr:spPr>
        <a:xfrm>
          <a:off x="24271937" y="3715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36</xdr:col>
      <xdr:colOff>40337</xdr:colOff>
      <xdr:row>29</xdr:row>
      <xdr:rowOff>96370</xdr:rowOff>
    </xdr:from>
    <xdr:to>
      <xdr:col>37</xdr:col>
      <xdr:colOff>443748</xdr:colOff>
      <xdr:row>29</xdr:row>
      <xdr:rowOff>309282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33BA224-CBFF-5440-B8CD-1FAAA8D4B731}"/>
            </a:ext>
          </a:extLst>
        </xdr:cNvPr>
        <xdr:cNvSpPr/>
      </xdr:nvSpPr>
      <xdr:spPr>
        <a:xfrm>
          <a:off x="24271937" y="5620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19</xdr:row>
      <xdr:rowOff>100853</xdr:rowOff>
    </xdr:from>
    <xdr:to>
      <xdr:col>45</xdr:col>
      <xdr:colOff>448232</xdr:colOff>
      <xdr:row>19</xdr:row>
      <xdr:rowOff>313765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4E59A55-B1AB-9D42-B89A-E6E8F91EA6CE}"/>
            </a:ext>
          </a:extLst>
        </xdr:cNvPr>
        <xdr:cNvSpPr/>
      </xdr:nvSpPr>
      <xdr:spPr>
        <a:xfrm>
          <a:off x="29627602" y="3720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44</xdr:col>
      <xdr:colOff>11202</xdr:colOff>
      <xdr:row>29</xdr:row>
      <xdr:rowOff>100853</xdr:rowOff>
    </xdr:from>
    <xdr:to>
      <xdr:col>45</xdr:col>
      <xdr:colOff>448232</xdr:colOff>
      <xdr:row>29</xdr:row>
      <xdr:rowOff>313765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8D5B59D-6EE9-6845-91FE-B2FB56A59905}"/>
            </a:ext>
          </a:extLst>
        </xdr:cNvPr>
        <xdr:cNvSpPr/>
      </xdr:nvSpPr>
      <xdr:spPr>
        <a:xfrm>
          <a:off x="29627602" y="5625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19</xdr:row>
      <xdr:rowOff>81243</xdr:rowOff>
    </xdr:from>
    <xdr:to>
      <xdr:col>52</xdr:col>
      <xdr:colOff>590551</xdr:colOff>
      <xdr:row>19</xdr:row>
      <xdr:rowOff>333375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760AFCA-890B-3B41-B004-CD46217760C1}"/>
            </a:ext>
          </a:extLst>
        </xdr:cNvPr>
        <xdr:cNvSpPr/>
      </xdr:nvSpPr>
      <xdr:spPr>
        <a:xfrm>
          <a:off x="34333507" y="3700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50</xdr:col>
      <xdr:colOff>1173807</xdr:colOff>
      <xdr:row>29</xdr:row>
      <xdr:rowOff>81243</xdr:rowOff>
    </xdr:from>
    <xdr:to>
      <xdr:col>52</xdr:col>
      <xdr:colOff>590551</xdr:colOff>
      <xdr:row>29</xdr:row>
      <xdr:rowOff>333375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9F01FC8-9189-9E45-8E4E-8F6E7C056F6D}"/>
            </a:ext>
          </a:extLst>
        </xdr:cNvPr>
        <xdr:cNvSpPr/>
      </xdr:nvSpPr>
      <xdr:spPr>
        <a:xfrm>
          <a:off x="34333507" y="5605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67232</xdr:colOff>
      <xdr:row>41</xdr:row>
      <xdr:rowOff>112060</xdr:rowOff>
    </xdr:from>
    <xdr:to>
      <xdr:col>13</xdr:col>
      <xdr:colOff>414614</xdr:colOff>
      <xdr:row>41</xdr:row>
      <xdr:rowOff>324972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9136985-951A-C843-92C7-66D23534831F}"/>
            </a:ext>
          </a:extLst>
        </xdr:cNvPr>
        <xdr:cNvSpPr/>
      </xdr:nvSpPr>
      <xdr:spPr>
        <a:xfrm>
          <a:off x="8144432" y="7922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41</xdr:row>
      <xdr:rowOff>112058</xdr:rowOff>
    </xdr:from>
    <xdr:to>
      <xdr:col>21</xdr:col>
      <xdr:colOff>425818</xdr:colOff>
      <xdr:row>41</xdr:row>
      <xdr:rowOff>324970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2A0C135-0793-7544-BE4D-DA874FF53C9F}"/>
            </a:ext>
          </a:extLst>
        </xdr:cNvPr>
        <xdr:cNvSpPr/>
      </xdr:nvSpPr>
      <xdr:spPr>
        <a:xfrm>
          <a:off x="13540436" y="7922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41</xdr:row>
      <xdr:rowOff>89647</xdr:rowOff>
    </xdr:from>
    <xdr:to>
      <xdr:col>29</xdr:col>
      <xdr:colOff>425821</xdr:colOff>
      <xdr:row>41</xdr:row>
      <xdr:rowOff>302559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4F3F532-2FD6-3048-82E4-5190E454F7D1}"/>
            </a:ext>
          </a:extLst>
        </xdr:cNvPr>
        <xdr:cNvSpPr/>
      </xdr:nvSpPr>
      <xdr:spPr>
        <a:xfrm>
          <a:off x="18869209" y="7900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41</xdr:row>
      <xdr:rowOff>96370</xdr:rowOff>
    </xdr:from>
    <xdr:to>
      <xdr:col>37</xdr:col>
      <xdr:colOff>443748</xdr:colOff>
      <xdr:row>41</xdr:row>
      <xdr:rowOff>309282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2CBC975-FD32-FD4A-9C13-88AD6B1E6056}"/>
            </a:ext>
          </a:extLst>
        </xdr:cNvPr>
        <xdr:cNvSpPr/>
      </xdr:nvSpPr>
      <xdr:spPr>
        <a:xfrm>
          <a:off x="24271937" y="7906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41</xdr:row>
      <xdr:rowOff>100853</xdr:rowOff>
    </xdr:from>
    <xdr:to>
      <xdr:col>45</xdr:col>
      <xdr:colOff>448232</xdr:colOff>
      <xdr:row>41</xdr:row>
      <xdr:rowOff>313765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C0B205E-49D6-FA4B-9EB4-D2D68FE6836D}"/>
            </a:ext>
          </a:extLst>
        </xdr:cNvPr>
        <xdr:cNvSpPr/>
      </xdr:nvSpPr>
      <xdr:spPr>
        <a:xfrm>
          <a:off x="29627602" y="7911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41</xdr:row>
      <xdr:rowOff>81243</xdr:rowOff>
    </xdr:from>
    <xdr:to>
      <xdr:col>52</xdr:col>
      <xdr:colOff>590551</xdr:colOff>
      <xdr:row>41</xdr:row>
      <xdr:rowOff>333375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7170554-D1B3-9D46-9881-451D5FD08920}"/>
            </a:ext>
          </a:extLst>
        </xdr:cNvPr>
        <xdr:cNvSpPr/>
      </xdr:nvSpPr>
      <xdr:spPr>
        <a:xfrm>
          <a:off x="34333507" y="7891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67232</xdr:colOff>
      <xdr:row>51</xdr:row>
      <xdr:rowOff>112060</xdr:rowOff>
    </xdr:from>
    <xdr:to>
      <xdr:col>13</xdr:col>
      <xdr:colOff>414614</xdr:colOff>
      <xdr:row>51</xdr:row>
      <xdr:rowOff>324972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809654A-9FDE-1E42-9791-58DA8BEBD834}"/>
            </a:ext>
          </a:extLst>
        </xdr:cNvPr>
        <xdr:cNvSpPr/>
      </xdr:nvSpPr>
      <xdr:spPr>
        <a:xfrm>
          <a:off x="8144432" y="9827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51</xdr:row>
      <xdr:rowOff>112058</xdr:rowOff>
    </xdr:from>
    <xdr:to>
      <xdr:col>21</xdr:col>
      <xdr:colOff>425818</xdr:colOff>
      <xdr:row>51</xdr:row>
      <xdr:rowOff>324970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F2B6614-E107-6040-8E79-EC567D6CC91F}"/>
            </a:ext>
          </a:extLst>
        </xdr:cNvPr>
        <xdr:cNvSpPr/>
      </xdr:nvSpPr>
      <xdr:spPr>
        <a:xfrm>
          <a:off x="13540436" y="9827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51</xdr:row>
      <xdr:rowOff>89647</xdr:rowOff>
    </xdr:from>
    <xdr:to>
      <xdr:col>29</xdr:col>
      <xdr:colOff>425821</xdr:colOff>
      <xdr:row>51</xdr:row>
      <xdr:rowOff>302559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881C0C-3580-F94E-9ACC-938135ED3AE2}"/>
            </a:ext>
          </a:extLst>
        </xdr:cNvPr>
        <xdr:cNvSpPr/>
      </xdr:nvSpPr>
      <xdr:spPr>
        <a:xfrm>
          <a:off x="18869209" y="9805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51</xdr:row>
      <xdr:rowOff>96370</xdr:rowOff>
    </xdr:from>
    <xdr:to>
      <xdr:col>37</xdr:col>
      <xdr:colOff>443748</xdr:colOff>
      <xdr:row>51</xdr:row>
      <xdr:rowOff>309282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E8D9A50-0A52-C447-A460-E1ECE33679CB}"/>
            </a:ext>
          </a:extLst>
        </xdr:cNvPr>
        <xdr:cNvSpPr/>
      </xdr:nvSpPr>
      <xdr:spPr>
        <a:xfrm>
          <a:off x="24271937" y="9811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51</xdr:row>
      <xdr:rowOff>100853</xdr:rowOff>
    </xdr:from>
    <xdr:to>
      <xdr:col>45</xdr:col>
      <xdr:colOff>448232</xdr:colOff>
      <xdr:row>51</xdr:row>
      <xdr:rowOff>313765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44229EC-E389-404D-BB40-30D56682D711}"/>
            </a:ext>
          </a:extLst>
        </xdr:cNvPr>
        <xdr:cNvSpPr/>
      </xdr:nvSpPr>
      <xdr:spPr>
        <a:xfrm>
          <a:off x="29627602" y="9816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51</xdr:row>
      <xdr:rowOff>81243</xdr:rowOff>
    </xdr:from>
    <xdr:to>
      <xdr:col>52</xdr:col>
      <xdr:colOff>590551</xdr:colOff>
      <xdr:row>51</xdr:row>
      <xdr:rowOff>333375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D31229C-22EC-3744-A2C0-F708839D8F40}"/>
            </a:ext>
          </a:extLst>
        </xdr:cNvPr>
        <xdr:cNvSpPr/>
      </xdr:nvSpPr>
      <xdr:spPr>
        <a:xfrm>
          <a:off x="34333507" y="9796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67232</xdr:colOff>
      <xdr:row>61</xdr:row>
      <xdr:rowOff>112060</xdr:rowOff>
    </xdr:from>
    <xdr:to>
      <xdr:col>13</xdr:col>
      <xdr:colOff>414614</xdr:colOff>
      <xdr:row>61</xdr:row>
      <xdr:rowOff>324972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5906B2D-D44F-7D45-B435-AD0A50501D05}"/>
            </a:ext>
          </a:extLst>
        </xdr:cNvPr>
        <xdr:cNvSpPr/>
      </xdr:nvSpPr>
      <xdr:spPr>
        <a:xfrm>
          <a:off x="8144432" y="11732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61</xdr:row>
      <xdr:rowOff>112058</xdr:rowOff>
    </xdr:from>
    <xdr:to>
      <xdr:col>21</xdr:col>
      <xdr:colOff>425818</xdr:colOff>
      <xdr:row>61</xdr:row>
      <xdr:rowOff>324970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3FFAF26F-4AC6-3840-BD9C-0D4164126521}"/>
            </a:ext>
          </a:extLst>
        </xdr:cNvPr>
        <xdr:cNvSpPr/>
      </xdr:nvSpPr>
      <xdr:spPr>
        <a:xfrm>
          <a:off x="13540436" y="11732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61</xdr:row>
      <xdr:rowOff>89647</xdr:rowOff>
    </xdr:from>
    <xdr:to>
      <xdr:col>29</xdr:col>
      <xdr:colOff>425821</xdr:colOff>
      <xdr:row>61</xdr:row>
      <xdr:rowOff>302559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C712B32-A3C0-6841-B0B7-585BB29E0E17}"/>
            </a:ext>
          </a:extLst>
        </xdr:cNvPr>
        <xdr:cNvSpPr/>
      </xdr:nvSpPr>
      <xdr:spPr>
        <a:xfrm>
          <a:off x="18869209" y="11710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61</xdr:row>
      <xdr:rowOff>96370</xdr:rowOff>
    </xdr:from>
    <xdr:to>
      <xdr:col>37</xdr:col>
      <xdr:colOff>443748</xdr:colOff>
      <xdr:row>61</xdr:row>
      <xdr:rowOff>309282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27650BE-3E85-DF4B-9A4A-87236F4AEB11}"/>
            </a:ext>
          </a:extLst>
        </xdr:cNvPr>
        <xdr:cNvSpPr/>
      </xdr:nvSpPr>
      <xdr:spPr>
        <a:xfrm>
          <a:off x="24271937" y="11716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61</xdr:row>
      <xdr:rowOff>100853</xdr:rowOff>
    </xdr:from>
    <xdr:to>
      <xdr:col>45</xdr:col>
      <xdr:colOff>448232</xdr:colOff>
      <xdr:row>61</xdr:row>
      <xdr:rowOff>313765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A1CAB94-A368-2A43-B7C4-65FD0087CC28}"/>
            </a:ext>
          </a:extLst>
        </xdr:cNvPr>
        <xdr:cNvSpPr/>
      </xdr:nvSpPr>
      <xdr:spPr>
        <a:xfrm>
          <a:off x="29627602" y="11721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61</xdr:row>
      <xdr:rowOff>81243</xdr:rowOff>
    </xdr:from>
    <xdr:to>
      <xdr:col>52</xdr:col>
      <xdr:colOff>590551</xdr:colOff>
      <xdr:row>61</xdr:row>
      <xdr:rowOff>333375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503DFF6-06CF-2E4E-8AB3-B5444431EB01}"/>
            </a:ext>
          </a:extLst>
        </xdr:cNvPr>
        <xdr:cNvSpPr/>
      </xdr:nvSpPr>
      <xdr:spPr>
        <a:xfrm>
          <a:off x="34333507" y="11701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67232</xdr:colOff>
      <xdr:row>9</xdr:row>
      <xdr:rowOff>112060</xdr:rowOff>
    </xdr:from>
    <xdr:to>
      <xdr:col>13</xdr:col>
      <xdr:colOff>414614</xdr:colOff>
      <xdr:row>9</xdr:row>
      <xdr:rowOff>324972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67731C7-464F-914A-A5D9-FF2F121E92C6}"/>
            </a:ext>
          </a:extLst>
        </xdr:cNvPr>
        <xdr:cNvSpPr/>
      </xdr:nvSpPr>
      <xdr:spPr>
        <a:xfrm>
          <a:off x="8144432" y="1826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9</xdr:row>
      <xdr:rowOff>112058</xdr:rowOff>
    </xdr:from>
    <xdr:to>
      <xdr:col>21</xdr:col>
      <xdr:colOff>425818</xdr:colOff>
      <xdr:row>9</xdr:row>
      <xdr:rowOff>324970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2CCCB074-CD6D-4649-8DBD-983B4643C74C}"/>
            </a:ext>
          </a:extLst>
        </xdr:cNvPr>
        <xdr:cNvSpPr/>
      </xdr:nvSpPr>
      <xdr:spPr>
        <a:xfrm>
          <a:off x="13540436" y="1826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9</xdr:row>
      <xdr:rowOff>89647</xdr:rowOff>
    </xdr:from>
    <xdr:to>
      <xdr:col>29</xdr:col>
      <xdr:colOff>425821</xdr:colOff>
      <xdr:row>9</xdr:row>
      <xdr:rowOff>302559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FD411F3B-542D-284E-8894-E1109B1B2D4B}"/>
            </a:ext>
          </a:extLst>
        </xdr:cNvPr>
        <xdr:cNvSpPr/>
      </xdr:nvSpPr>
      <xdr:spPr>
        <a:xfrm>
          <a:off x="18869209" y="1804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9</xdr:row>
      <xdr:rowOff>96370</xdr:rowOff>
    </xdr:from>
    <xdr:to>
      <xdr:col>37</xdr:col>
      <xdr:colOff>443748</xdr:colOff>
      <xdr:row>9</xdr:row>
      <xdr:rowOff>309282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EF2B1CE8-B214-8747-A983-C4D3C76821EA}"/>
            </a:ext>
          </a:extLst>
        </xdr:cNvPr>
        <xdr:cNvSpPr/>
      </xdr:nvSpPr>
      <xdr:spPr>
        <a:xfrm>
          <a:off x="24271937" y="1810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9</xdr:row>
      <xdr:rowOff>100853</xdr:rowOff>
    </xdr:from>
    <xdr:to>
      <xdr:col>45</xdr:col>
      <xdr:colOff>448232</xdr:colOff>
      <xdr:row>9</xdr:row>
      <xdr:rowOff>313765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5512368-B9F8-9749-A487-C0EB8A4762D1}"/>
            </a:ext>
          </a:extLst>
        </xdr:cNvPr>
        <xdr:cNvSpPr/>
      </xdr:nvSpPr>
      <xdr:spPr>
        <a:xfrm>
          <a:off x="29627602" y="1815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2</xdr:col>
      <xdr:colOff>1</xdr:colOff>
      <xdr:row>3</xdr:row>
      <xdr:rowOff>123264</xdr:rowOff>
    </xdr:from>
    <xdr:to>
      <xdr:col>23</xdr:col>
      <xdr:colOff>2</xdr:colOff>
      <xdr:row>5</xdr:row>
      <xdr:rowOff>21289</xdr:rowOff>
    </xdr:to>
    <xdr:graphicFrame macro="">
      <xdr:nvGraphicFramePr>
        <xdr:cNvPr id="39" name="Diagram 38">
          <a:extLst>
            <a:ext uri="{FF2B5EF4-FFF2-40B4-BE49-F238E27FC236}">
              <a16:creationId xmlns:a16="http://schemas.microsoft.com/office/drawing/2014/main" id="{536BFFA3-49DA-A34A-B4B4-1508849FB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50</xdr:col>
      <xdr:colOff>1173807</xdr:colOff>
      <xdr:row>9</xdr:row>
      <xdr:rowOff>81243</xdr:rowOff>
    </xdr:from>
    <xdr:to>
      <xdr:col>52</xdr:col>
      <xdr:colOff>590551</xdr:colOff>
      <xdr:row>9</xdr:row>
      <xdr:rowOff>333375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333B4BC-E701-EA4B-A829-FDEBFE5EAEB5}"/>
            </a:ext>
          </a:extLst>
        </xdr:cNvPr>
        <xdr:cNvSpPr/>
      </xdr:nvSpPr>
      <xdr:spPr>
        <a:xfrm>
          <a:off x="34333507" y="1795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1127310</xdr:colOff>
      <xdr:row>7</xdr:row>
      <xdr:rowOff>828813</xdr:rowOff>
    </xdr:from>
    <xdr:to>
      <xdr:col>10</xdr:col>
      <xdr:colOff>1127310</xdr:colOff>
      <xdr:row>7</xdr:row>
      <xdr:rowOff>991852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3A7F7834-B20A-ED44-8A34-6071CB1BD8C4}"/>
            </a:ext>
          </a:extLst>
        </xdr:cNvPr>
        <xdr:cNvCxnSpPr/>
      </xdr:nvCxnSpPr>
      <xdr:spPr>
        <a:xfrm>
          <a:off x="7401110" y="1527313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1127310</xdr:colOff>
      <xdr:row>7</xdr:row>
      <xdr:rowOff>985695</xdr:rowOff>
    </xdr:from>
    <xdr:to>
      <xdr:col>14</xdr:col>
      <xdr:colOff>281551</xdr:colOff>
      <xdr:row>7</xdr:row>
      <xdr:rowOff>985695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DEB082BD-FA1C-6F41-B729-4930090A0509}"/>
            </a:ext>
          </a:extLst>
        </xdr:cNvPr>
        <xdr:cNvCxnSpPr/>
      </xdr:nvCxnSpPr>
      <xdr:spPr>
        <a:xfrm>
          <a:off x="7401110" y="1519095"/>
          <a:ext cx="230384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279827</xdr:colOff>
      <xdr:row>7</xdr:row>
      <xdr:rowOff>985695</xdr:rowOff>
    </xdr:from>
    <xdr:to>
      <xdr:col>14</xdr:col>
      <xdr:colOff>279827</xdr:colOff>
      <xdr:row>9</xdr:row>
      <xdr:rowOff>379936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D89E73C5-7CF3-0C4E-98CE-86296CFA5590}"/>
            </a:ext>
          </a:extLst>
        </xdr:cNvPr>
        <xdr:cNvCxnSpPr/>
      </xdr:nvCxnSpPr>
      <xdr:spPr>
        <a:xfrm>
          <a:off x="9703227" y="1519095"/>
          <a:ext cx="0" cy="3848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294235</xdr:colOff>
      <xdr:row>7</xdr:row>
      <xdr:rowOff>822537</xdr:rowOff>
    </xdr:from>
    <xdr:to>
      <xdr:col>15</xdr:col>
      <xdr:colOff>294235</xdr:colOff>
      <xdr:row>9</xdr:row>
      <xdr:rowOff>390822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7487692A-F4F9-3041-B0B9-CEFB24497609}"/>
            </a:ext>
          </a:extLst>
        </xdr:cNvPr>
        <xdr:cNvCxnSpPr/>
      </xdr:nvCxnSpPr>
      <xdr:spPr>
        <a:xfrm>
          <a:off x="10390735" y="1521037"/>
          <a:ext cx="0" cy="3810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130628</xdr:colOff>
      <xdr:row>7</xdr:row>
      <xdr:rowOff>824331</xdr:rowOff>
    </xdr:from>
    <xdr:to>
      <xdr:col>20</xdr:col>
      <xdr:colOff>130628</xdr:colOff>
      <xdr:row>7</xdr:row>
      <xdr:rowOff>979291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F585C6A3-2101-1E40-B895-0B4194C4291D}"/>
            </a:ext>
          </a:extLst>
        </xdr:cNvPr>
        <xdr:cNvCxnSpPr/>
      </xdr:nvCxnSpPr>
      <xdr:spPr>
        <a:xfrm>
          <a:off x="13592628" y="1522831"/>
          <a:ext cx="0" cy="25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296326</xdr:colOff>
      <xdr:row>7</xdr:row>
      <xdr:rowOff>981213</xdr:rowOff>
    </xdr:from>
    <xdr:to>
      <xdr:col>20</xdr:col>
      <xdr:colOff>133264</xdr:colOff>
      <xdr:row>7</xdr:row>
      <xdr:rowOff>981213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4CCDA16-39A0-9645-942B-09A1A6A496E5}"/>
            </a:ext>
          </a:extLst>
        </xdr:cNvPr>
        <xdr:cNvCxnSpPr/>
      </xdr:nvCxnSpPr>
      <xdr:spPr>
        <a:xfrm>
          <a:off x="11065926" y="1527313"/>
          <a:ext cx="252933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297434</xdr:colOff>
      <xdr:row>7</xdr:row>
      <xdr:rowOff>975104</xdr:rowOff>
    </xdr:from>
    <xdr:to>
      <xdr:col>16</xdr:col>
      <xdr:colOff>297434</xdr:colOff>
      <xdr:row>10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604C7F8-D37A-D44A-AC32-B417EAA4DAC0}"/>
            </a:ext>
          </a:extLst>
        </xdr:cNvPr>
        <xdr:cNvCxnSpPr/>
      </xdr:nvCxnSpPr>
      <xdr:spPr>
        <a:xfrm>
          <a:off x="11067034" y="1521204"/>
          <a:ext cx="0" cy="38379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974911</xdr:colOff>
      <xdr:row>7</xdr:row>
      <xdr:rowOff>762000</xdr:rowOff>
    </xdr:from>
    <xdr:to>
      <xdr:col>3</xdr:col>
      <xdr:colOff>974911</xdr:colOff>
      <xdr:row>10</xdr:row>
      <xdr:rowOff>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4532A187-E243-1242-8066-7A22BD8760CF}"/>
            </a:ext>
          </a:extLst>
        </xdr:cNvPr>
        <xdr:cNvCxnSpPr/>
      </xdr:nvCxnSpPr>
      <xdr:spPr>
        <a:xfrm>
          <a:off x="2689411" y="152400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579826</xdr:colOff>
      <xdr:row>7</xdr:row>
      <xdr:rowOff>762000</xdr:rowOff>
    </xdr:from>
    <xdr:to>
      <xdr:col>7</xdr:col>
      <xdr:colOff>579826</xdr:colOff>
      <xdr:row>9</xdr:row>
      <xdr:rowOff>390845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C343142-8E4D-F148-B1C3-99A272901D38}"/>
            </a:ext>
          </a:extLst>
        </xdr:cNvPr>
        <xdr:cNvCxnSpPr/>
      </xdr:nvCxnSpPr>
      <xdr:spPr>
        <a:xfrm>
          <a:off x="5291526" y="1524000"/>
          <a:ext cx="0" cy="3781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12326</xdr:colOff>
      <xdr:row>5</xdr:row>
      <xdr:rowOff>702609</xdr:rowOff>
    </xdr:from>
    <xdr:to>
      <xdr:col>8</xdr:col>
      <xdr:colOff>1</xdr:colOff>
      <xdr:row>7</xdr:row>
      <xdr:rowOff>806824</xdr:rowOff>
    </xdr:to>
    <xdr:graphicFrame macro="">
      <xdr:nvGraphicFramePr>
        <xdr:cNvPr id="50" name="Diagram 49">
          <a:extLst>
            <a:ext uri="{FF2B5EF4-FFF2-40B4-BE49-F238E27FC236}">
              <a16:creationId xmlns:a16="http://schemas.microsoft.com/office/drawing/2014/main" id="{CE0A97BC-77CE-7247-977E-549FD75B4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10</xdr:col>
      <xdr:colOff>39218</xdr:colOff>
      <xdr:row>5</xdr:row>
      <xdr:rowOff>657225</xdr:rowOff>
    </xdr:from>
    <xdr:to>
      <xdr:col>22</xdr:col>
      <xdr:colOff>504265</xdr:colOff>
      <xdr:row>7</xdr:row>
      <xdr:rowOff>828675</xdr:rowOff>
    </xdr:to>
    <xdr:graphicFrame macro="">
      <xdr:nvGraphicFramePr>
        <xdr:cNvPr id="51" name="Diagram 50">
          <a:extLst>
            <a:ext uri="{FF2B5EF4-FFF2-40B4-BE49-F238E27FC236}">
              <a16:creationId xmlns:a16="http://schemas.microsoft.com/office/drawing/2014/main" id="{258E56EF-2FCE-D148-A9A1-69BED1D46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>
    <xdr:from>
      <xdr:col>12</xdr:col>
      <xdr:colOff>67232</xdr:colOff>
      <xdr:row>9</xdr:row>
      <xdr:rowOff>112060</xdr:rowOff>
    </xdr:from>
    <xdr:to>
      <xdr:col>13</xdr:col>
      <xdr:colOff>414614</xdr:colOff>
      <xdr:row>9</xdr:row>
      <xdr:rowOff>324972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1825ED2-68AD-6C4E-AC1C-D4D653C6C64E}"/>
            </a:ext>
          </a:extLst>
        </xdr:cNvPr>
        <xdr:cNvSpPr/>
      </xdr:nvSpPr>
      <xdr:spPr>
        <a:xfrm>
          <a:off x="8144432" y="1826560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1</a:t>
          </a:r>
        </a:p>
      </xdr:txBody>
    </xdr:sp>
    <xdr:clientData/>
  </xdr:twoCellAnchor>
  <xdr:twoCellAnchor>
    <xdr:from>
      <xdr:col>20</xdr:col>
      <xdr:colOff>78436</xdr:colOff>
      <xdr:row>9</xdr:row>
      <xdr:rowOff>112058</xdr:rowOff>
    </xdr:from>
    <xdr:to>
      <xdr:col>21</xdr:col>
      <xdr:colOff>425818</xdr:colOff>
      <xdr:row>9</xdr:row>
      <xdr:rowOff>324970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DBEE1390-D710-5D4F-8B59-ED81E9005352}"/>
            </a:ext>
          </a:extLst>
        </xdr:cNvPr>
        <xdr:cNvSpPr/>
      </xdr:nvSpPr>
      <xdr:spPr>
        <a:xfrm>
          <a:off x="13540436" y="1826558"/>
          <a:ext cx="1020482" cy="732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2</a:t>
          </a:r>
        </a:p>
      </xdr:txBody>
    </xdr:sp>
    <xdr:clientData/>
  </xdr:twoCellAnchor>
  <xdr:twoCellAnchor>
    <xdr:from>
      <xdr:col>28</xdr:col>
      <xdr:colOff>22409</xdr:colOff>
      <xdr:row>9</xdr:row>
      <xdr:rowOff>89647</xdr:rowOff>
    </xdr:from>
    <xdr:to>
      <xdr:col>29</xdr:col>
      <xdr:colOff>425821</xdr:colOff>
      <xdr:row>9</xdr:row>
      <xdr:rowOff>302559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9622456A-E745-3645-8036-D71CCB395CE0}"/>
            </a:ext>
          </a:extLst>
        </xdr:cNvPr>
        <xdr:cNvSpPr/>
      </xdr:nvSpPr>
      <xdr:spPr>
        <a:xfrm>
          <a:off x="18869209" y="1804147"/>
          <a:ext cx="1076512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3</a:t>
          </a:r>
        </a:p>
      </xdr:txBody>
    </xdr:sp>
    <xdr:clientData/>
  </xdr:twoCellAnchor>
  <xdr:twoCellAnchor>
    <xdr:from>
      <xdr:col>36</xdr:col>
      <xdr:colOff>40337</xdr:colOff>
      <xdr:row>9</xdr:row>
      <xdr:rowOff>96370</xdr:rowOff>
    </xdr:from>
    <xdr:to>
      <xdr:col>37</xdr:col>
      <xdr:colOff>443748</xdr:colOff>
      <xdr:row>9</xdr:row>
      <xdr:rowOff>309282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6A03BC83-5DF3-C842-AFD9-384F8A50BAE9}"/>
            </a:ext>
          </a:extLst>
        </xdr:cNvPr>
        <xdr:cNvSpPr/>
      </xdr:nvSpPr>
      <xdr:spPr>
        <a:xfrm>
          <a:off x="24271937" y="1810870"/>
          <a:ext cx="1076511" cy="986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4</a:t>
          </a:r>
        </a:p>
      </xdr:txBody>
    </xdr:sp>
    <xdr:clientData/>
  </xdr:twoCellAnchor>
  <xdr:twoCellAnchor>
    <xdr:from>
      <xdr:col>44</xdr:col>
      <xdr:colOff>11202</xdr:colOff>
      <xdr:row>9</xdr:row>
      <xdr:rowOff>100853</xdr:rowOff>
    </xdr:from>
    <xdr:to>
      <xdr:col>45</xdr:col>
      <xdr:colOff>448232</xdr:colOff>
      <xdr:row>9</xdr:row>
      <xdr:rowOff>313765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5778D44-5342-984B-AB4B-4363443B1C82}"/>
            </a:ext>
          </a:extLst>
        </xdr:cNvPr>
        <xdr:cNvSpPr/>
      </xdr:nvSpPr>
      <xdr:spPr>
        <a:xfrm>
          <a:off x="29627602" y="1815353"/>
          <a:ext cx="1110130" cy="85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5</a:t>
          </a:r>
        </a:p>
      </xdr:txBody>
    </xdr:sp>
    <xdr:clientData/>
  </xdr:twoCellAnchor>
  <xdr:twoCellAnchor>
    <xdr:from>
      <xdr:col>50</xdr:col>
      <xdr:colOff>1173807</xdr:colOff>
      <xdr:row>9</xdr:row>
      <xdr:rowOff>81243</xdr:rowOff>
    </xdr:from>
    <xdr:to>
      <xdr:col>52</xdr:col>
      <xdr:colOff>590551</xdr:colOff>
      <xdr:row>9</xdr:row>
      <xdr:rowOff>333375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3972904-E7D0-F74C-94A1-E61D90E5EA42}"/>
            </a:ext>
          </a:extLst>
        </xdr:cNvPr>
        <xdr:cNvSpPr/>
      </xdr:nvSpPr>
      <xdr:spPr>
        <a:xfrm>
          <a:off x="34333507" y="1795743"/>
          <a:ext cx="1258244" cy="1124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="1">
              <a:solidFill>
                <a:schemeClr val="tx1"/>
              </a:solidFill>
            </a:rPr>
            <a:t>Week 6</a:t>
          </a:r>
          <a:r>
            <a:rPr lang="en-US" sz="1400" b="1" baseline="0">
              <a:solidFill>
                <a:schemeClr val="tx1"/>
              </a:solidFill>
            </a:rPr>
            <a:t> - DELOAD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oneCellAnchor>
    <xdr:from>
      <xdr:col>1</xdr:col>
      <xdr:colOff>0</xdr:colOff>
      <xdr:row>1</xdr:row>
      <xdr:rowOff>0</xdr:rowOff>
    </xdr:from>
    <xdr:ext cx="1674813" cy="571730"/>
    <xdr:pic>
      <xdr:nvPicPr>
        <xdr:cNvPr id="58" name="Picture 57">
          <a:extLst>
            <a:ext uri="{FF2B5EF4-FFF2-40B4-BE49-F238E27FC236}">
              <a16:creationId xmlns:a16="http://schemas.microsoft.com/office/drawing/2014/main" id="{22D0C9DE-AF50-DC40-AECB-E8E2CDF1C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90500"/>
          <a:ext cx="1674813" cy="57173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928203-2C3C-0C4B-AA72-F656B1E78C60}" name="Abs_M6" displayName="Abs_M6" ref="B103:C111" totalsRowShown="0" headerRowDxfId="169" dataDxfId="168">
  <autoFilter ref="B103:C111" xr:uid="{4F404401-92E6-410F-A5F0-CD25792929AF}"/>
  <sortState xmlns:xlrd2="http://schemas.microsoft.com/office/spreadsheetml/2017/richdata2" ref="B104:C111">
    <sortCondition ref="B103:B111"/>
  </sortState>
  <tableColumns count="2">
    <tableColumn id="1" xr3:uid="{2F714C6A-2B20-4A04-AA61-5FAEDF2DDAE0}" name="Exercise" dataDxfId="167" dataCellStyle="Hyperlink"/>
    <tableColumn id="2" xr3:uid="{77FC7F0F-A1F2-4A86-838E-97CB20C522B3}" name="Link" dataDxfId="1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2F2A1-144A-E943-B857-F1D2BC81A706}" name="Rear_or_Side_Delts_M6" displayName="Rear_or_Side_Delts_M6" ref="B399:C419" totalsRowShown="0" headerRowDxfId="165" dataDxfId="163" headerRowBorderDxfId="164" tableBorderDxfId="162">
  <autoFilter ref="B399:C419" xr:uid="{4AC113B2-0F3D-48A7-B01C-8C0DC7C69803}"/>
  <sortState xmlns:xlrd2="http://schemas.microsoft.com/office/spreadsheetml/2017/richdata2" ref="B400:C419">
    <sortCondition ref="B399:B419"/>
  </sortState>
  <tableColumns count="2">
    <tableColumn id="1" xr3:uid="{FD794428-7B7D-47B7-AC08-F2BC38B61181}" name="Exercise" dataDxfId="161" dataCellStyle="Hyperlink"/>
    <tableColumn id="2" xr3:uid="{FFF61C98-DEEA-4129-AF47-F8DA0DDE98C3}" name="Link" dataDxfId="1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7C455A-F619-554A-8625-2521FE589D84}" name="Table_Name54104154" displayName="Table_Name54104154" ref="B428:E456" totalsRowShown="0">
  <autoFilter ref="B428:E456" xr:uid="{F754306F-2907-40D6-9E1A-7A596CE3B160}"/>
  <tableColumns count="4">
    <tableColumn id="1" xr3:uid="{2240BD2F-A0CE-4372-A86F-19DE261F4611}" name="Category"/>
    <tableColumn id="2" xr3:uid="{BE06B29B-1782-48D5-8AC0-4832DCDF1A92}" name="Table name" dataDxfId="159"/>
    <tableColumn id="3" xr3:uid="{5FF4485F-42B7-4777-B867-34C81D74B60B}" name="Name List" dataDxfId="158">
      <calculatedColumnFormula>CONCATENATE(Table_Name54104154[[#This Row],[Table name]],"[Exercise]")</calculatedColumnFormula>
    </tableColumn>
    <tableColumn id="4" xr3:uid="{B5BC5982-A910-45A1-B37D-44B51BDEE6B9}" name="Link List" dataDxfId="157">
      <calculatedColumnFormula>CONCATENATE(Table_Name54104154[[#This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F569DC-A470-324B-8EA2-67B0B00415BE}" name="Chest_Isolation_or_Triceps_M6" displayName="Chest_Isolation_or_Triceps_M6" ref="B369:C397" totalsRowShown="0" headerRowDxfId="156" dataDxfId="154" headerRowBorderDxfId="155" tableBorderDxfId="153">
  <autoFilter ref="B369:C397" xr:uid="{05DF143F-EC6A-4B99-8622-663698C462CB}"/>
  <sortState xmlns:xlrd2="http://schemas.microsoft.com/office/spreadsheetml/2017/richdata2" ref="B370:C397">
    <sortCondition ref="B369:B397"/>
  </sortState>
  <tableColumns count="2">
    <tableColumn id="1" xr3:uid="{338D2407-5AC5-40B8-98B6-AB81BC5A8A6D}" name="Exercise" dataDxfId="152" dataCellStyle="Hyperlink"/>
    <tableColumn id="2" xr3:uid="{FF5A2228-88A7-4400-B5D7-772ECC5EE649}" name="Link" dataDxfId="15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558B58-9119-3040-9922-63697C91AEE5}" name="Incline_Push_or_front_Delts_M6" displayName="Incline_Push_or_front_Delts_M6" ref="B348:C367" totalsRowShown="0" headerRowDxfId="150" dataDxfId="148" headerRowBorderDxfId="149" tableBorderDxfId="147">
  <autoFilter ref="B348:C367" xr:uid="{14B18B4F-5444-4CB7-97D8-B74C5EAB01C2}"/>
  <sortState xmlns:xlrd2="http://schemas.microsoft.com/office/spreadsheetml/2017/richdata2" ref="B349:C367">
    <sortCondition ref="B348:B367"/>
  </sortState>
  <tableColumns count="2">
    <tableColumn id="1" xr3:uid="{53A94770-E078-4141-AAED-D9D0FFE05F3A}" name="Exercise" dataDxfId="146" dataCellStyle="Hyperlink"/>
    <tableColumn id="2" xr3:uid="{D48C3CE5-DB7C-464C-9E58-0C4761FD0D52}" name="Link" dataDxfId="14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024A64-10FD-8F4C-B335-D31EF7A3FB5B}" name="Triceps_M6" displayName="Triceps_M6" ref="B329:C346" totalsRowShown="0" headerRowDxfId="144" dataDxfId="142" headerRowBorderDxfId="143" tableBorderDxfId="141">
  <autoFilter ref="B329:C346" xr:uid="{6A0C9CE4-0D16-42C8-8CC6-98B30C0E4A31}"/>
  <sortState xmlns:xlrd2="http://schemas.microsoft.com/office/spreadsheetml/2017/richdata2" ref="B330:C346">
    <sortCondition ref="B329:B346"/>
  </sortState>
  <tableColumns count="2">
    <tableColumn id="1" xr3:uid="{D8A4441A-289D-44CE-8FAD-B01FE2788DBE}" name="Exercise" dataDxfId="140" dataCellStyle="Hyperlink"/>
    <tableColumn id="2" xr3:uid="{22E04CCA-F69E-48FA-B7A6-6017C02923B4}" name="Link" dataDxfId="1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784602-A03C-1446-8B3D-1C3D9DFCC2BD}" name="Front_Delts_M6" displayName="Front_Delts_M6" ref="B315:C326" totalsRowShown="0" headerRowDxfId="138" dataDxfId="136" headerRowBorderDxfId="137" tableBorderDxfId="135">
  <autoFilter ref="B315:C326" xr:uid="{677E9249-F2BE-49B8-97DE-DA5E3BDD931D}"/>
  <sortState xmlns:xlrd2="http://schemas.microsoft.com/office/spreadsheetml/2017/richdata2" ref="B316:C326">
    <sortCondition ref="B315:B326"/>
  </sortState>
  <tableColumns count="2">
    <tableColumn id="1" xr3:uid="{3B2A908A-2E28-478B-A299-E6C2BBFBD918}" name="Exercise" dataDxfId="134" dataCellStyle="Hyperlink"/>
    <tableColumn id="2" xr3:uid="{B5BAB37A-ABF2-4DAC-AA59-26FF607A3C70}" name="Link" dataDxfId="1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0BB3C6-313E-7545-8D15-38079314851C}" name="Incline_Push_M6" displayName="Incline_Push_M6" ref="B305:C313" totalsRowShown="0" headerRowDxfId="132" dataDxfId="130" headerRowBorderDxfId="131" tableBorderDxfId="129">
  <autoFilter ref="B305:C313" xr:uid="{77A085F2-5828-4FB5-A2A6-95D7475B366C}"/>
  <sortState xmlns:xlrd2="http://schemas.microsoft.com/office/spreadsheetml/2017/richdata2" ref="B306:C313">
    <sortCondition ref="B305:B313"/>
  </sortState>
  <tableColumns count="2">
    <tableColumn id="1" xr3:uid="{95904D8F-5D99-4D17-959E-7E4F4254DF5D}" name="Exercise" dataDxfId="128" dataCellStyle="Hyperlink"/>
    <tableColumn id="2" xr3:uid="{5A021BDF-37B1-4243-B2CF-26123FB5B018}" name="Link" dataDxfId="12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813FA6-9647-9E44-8F00-827E4B952641}" name="Horizontal_Push_M6" displayName="Horizontal_Push_M6" ref="B290:C303" totalsRowShown="0" headerRowDxfId="126" dataDxfId="124" headerRowBorderDxfId="125" tableBorderDxfId="123">
  <autoFilter ref="B290:C303" xr:uid="{A4B83234-FA83-43BE-8CBC-7ED7630DDA6F}"/>
  <sortState xmlns:xlrd2="http://schemas.microsoft.com/office/spreadsheetml/2017/richdata2" ref="B291:C303">
    <sortCondition ref="B290:B303"/>
  </sortState>
  <tableColumns count="2">
    <tableColumn id="1" xr3:uid="{8D3CD194-0DF3-47FF-B9F8-CE4B0F75B980}" name="Exercise" dataDxfId="122" dataCellStyle="Hyperlink"/>
    <tableColumn id="2" xr3:uid="{11EC88E4-2675-44CD-9F47-3A0E92EF558E}" name="Link" dataDxfId="12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F548AC-085E-3441-A31E-C58CCB0F27CB}" name="Chest_Isolation_M6" displayName="Chest_Isolation_M6" ref="B277:C288" totalsRowShown="0" headerRowDxfId="120" dataDxfId="118" headerRowBorderDxfId="119" tableBorderDxfId="117">
  <autoFilter ref="B277:C288" xr:uid="{83668CDD-F672-4B6E-9F48-71AAF9AEF2CE}"/>
  <sortState xmlns:xlrd2="http://schemas.microsoft.com/office/spreadsheetml/2017/richdata2" ref="B278:C288">
    <sortCondition ref="B277:B288"/>
  </sortState>
  <tableColumns count="2">
    <tableColumn id="1" xr3:uid="{2A17CC63-090E-4C81-A094-2EEB2C638928}" name="Exercise" dataDxfId="116" dataCellStyle="Hyperlink"/>
    <tableColumn id="2" xr3:uid="{2AADE0EF-1A7A-451B-802B-4B7F605E38FC}" name="Link" dataDxfId="11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A233FC9-7B86-1544-9A01-FF819F1FE857}" name="Hamstrings_Isolation_M6" displayName="Hamstrings_Isolation_M6" ref="B272:C275" totalsRowShown="0" headerRowDxfId="114" dataDxfId="112" headerRowBorderDxfId="113" tableBorderDxfId="111">
  <autoFilter ref="B272:C275" xr:uid="{DCD97363-F671-4235-957B-2CC7AE2364AA}"/>
  <sortState xmlns:xlrd2="http://schemas.microsoft.com/office/spreadsheetml/2017/richdata2" ref="B273:C275">
    <sortCondition ref="B272:B275"/>
  </sortState>
  <tableColumns count="2">
    <tableColumn id="1" xr3:uid="{66D66F38-8B04-490F-98C5-E97773970188}" name="Exercise" dataDxfId="110" dataCellStyle="Hyperlink"/>
    <tableColumn id="2" xr3:uid="{DD139BF7-7BCE-4BCC-AC94-E66A169A57CC}" name="Link" dataDxfId="10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B17EFC5-FDF7-B74C-844C-16136D804B3F}" name="Hamstrings_Hip_Hinge_M6" displayName="Hamstrings_Hip_Hinge_M6" ref="B264:C270" totalsRowShown="0" headerRowDxfId="108" dataDxfId="106" headerRowBorderDxfId="107" tableBorderDxfId="105">
  <autoFilter ref="B264:C270" xr:uid="{589875B8-3703-43AE-9CF8-5EBD963A6B5D}"/>
  <sortState xmlns:xlrd2="http://schemas.microsoft.com/office/spreadsheetml/2017/richdata2" ref="B265:C270">
    <sortCondition ref="B264:B270"/>
  </sortState>
  <tableColumns count="2">
    <tableColumn id="1" xr3:uid="{04EE0980-0904-43FB-BA27-ECF73C1DC065}" name="Exercise" dataDxfId="104" dataCellStyle="Hyperlink"/>
    <tableColumn id="2" xr3:uid="{5EE840AF-71BC-4520-95CA-872CBF1810BD}" name="Link" dataDxfId="10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DCF764-C3D6-3640-BAC2-D69D5D73C786}" name="Glutes_M6" displayName="Glutes_M6" ref="B248:C262" totalsRowShown="0" headerRowDxfId="102" dataDxfId="100" headerRowBorderDxfId="101" tableBorderDxfId="99">
  <autoFilter ref="B248:C262" xr:uid="{48C543FA-F9EE-40FA-984F-E8E4189163C0}"/>
  <sortState xmlns:xlrd2="http://schemas.microsoft.com/office/spreadsheetml/2017/richdata2" ref="B249:C262">
    <sortCondition ref="B248:B262"/>
  </sortState>
  <tableColumns count="2">
    <tableColumn id="1" xr3:uid="{1311F158-0BA3-4CF7-8820-008FDBF7A13E}" name="Exercise" dataDxfId="98" dataCellStyle="Hyperlink"/>
    <tableColumn id="2" xr3:uid="{1BC4316D-4C68-402A-AC01-0C56DD96DBFF}" name="Link" dataDxfId="9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A4712A-BD1D-5443-A217-73DE212D98CC}" name="Quads_M6" displayName="Quads_M6" ref="B235:C246" totalsRowShown="0" headerRowDxfId="96" dataDxfId="94" headerRowBorderDxfId="95" tableBorderDxfId="93">
  <autoFilter ref="B235:C246" xr:uid="{AB25CDB4-97B9-4288-B7B4-F3E335DA58E4}"/>
  <sortState xmlns:xlrd2="http://schemas.microsoft.com/office/spreadsheetml/2017/richdata2" ref="B236:C246">
    <sortCondition ref="B235:B246"/>
  </sortState>
  <tableColumns count="2">
    <tableColumn id="1" xr3:uid="{C02CA91E-35AD-4611-AD38-A25601A9C558}" name="Exercise" dataDxfId="92" dataCellStyle="Hyperlink"/>
    <tableColumn id="2" xr3:uid="{286554C0-70E1-43A7-BEC8-11A1C435F918}" name="Link" dataDxfId="9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9092F9D-9978-CA4C-9EF6-617EC327D321}" name="Vertical_Back_M6" displayName="Vertical_Back_M6" ref="B217:C233" totalsRowShown="0" headerRowDxfId="90" dataDxfId="88" headerRowBorderDxfId="89" tableBorderDxfId="87" dataCellStyle="Hyperlink">
  <autoFilter ref="B217:C233" xr:uid="{0750102C-8AFE-4CD1-A385-17EC91D54D78}"/>
  <sortState xmlns:xlrd2="http://schemas.microsoft.com/office/spreadsheetml/2017/richdata2" ref="B218:C233">
    <sortCondition ref="B217:B233"/>
  </sortState>
  <tableColumns count="2">
    <tableColumn id="1" xr3:uid="{31361121-9658-4DFB-B3FD-5106BE0693B2}" name="Exercise" dataDxfId="86" dataCellStyle="Hyperlink"/>
    <tableColumn id="2" xr3:uid="{2B9002BF-5E38-41C5-BD8C-ABC90F9E6A00}" name="Link" dataDxfId="85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20DEF66-7C9F-9E42-84C1-550FB3629EB7}" name="Horizontal_Back_M6" displayName="Horizontal_Back_M6" ref="B199:C215" totalsRowShown="0" headerRowDxfId="84" dataDxfId="82" headerRowBorderDxfId="83" tableBorderDxfId="81">
  <autoFilter ref="B199:C215" xr:uid="{016B0CF4-F361-4111-B28B-BCBC10B7F187}"/>
  <sortState xmlns:xlrd2="http://schemas.microsoft.com/office/spreadsheetml/2017/richdata2" ref="B200:C215">
    <sortCondition ref="B199:B215"/>
  </sortState>
  <tableColumns count="2">
    <tableColumn id="1" xr3:uid="{BF9229F9-0E35-4A57-9794-048F9A7E567C}" name="Exercise" dataDxfId="80" dataCellStyle="Hyperlink"/>
    <tableColumn id="2" xr3:uid="{C47958EF-D0CE-4EDF-9A67-3455B5CBC4DD}" name="Link" dataDxfId="7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4B57EF1-E997-3843-9F9F-443A2EA1D812}" name="Vertical_Triceps_M6" displayName="Vertical_Triceps_M6" ref="B190:C197" totalsRowShown="0" headerRowDxfId="78" dataDxfId="76" headerRowBorderDxfId="77" tableBorderDxfId="75">
  <autoFilter ref="B190:C197" xr:uid="{0EA2DD6F-4265-4E45-9A5E-ABD8F3E04343}"/>
  <sortState xmlns:xlrd2="http://schemas.microsoft.com/office/spreadsheetml/2017/richdata2" ref="B191:C197">
    <sortCondition ref="B190:B197"/>
  </sortState>
  <tableColumns count="2">
    <tableColumn id="1" xr3:uid="{984A7EA8-98A5-4734-BBF7-CDFA3953304C}" name="Exercise" dataDxfId="74" dataCellStyle="Hyperlink"/>
    <tableColumn id="2" xr3:uid="{0683C4AE-3564-4039-A192-1C46002A7075}" name="Link" dataDxfId="7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FA4D35D-DFE6-4A4D-867A-D015A8276A24}" name="Horizontal_Triceps_M6" displayName="Horizontal_Triceps_M6" ref="B178:C188" totalsRowShown="0" headerRowDxfId="72" dataDxfId="70" headerRowBorderDxfId="71" tableBorderDxfId="69">
  <autoFilter ref="B178:C188" xr:uid="{2B95FB3A-706C-419F-9BC6-2D5F3440F703}"/>
  <sortState xmlns:xlrd2="http://schemas.microsoft.com/office/spreadsheetml/2017/richdata2" ref="B179:C188">
    <sortCondition ref="B178:B188"/>
  </sortState>
  <tableColumns count="2">
    <tableColumn id="1" xr3:uid="{3D3E5DC0-BB9A-4002-9738-B5E245B63191}" name="Exercise" dataDxfId="68" dataCellStyle="Hyperlink"/>
    <tableColumn id="2" xr3:uid="{AAF0B940-6D50-4849-8167-AD22C0DDEF49}" name="Link" dataDxfId="6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B3E4A0F-83A4-0D49-BA44-26965EFD069C}" name="Traps_M6" displayName="Traps_M6" ref="B166:C176" totalsRowShown="0" headerRowDxfId="66" dataDxfId="64" headerRowBorderDxfId="65" tableBorderDxfId="63">
  <autoFilter ref="B166:C176" xr:uid="{FB0EC03A-8A86-4D04-8ED2-91C62379F531}"/>
  <sortState xmlns:xlrd2="http://schemas.microsoft.com/office/spreadsheetml/2017/richdata2" ref="B167:C176">
    <sortCondition ref="B166:B176"/>
  </sortState>
  <tableColumns count="2">
    <tableColumn id="1" xr3:uid="{7D39DA32-DA3B-4A03-85FA-655A6F8FF97F}" name="Exercise" dataDxfId="62" dataCellStyle="Hyperlink"/>
    <tableColumn id="2" xr3:uid="{F4A74DD7-D139-40AE-9E79-CD7F8E84168D}" name="Link" dataDxfId="6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0500796-50DD-294B-81F1-29827AEDC9BB}" name="Side_Delts_M6" displayName="Side_Delts_M6" ref="B154:C164" totalsRowShown="0" headerRowDxfId="60" dataDxfId="58" headerRowBorderDxfId="59" tableBorderDxfId="57">
  <autoFilter ref="B154:C164" xr:uid="{D9C3C9A7-C043-4DE1-9CFD-7870AB20D3A6}"/>
  <sortState xmlns:xlrd2="http://schemas.microsoft.com/office/spreadsheetml/2017/richdata2" ref="B155:C164">
    <sortCondition ref="B154:B164"/>
  </sortState>
  <tableColumns count="2">
    <tableColumn id="1" xr3:uid="{EA63970B-8E4F-4F38-80DE-939DD0016D18}" name="Exercise" dataDxfId="56" dataCellStyle="Hyperlink"/>
    <tableColumn id="2" xr3:uid="{FBDFBA9A-44D8-404A-BA5D-A06D25AD8316}" name="Link" dataDxfId="5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DD14E83-468E-424C-8ACB-C817AC25FD5D}" name="Rear_Delts_M6" displayName="Rear_Delts_M6" ref="B142:C152" totalsRowShown="0" headerRowDxfId="54" dataDxfId="52" headerRowBorderDxfId="53" tableBorderDxfId="51">
  <autoFilter ref="B142:C152" xr:uid="{21D7D645-3F54-42B4-896A-FFDAA3FFA4E7}"/>
  <sortState xmlns:xlrd2="http://schemas.microsoft.com/office/spreadsheetml/2017/richdata2" ref="B143:C152">
    <sortCondition ref="B142:B152"/>
  </sortState>
  <tableColumns count="2">
    <tableColumn id="1" xr3:uid="{B40F8B17-5DCF-47D6-A204-FB1B542B0A40}" name="Exercise" dataDxfId="50" dataCellStyle="Hyperlink"/>
    <tableColumn id="2" xr3:uid="{B13EE905-D3FF-4C3B-80D9-325F7129B688}" name="Link" dataDxfId="4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FFD6026-CCF6-7247-917F-A32D45582714}" name="Biceps_M6" displayName="Biceps_M6" ref="B120:C140" totalsRowShown="0" headerRowDxfId="48" dataDxfId="46" headerRowBorderDxfId="47" tableBorderDxfId="45">
  <autoFilter ref="B120:C140" xr:uid="{6B98B7D3-2932-41D8-A614-0C2CC6111527}"/>
  <sortState xmlns:xlrd2="http://schemas.microsoft.com/office/spreadsheetml/2017/richdata2" ref="B121:C140">
    <sortCondition ref="B120:B140"/>
  </sortState>
  <tableColumns count="2">
    <tableColumn id="1" xr3:uid="{4A040C03-1250-475A-853C-1AA253624CCC}" name="Exercise" dataDxfId="44" dataCellStyle="Hyperlink"/>
    <tableColumn id="2" xr3:uid="{F9498234-F9D7-4D11-BD75-B4FEB41454B3}" name="Link" dataDxfId="4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833BD28-47B6-0B4E-8E2B-BE88EFBFED31}" name="Calves_M6" displayName="Calves_M6" ref="B113:C118" totalsRowShown="0" headerRowDxfId="42" dataDxfId="40" headerRowBorderDxfId="41" tableBorderDxfId="39">
  <autoFilter ref="B113:C118" xr:uid="{06E71031-9039-403A-924D-3B4B1A48CDE1}"/>
  <sortState xmlns:xlrd2="http://schemas.microsoft.com/office/spreadsheetml/2017/richdata2" ref="B114:C118">
    <sortCondition ref="B113:B118"/>
  </sortState>
  <tableColumns count="2">
    <tableColumn id="1" xr3:uid="{B6B15308-4F77-4142-A38D-B5504870F9A1}" name="Exercise" dataDxfId="38" dataCellStyle="Hyperlink"/>
    <tableColumn id="2" xr3:uid="{BFDC2536-1689-4637-8155-0906835CB551}" name="Link" dataDxfId="37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B0DCD1-CFDF-0C4F-A996-B0D664F62154}" name="Links75125175" displayName="Links75125175" ref="B458:D651" totalsRowShown="0" headerRowDxfId="36" dataDxfId="35">
  <autoFilter ref="B458:D651" xr:uid="{0F1E9BF8-B3F5-4ABB-AEDB-5DD4A1EAEBB8}"/>
  <sortState xmlns:xlrd2="http://schemas.microsoft.com/office/spreadsheetml/2017/richdata2" ref="B459:D651">
    <sortCondition ref="D458:D651"/>
  </sortState>
  <tableColumns count="3">
    <tableColumn id="1" xr3:uid="{172BA10B-143A-45F4-9660-1AA19A290A72}" name="Exercise" dataDxfId="34"/>
    <tableColumn id="2" xr3:uid="{93A9152B-AEE4-4390-8FA1-E80B511C45FE}" name="Link" dataDxfId="33"/>
    <tableColumn id="3" xr3:uid="{D89E4BA4-D55E-4739-B710-B736169958D2}" name="Category" dataDxfId="3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2D2F554-300E-6F4D-8827-72164B34D563}" name="Forearms_M6" displayName="Forearms_M6" ref="B421:C425" totalsRowShown="0">
  <autoFilter ref="B421:C425" xr:uid="{96D10E43-42A6-4BA5-B04C-996CD2E845AB}"/>
  <tableColumns count="2">
    <tableColumn id="1" xr3:uid="{11E1329E-8731-491C-A999-A5AE8FA70892}" name="Exercise" dataDxfId="31" dataCellStyle="Hyperlink"/>
    <tableColumn id="2" xr3:uid="{1B51A805-4FD2-4F1D-B1A5-48CAEED924E9}" name="Link" dataDxfId="3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FD50744-38A3-4542-A008-3EC35DDAB8C9}" name="Back_M6" displayName="Back_M6" ref="E199:F231" totalsRowShown="0" headerRowDxfId="29" dataDxfId="27" headerRowBorderDxfId="28" tableBorderDxfId="26">
  <autoFilter ref="E199:F231" xr:uid="{B6F8D7F5-6C8F-4F89-B67C-93DC60D65ECE}"/>
  <sortState xmlns:xlrd2="http://schemas.microsoft.com/office/spreadsheetml/2017/richdata2" ref="E200:F215">
    <sortCondition ref="E193:E209"/>
  </sortState>
  <tableColumns count="2">
    <tableColumn id="1" xr3:uid="{2316CC2D-45B0-40C1-8592-B2E57EA41764}" name="Exercise" dataDxfId="25" dataCellStyle="Hyperlink"/>
    <tableColumn id="2" xr3:uid="{74FAEE61-9E97-42D6-BEE3-2B122D9FBE5B}" name="Link" dataDxfId="2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0AC7794-CF9A-294C-A270-38B74AEABDDF}" name="Glute_Iso_M6" displayName="Glute_Iso_M6" ref="E249:F253" totalsRowShown="0" headerRowDxfId="23" dataDxfId="21" headerRowBorderDxfId="22" tableBorderDxfId="20">
  <autoFilter ref="E249:F253" xr:uid="{1B66D343-2B51-47C9-9572-6B92EB16C734}"/>
  <tableColumns count="2">
    <tableColumn id="1" xr3:uid="{B6614F00-3602-4405-B990-FA17538EE6F1}" name="Exercise" dataDxfId="19" dataCellStyle="Hyperlink"/>
    <tableColumn id="2" xr3:uid="{9DE1AEAE-4E3D-49D6-939C-D3C28AC9A085}" name="Link" dataDxfId="1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83A2544-43CC-9C4A-8A34-33D10D427BAE}" name="Chest_Compound_M6" displayName="Chest_Compound_M6" ref="E290:F311" totalsRowShown="0" headerRowDxfId="17" dataDxfId="15" headerRowBorderDxfId="16" tableBorderDxfId="14">
  <autoFilter ref="E290:F311" xr:uid="{FEB8A344-2ED4-473C-88F3-D146A9035DFD}"/>
  <sortState xmlns:xlrd2="http://schemas.microsoft.com/office/spreadsheetml/2017/richdata2" ref="E291:F303">
    <sortCondition ref="E284:E297"/>
  </sortState>
  <tableColumns count="2">
    <tableColumn id="1" xr3:uid="{C4051B75-C20C-43A4-93CE-3825BCD3C778}" name="Exercise" dataDxfId="13" dataCellStyle="Hyperlink"/>
    <tableColumn id="2" xr3:uid="{EAA7E6FE-7358-4D45-AA8A-BB71D1FC868F}" name="Link" dataDxfId="1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EA9637F-E130-014A-9B51-790A3C469F8F}" name="Hamstrings_M6" displayName="Hamstrings_M6" ref="E264:F273" totalsRowShown="0" headerRowDxfId="11" dataDxfId="9" headerRowBorderDxfId="10" tableBorderDxfId="8">
  <autoFilter ref="E264:F273" xr:uid="{DD350A95-67EE-496A-9351-83C031FDA5E1}"/>
  <sortState xmlns:xlrd2="http://schemas.microsoft.com/office/spreadsheetml/2017/richdata2" ref="E265:F270">
    <sortCondition ref="E258:E264"/>
  </sortState>
  <tableColumns count="2">
    <tableColumn id="1" xr3:uid="{1515EFA4-5FD5-41FC-81AA-27F52D5297C6}" name="Exercise" dataDxfId="7" dataCellStyle="Hyperlink"/>
    <tableColumn id="2" xr3:uid="{1610DAB3-E81D-4E70-AECD-C7C0608B7A1B}" name="Link" dataDxfId="6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756D03A-969E-D34C-B6BA-14B4AAFABC15}" name="Shoulders_M6" displayName="Shoulders_M6" ref="E142:F173" totalsRowShown="0" headerRowDxfId="5" dataDxfId="3" headerRowBorderDxfId="4" tableBorderDxfId="2">
  <autoFilter ref="E142:F173" xr:uid="{16663920-4BB2-48BE-A376-36750360EB04}"/>
  <sortState xmlns:xlrd2="http://schemas.microsoft.com/office/spreadsheetml/2017/richdata2" ref="E143:F152">
    <sortCondition ref="E148:E158"/>
  </sortState>
  <tableColumns count="2">
    <tableColumn id="1" xr3:uid="{F00797BE-8C33-48D9-B8A3-A4A646F74766}" name="Exercise" dataDxfId="1" dataCellStyle="Hyperlink"/>
    <tableColumn id="2" xr3:uid="{9660B1ED-2DFC-4121-81EA-953693CB6EB7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22AE-4ED9-3849-A26C-2E2D9EC3AD29}">
  <sheetPr codeName="Sheet7"/>
  <dimension ref="A1:BE651"/>
  <sheetViews>
    <sheetView showGridLines="0" tabSelected="1" topLeftCell="A4" zoomScale="80" zoomScaleNormal="80" workbookViewId="0">
      <selection activeCell="B2" sqref="B2"/>
    </sheetView>
  </sheetViews>
  <sheetFormatPr defaultColWidth="8.77734375" defaultRowHeight="14.7" customHeight="1" x14ac:dyDescent="0.3"/>
  <cols>
    <col min="1" max="1" width="5.33203125" customWidth="1"/>
    <col min="2" max="2" width="5.44140625" style="3" customWidth="1"/>
    <col min="3" max="3" width="25.109375" customWidth="1"/>
    <col min="4" max="4" width="29" style="4" customWidth="1"/>
    <col min="5" max="6" width="29" style="4" hidden="1" customWidth="1"/>
    <col min="7" max="7" width="25.6640625" style="4" customWidth="1"/>
    <col min="8" max="8" width="17.6640625" style="4" customWidth="1"/>
    <col min="9" max="9" width="15.44140625" style="4" customWidth="1"/>
    <col min="10" max="10" width="5.44140625" style="3" customWidth="1"/>
    <col min="11" max="11" width="24.77734375" customWidth="1"/>
    <col min="12" max="14" width="9.44140625" customWidth="1"/>
    <col min="15" max="17" width="9.44140625" style="1" customWidth="1"/>
    <col min="18" max="18" width="5.44140625" style="2" customWidth="1"/>
    <col min="19" max="19" width="24.77734375" customWidth="1"/>
    <col min="20" max="22" width="9.44140625" customWidth="1"/>
    <col min="23" max="25" width="9.44140625" style="1" customWidth="1"/>
    <col min="26" max="26" width="5.44140625" style="2" customWidth="1"/>
    <col min="27" max="27" width="24.77734375" customWidth="1"/>
    <col min="28" max="30" width="9.44140625" customWidth="1"/>
    <col min="31" max="33" width="9.44140625" style="1" customWidth="1"/>
    <col min="34" max="34" width="5.44140625" style="2" customWidth="1"/>
    <col min="35" max="35" width="24.77734375" customWidth="1"/>
    <col min="36" max="38" width="9.44140625" customWidth="1"/>
    <col min="39" max="41" width="9.44140625" style="1" customWidth="1"/>
    <col min="42" max="42" width="5.44140625" style="2" customWidth="1"/>
    <col min="43" max="43" width="24.77734375" customWidth="1"/>
    <col min="44" max="46" width="9.44140625" customWidth="1"/>
    <col min="47" max="49" width="9.44140625" style="1" customWidth="1"/>
    <col min="50" max="50" width="5.44140625" style="2" customWidth="1"/>
    <col min="51" max="51" width="25.109375" customWidth="1"/>
    <col min="54" max="54" width="19.44140625" bestFit="1" customWidth="1"/>
    <col min="55" max="57" width="10.33203125" style="1" customWidth="1"/>
  </cols>
  <sheetData>
    <row r="1" spans="2:54" ht="31.2" x14ac:dyDescent="0.3"/>
    <row r="2" spans="2:54" ht="31.2" x14ac:dyDescent="0.3"/>
    <row r="3" spans="2:54" ht="31.2" x14ac:dyDescent="0.3"/>
    <row r="4" spans="2:54" ht="31.2" x14ac:dyDescent="0.3"/>
    <row r="5" spans="2:54" ht="31.2" x14ac:dyDescent="0.35">
      <c r="B5" s="76"/>
      <c r="C5" s="111"/>
      <c r="D5" s="111"/>
      <c r="E5" s="111"/>
      <c r="F5" s="111"/>
      <c r="G5" s="111"/>
      <c r="H5" s="111"/>
      <c r="J5" s="76"/>
      <c r="R5" s="4"/>
    </row>
    <row r="6" spans="2:54" ht="24" customHeight="1" x14ac:dyDescent="0.35">
      <c r="B6" s="76"/>
      <c r="J6" s="76"/>
      <c r="R6" s="4"/>
      <c r="X6" s="75"/>
      <c r="Z6" s="4"/>
      <c r="AC6" s="1"/>
      <c r="AD6" s="1"/>
      <c r="AF6" s="75"/>
      <c r="AH6" s="4"/>
      <c r="AK6" s="1"/>
      <c r="AL6" s="1"/>
      <c r="AP6" s="4"/>
      <c r="AS6" s="1"/>
      <c r="AT6" s="1"/>
      <c r="AX6" s="4"/>
      <c r="BA6" s="1"/>
      <c r="BB6" s="1"/>
    </row>
    <row r="7" spans="2:54" ht="74.25" customHeight="1" x14ac:dyDescent="0.35">
      <c r="B7" s="76"/>
      <c r="J7" s="76"/>
      <c r="R7" s="4"/>
      <c r="X7" s="75"/>
      <c r="Z7" s="4"/>
      <c r="AC7" s="1"/>
      <c r="AD7" s="1"/>
      <c r="AF7" s="75"/>
      <c r="AH7" s="4"/>
      <c r="AK7" s="1"/>
      <c r="AL7" s="1"/>
      <c r="AP7" s="4"/>
      <c r="AS7" s="1"/>
      <c r="AT7" s="1"/>
      <c r="AX7" s="4"/>
      <c r="BA7" s="1"/>
      <c r="BB7" s="1"/>
    </row>
    <row r="8" spans="2:54" ht="81" customHeight="1" x14ac:dyDescent="0.35">
      <c r="B8" s="76"/>
      <c r="J8" s="76"/>
      <c r="R8" s="4"/>
      <c r="X8" s="75"/>
      <c r="Z8" s="4"/>
      <c r="AC8" s="1"/>
      <c r="AD8" s="1"/>
      <c r="AF8" s="75"/>
      <c r="AH8" s="4"/>
      <c r="AK8" s="1"/>
      <c r="AL8" s="1"/>
      <c r="AP8" s="4"/>
      <c r="AS8" s="1"/>
      <c r="AT8" s="1"/>
      <c r="AX8" s="4"/>
      <c r="BA8" s="1"/>
      <c r="BB8" s="1"/>
    </row>
    <row r="9" spans="2:54" ht="10.5" customHeight="1" x14ac:dyDescent="0.3"/>
    <row r="10" spans="2:54" ht="31.2" x14ac:dyDescent="0.35">
      <c r="K10" s="112"/>
      <c r="L10" s="113"/>
      <c r="M10" s="113"/>
      <c r="N10" s="113"/>
      <c r="O10" s="113"/>
      <c r="P10" s="113"/>
      <c r="Q10" s="114"/>
      <c r="S10" s="115"/>
      <c r="T10" s="116"/>
      <c r="U10" s="116"/>
      <c r="V10" s="116"/>
      <c r="W10" s="116"/>
      <c r="X10" s="116"/>
      <c r="Y10" s="117"/>
      <c r="AA10" s="118"/>
      <c r="AB10" s="119"/>
      <c r="AC10" s="119"/>
      <c r="AD10" s="119"/>
      <c r="AE10" s="119"/>
      <c r="AF10" s="119"/>
      <c r="AG10" s="120"/>
      <c r="AI10" s="121"/>
      <c r="AJ10" s="122"/>
      <c r="AK10" s="122"/>
      <c r="AL10" s="122"/>
      <c r="AM10" s="122"/>
      <c r="AN10" s="122"/>
      <c r="AO10" s="123"/>
      <c r="AQ10" s="124"/>
      <c r="AR10" s="125"/>
      <c r="AS10" s="125"/>
      <c r="AT10" s="125"/>
      <c r="AU10" s="125"/>
      <c r="AV10" s="125"/>
      <c r="AW10" s="126"/>
      <c r="AY10" s="108"/>
      <c r="AZ10" s="109"/>
      <c r="BA10" s="109"/>
      <c r="BB10" s="110"/>
    </row>
    <row r="11" spans="2:54" s="71" customFormat="1" ht="30" customHeight="1" x14ac:dyDescent="0.3">
      <c r="B11" s="78" t="s">
        <v>481</v>
      </c>
      <c r="C11" s="67" t="s">
        <v>471</v>
      </c>
      <c r="D11" s="65" t="s">
        <v>409</v>
      </c>
      <c r="E11" s="65"/>
      <c r="F11" s="65"/>
      <c r="G11" s="66" t="s">
        <v>470</v>
      </c>
      <c r="H11" s="65" t="s">
        <v>469</v>
      </c>
      <c r="I11" s="74"/>
      <c r="J11" s="104" t="s">
        <v>481</v>
      </c>
      <c r="K11" s="60" t="s">
        <v>409</v>
      </c>
      <c r="L11" s="60" t="s">
        <v>464</v>
      </c>
      <c r="M11" s="60" t="s">
        <v>463</v>
      </c>
      <c r="N11" s="60" t="s">
        <v>462</v>
      </c>
      <c r="O11" s="63" t="s">
        <v>468</v>
      </c>
      <c r="P11" s="62" t="s">
        <v>467</v>
      </c>
      <c r="Q11" s="61" t="s">
        <v>466</v>
      </c>
      <c r="R11" s="104" t="s">
        <v>481</v>
      </c>
      <c r="S11" s="60" t="s">
        <v>409</v>
      </c>
      <c r="T11" s="60" t="s">
        <v>464</v>
      </c>
      <c r="U11" s="60" t="s">
        <v>463</v>
      </c>
      <c r="V11" s="60" t="s">
        <v>462</v>
      </c>
      <c r="W11" s="63" t="s">
        <v>468</v>
      </c>
      <c r="X11" s="62" t="s">
        <v>467</v>
      </c>
      <c r="Y11" s="61" t="s">
        <v>466</v>
      </c>
      <c r="Z11" s="104" t="s">
        <v>481</v>
      </c>
      <c r="AA11" s="73" t="s">
        <v>409</v>
      </c>
      <c r="AB11" s="73" t="s">
        <v>464</v>
      </c>
      <c r="AC11" s="73" t="s">
        <v>463</v>
      </c>
      <c r="AD11" s="73" t="s">
        <v>462</v>
      </c>
      <c r="AE11" s="63" t="s">
        <v>468</v>
      </c>
      <c r="AF11" s="62" t="s">
        <v>467</v>
      </c>
      <c r="AG11" s="61" t="s">
        <v>466</v>
      </c>
      <c r="AH11" s="104" t="s">
        <v>481</v>
      </c>
      <c r="AI11" s="60" t="s">
        <v>409</v>
      </c>
      <c r="AJ11" s="60" t="s">
        <v>464</v>
      </c>
      <c r="AK11" s="60" t="s">
        <v>463</v>
      </c>
      <c r="AL11" s="60" t="s">
        <v>462</v>
      </c>
      <c r="AM11" s="63" t="s">
        <v>468</v>
      </c>
      <c r="AN11" s="62" t="s">
        <v>467</v>
      </c>
      <c r="AO11" s="61" t="s">
        <v>466</v>
      </c>
      <c r="AP11" s="104" t="s">
        <v>481</v>
      </c>
      <c r="AQ11" s="60" t="s">
        <v>409</v>
      </c>
      <c r="AR11" s="60" t="s">
        <v>464</v>
      </c>
      <c r="AS11" s="60" t="s">
        <v>463</v>
      </c>
      <c r="AT11" s="60" t="s">
        <v>462</v>
      </c>
      <c r="AU11" s="72" t="s">
        <v>468</v>
      </c>
      <c r="AV11" s="62" t="s">
        <v>467</v>
      </c>
      <c r="AW11" s="61" t="s">
        <v>466</v>
      </c>
      <c r="AX11" s="104" t="s">
        <v>481</v>
      </c>
      <c r="AY11" s="60" t="s">
        <v>409</v>
      </c>
      <c r="AZ11" s="60" t="s">
        <v>464</v>
      </c>
      <c r="BA11" s="60" t="s">
        <v>463</v>
      </c>
      <c r="BB11" s="60" t="s">
        <v>462</v>
      </c>
    </row>
    <row r="12" spans="2:54" ht="14.4" x14ac:dyDescent="0.3">
      <c r="B12" s="79"/>
      <c r="C12" s="59" t="s">
        <v>446</v>
      </c>
      <c r="D12" s="57"/>
      <c r="E12" s="57" t="str">
        <f>INDEX(Table_Name54104154[Name List],MATCH(C12,Table_Name54104154[Category],0))</f>
        <v>Chest_Compound_M6[Exercise]</v>
      </c>
      <c r="F12" s="57" t="e">
        <f>INDEX(Links75125175[Link],MATCH(D12,Links75125175[Exercise],0))</f>
        <v>#N/A</v>
      </c>
      <c r="G12" s="58" t="str">
        <f t="shared" ref="G12:G18" si="0">_xlfn.IFNA(HYPERLINK(F12,D12),"")</f>
        <v/>
      </c>
      <c r="H12" s="57"/>
      <c r="I12" s="52"/>
      <c r="J12" s="105"/>
      <c r="K12" s="53" t="str">
        <f t="shared" ref="K12:K18" si="1">IF($D12="","",$D12)</f>
        <v/>
      </c>
      <c r="L12" s="53">
        <v>2</v>
      </c>
      <c r="M12" s="53" t="str">
        <f>IF(MROUND(((H12)*0.9),5)=0,"",MROUND(((H12)*0.9),5))</f>
        <v/>
      </c>
      <c r="N12" s="53" t="s">
        <v>461</v>
      </c>
      <c r="O12" s="56"/>
      <c r="P12" s="55"/>
      <c r="Q12" s="54"/>
      <c r="R12" s="105"/>
      <c r="S12" s="53" t="str">
        <f t="shared" ref="S12:S18" si="2">IF($D12="","",$D12)</f>
        <v/>
      </c>
      <c r="T12" s="53">
        <f>L12+Q12+P48</f>
        <v>2</v>
      </c>
      <c r="U12" s="53" t="str">
        <f t="shared" ref="U12:U18" si="3">IFERROR(MROUND((M12*1.025),5),"")</f>
        <v/>
      </c>
      <c r="V12" s="53" t="s">
        <v>461</v>
      </c>
      <c r="W12" s="56"/>
      <c r="X12" s="55"/>
      <c r="Y12" s="54"/>
      <c r="Z12" s="105"/>
      <c r="AA12" s="53" t="str">
        <f t="shared" ref="AA12:AA18" si="4">IF($D12="","",$D12)</f>
        <v/>
      </c>
      <c r="AB12" s="53">
        <f>T12+Y12+X48</f>
        <v>2</v>
      </c>
      <c r="AC12" s="53" t="str">
        <f t="shared" ref="AC12:AC18" si="5">IFERROR(MROUND((M12*1.05),5),"")</f>
        <v/>
      </c>
      <c r="AD12" s="53" t="s">
        <v>460</v>
      </c>
      <c r="AE12" s="69"/>
      <c r="AF12" s="55"/>
      <c r="AG12" s="54"/>
      <c r="AH12" s="105"/>
      <c r="AI12" s="53" t="str">
        <f t="shared" ref="AI12:AI18" si="6">IF($D12="","",$D12)</f>
        <v/>
      </c>
      <c r="AJ12" s="53">
        <f>AB12+AG12+AF48</f>
        <v>2</v>
      </c>
      <c r="AK12" s="53" t="str">
        <f t="shared" ref="AK12:AK18" si="7">IFERROR(MROUND((M12*1.075),5),"")</f>
        <v/>
      </c>
      <c r="AL12" s="53" t="s">
        <v>460</v>
      </c>
      <c r="AM12" s="69"/>
      <c r="AN12" s="55"/>
      <c r="AO12" s="54"/>
      <c r="AP12" s="105"/>
      <c r="AQ12" s="53" t="str">
        <f t="shared" ref="AQ12:AQ18" si="8">IF($D12="","",$D12)</f>
        <v/>
      </c>
      <c r="AR12" s="53">
        <f>AJ12+AO12+AN48</f>
        <v>2</v>
      </c>
      <c r="AS12" s="53" t="str">
        <f t="shared" ref="AS12:AS18" si="9">IFERROR(MROUND((M12*1.1),5),"")</f>
        <v/>
      </c>
      <c r="AT12" s="53" t="s">
        <v>459</v>
      </c>
      <c r="AU12" s="69"/>
      <c r="AV12" s="55"/>
      <c r="AW12" s="54"/>
      <c r="AX12" s="105"/>
      <c r="AY12" s="53" t="str">
        <f t="shared" ref="AY12:AY18" si="10">IF($D12="","",$D12)</f>
        <v/>
      </c>
      <c r="AZ12" s="53">
        <v>2</v>
      </c>
      <c r="BA12" s="53" t="str">
        <f t="shared" ref="BA12:BA18" si="11">M12</f>
        <v/>
      </c>
      <c r="BB12" s="53" t="s">
        <v>458</v>
      </c>
    </row>
    <row r="13" spans="2:54" ht="14.4" x14ac:dyDescent="0.3">
      <c r="B13" s="79"/>
      <c r="C13" s="59" t="s">
        <v>442</v>
      </c>
      <c r="D13" s="57"/>
      <c r="E13" s="57" t="str">
        <f>INDEX(Table_Name54104154[Name List],MATCH(C13,Table_Name54104154[Category],0))</f>
        <v>Chest_Isolation_M6[Exercise]</v>
      </c>
      <c r="F13" s="57" t="e">
        <f>INDEX(Links75125175[Link],MATCH(D13,Links75125175[Exercise],0))</f>
        <v>#N/A</v>
      </c>
      <c r="G13" s="58" t="str">
        <f t="shared" si="0"/>
        <v/>
      </c>
      <c r="H13" s="57"/>
      <c r="I13" s="52"/>
      <c r="J13" s="105"/>
      <c r="K13" s="53" t="str">
        <f t="shared" si="1"/>
        <v/>
      </c>
      <c r="L13" s="53">
        <v>2</v>
      </c>
      <c r="M13" s="53" t="str">
        <f>IF(MROUND(((H13)*0.8),5)=0,"",MROUND(((H13)*0.8),5))</f>
        <v/>
      </c>
      <c r="N13" s="53" t="s">
        <v>461</v>
      </c>
      <c r="O13" s="56"/>
      <c r="P13" s="55"/>
      <c r="Q13" s="54"/>
      <c r="R13" s="105"/>
      <c r="S13" s="53" t="str">
        <f t="shared" si="2"/>
        <v/>
      </c>
      <c r="T13" s="53">
        <f>L13+Q13+P49</f>
        <v>2</v>
      </c>
      <c r="U13" s="53" t="str">
        <f t="shared" si="3"/>
        <v/>
      </c>
      <c r="V13" s="53" t="s">
        <v>461</v>
      </c>
      <c r="W13" s="56"/>
      <c r="X13" s="55"/>
      <c r="Y13" s="54"/>
      <c r="Z13" s="105"/>
      <c r="AA13" s="53" t="str">
        <f t="shared" si="4"/>
        <v/>
      </c>
      <c r="AB13" s="53">
        <f>T13+Y13+X49</f>
        <v>2</v>
      </c>
      <c r="AC13" s="53" t="str">
        <f t="shared" si="5"/>
        <v/>
      </c>
      <c r="AD13" s="53" t="s">
        <v>460</v>
      </c>
      <c r="AE13" s="69"/>
      <c r="AF13" s="55"/>
      <c r="AG13" s="54"/>
      <c r="AH13" s="105"/>
      <c r="AI13" s="53" t="str">
        <f t="shared" si="6"/>
        <v/>
      </c>
      <c r="AJ13" s="53">
        <f>AB13+AG13+AF49</f>
        <v>2</v>
      </c>
      <c r="AK13" s="53" t="str">
        <f t="shared" si="7"/>
        <v/>
      </c>
      <c r="AL13" s="53" t="s">
        <v>460</v>
      </c>
      <c r="AM13" s="69"/>
      <c r="AN13" s="55"/>
      <c r="AO13" s="54"/>
      <c r="AP13" s="105"/>
      <c r="AQ13" s="53" t="str">
        <f t="shared" si="8"/>
        <v/>
      </c>
      <c r="AR13" s="53">
        <f>AJ13+AO13+AN49</f>
        <v>2</v>
      </c>
      <c r="AS13" s="53" t="str">
        <f t="shared" si="9"/>
        <v/>
      </c>
      <c r="AT13" s="53" t="s">
        <v>459</v>
      </c>
      <c r="AU13" s="69"/>
      <c r="AV13" s="55"/>
      <c r="AW13" s="54"/>
      <c r="AX13" s="105"/>
      <c r="AY13" s="53" t="str">
        <f t="shared" si="10"/>
        <v/>
      </c>
      <c r="AZ13" s="53">
        <v>2</v>
      </c>
      <c r="BA13" s="53" t="str">
        <f t="shared" si="11"/>
        <v/>
      </c>
      <c r="BB13" s="53" t="s">
        <v>458</v>
      </c>
    </row>
    <row r="14" spans="2:54" ht="14.4" x14ac:dyDescent="0.3">
      <c r="B14" s="79"/>
      <c r="C14" s="59" t="s">
        <v>413</v>
      </c>
      <c r="D14" s="57"/>
      <c r="E14" s="57" t="str">
        <f>INDEX(Table_Name54104154[Name List],MATCH(C14,Table_Name54104154[Category],0))</f>
        <v>Triceps_M6[Exercise]</v>
      </c>
      <c r="F14" s="57" t="e">
        <f>INDEX(Links75125175[Link],MATCH(D14,Links75125175[Exercise],0))</f>
        <v>#N/A</v>
      </c>
      <c r="G14" s="58" t="str">
        <f t="shared" si="0"/>
        <v/>
      </c>
      <c r="H14" s="57"/>
      <c r="I14" s="52"/>
      <c r="J14" s="105"/>
      <c r="K14" s="53" t="str">
        <f t="shared" si="1"/>
        <v/>
      </c>
      <c r="L14" s="53">
        <v>2</v>
      </c>
      <c r="M14" s="53" t="str">
        <f>IF(MROUND(((H14)*0.9),5)=0,"",MROUND(((H14)*0.9),5))</f>
        <v/>
      </c>
      <c r="N14" s="53" t="s">
        <v>461</v>
      </c>
      <c r="O14" s="56"/>
      <c r="P14" s="55"/>
      <c r="Q14" s="54"/>
      <c r="R14" s="105"/>
      <c r="S14" s="53" t="str">
        <f t="shared" si="2"/>
        <v/>
      </c>
      <c r="T14" s="53">
        <f>L14+Q14+P46</f>
        <v>2</v>
      </c>
      <c r="U14" s="53" t="str">
        <f t="shared" si="3"/>
        <v/>
      </c>
      <c r="V14" s="53" t="s">
        <v>461</v>
      </c>
      <c r="W14" s="56"/>
      <c r="X14" s="55"/>
      <c r="Y14" s="54"/>
      <c r="Z14" s="105"/>
      <c r="AA14" s="53" t="str">
        <f t="shared" si="4"/>
        <v/>
      </c>
      <c r="AB14" s="53">
        <f>T14+Y14+X46</f>
        <v>2</v>
      </c>
      <c r="AC14" s="53" t="str">
        <f t="shared" si="5"/>
        <v/>
      </c>
      <c r="AD14" s="53" t="s">
        <v>460</v>
      </c>
      <c r="AE14" s="69"/>
      <c r="AF14" s="55"/>
      <c r="AG14" s="54"/>
      <c r="AH14" s="105"/>
      <c r="AI14" s="53" t="str">
        <f t="shared" si="6"/>
        <v/>
      </c>
      <c r="AJ14" s="53">
        <f>AB14+AG14+AF46</f>
        <v>2</v>
      </c>
      <c r="AK14" s="53" t="str">
        <f t="shared" si="7"/>
        <v/>
      </c>
      <c r="AL14" s="53" t="s">
        <v>460</v>
      </c>
      <c r="AM14" s="69"/>
      <c r="AN14" s="55"/>
      <c r="AO14" s="54"/>
      <c r="AP14" s="105"/>
      <c r="AQ14" s="53" t="str">
        <f t="shared" si="8"/>
        <v/>
      </c>
      <c r="AR14" s="53">
        <f>AJ14+AO14+AN46</f>
        <v>2</v>
      </c>
      <c r="AS14" s="53" t="str">
        <f t="shared" si="9"/>
        <v/>
      </c>
      <c r="AT14" s="53" t="s">
        <v>459</v>
      </c>
      <c r="AU14" s="69"/>
      <c r="AV14" s="55"/>
      <c r="AW14" s="54"/>
      <c r="AX14" s="105"/>
      <c r="AY14" s="53" t="str">
        <f t="shared" si="10"/>
        <v/>
      </c>
      <c r="AZ14" s="53">
        <v>2</v>
      </c>
      <c r="BA14" s="53" t="str">
        <f t="shared" si="11"/>
        <v/>
      </c>
      <c r="BB14" s="53" t="s">
        <v>458</v>
      </c>
    </row>
    <row r="15" spans="2:54" ht="14.4" x14ac:dyDescent="0.3">
      <c r="B15" s="79"/>
      <c r="C15" s="59" t="s">
        <v>413</v>
      </c>
      <c r="D15" s="57"/>
      <c r="E15" s="57" t="str">
        <f>INDEX(Table_Name54104154[Name List],MATCH(C15,Table_Name54104154[Category],0))</f>
        <v>Triceps_M6[Exercise]</v>
      </c>
      <c r="F15" s="57" t="e">
        <f>INDEX(Links75125175[Link],MATCH(D15,Links75125175[Exercise],0))</f>
        <v>#N/A</v>
      </c>
      <c r="G15" s="58" t="str">
        <f t="shared" si="0"/>
        <v/>
      </c>
      <c r="H15" s="57"/>
      <c r="I15" s="52"/>
      <c r="J15" s="105"/>
      <c r="K15" s="53" t="str">
        <f t="shared" si="1"/>
        <v/>
      </c>
      <c r="L15" s="53">
        <v>2</v>
      </c>
      <c r="M15" s="53" t="str">
        <f>IF(MROUND(((H15)*0.8),5)=0,"",MROUND(((H15)*0.8),5))</f>
        <v/>
      </c>
      <c r="N15" s="53" t="s">
        <v>461</v>
      </c>
      <c r="O15" s="56"/>
      <c r="P15" s="55"/>
      <c r="Q15" s="54"/>
      <c r="R15" s="105"/>
      <c r="S15" s="53" t="str">
        <f t="shared" si="2"/>
        <v/>
      </c>
      <c r="T15" s="53">
        <f>L15+Q15+P47</f>
        <v>2</v>
      </c>
      <c r="U15" s="53" t="str">
        <f t="shared" si="3"/>
        <v/>
      </c>
      <c r="V15" s="53" t="s">
        <v>461</v>
      </c>
      <c r="W15" s="56"/>
      <c r="X15" s="55"/>
      <c r="Y15" s="54"/>
      <c r="Z15" s="105"/>
      <c r="AA15" s="53" t="str">
        <f t="shared" si="4"/>
        <v/>
      </c>
      <c r="AB15" s="53">
        <f>T15+Y15+X47</f>
        <v>2</v>
      </c>
      <c r="AC15" s="53" t="str">
        <f t="shared" si="5"/>
        <v/>
      </c>
      <c r="AD15" s="53" t="s">
        <v>460</v>
      </c>
      <c r="AE15" s="69"/>
      <c r="AF15" s="55"/>
      <c r="AG15" s="54"/>
      <c r="AH15" s="105"/>
      <c r="AI15" s="53" t="str">
        <f t="shared" si="6"/>
        <v/>
      </c>
      <c r="AJ15" s="53">
        <f>AB15+AG15+AF47</f>
        <v>2</v>
      </c>
      <c r="AK15" s="53" t="str">
        <f t="shared" si="7"/>
        <v/>
      </c>
      <c r="AL15" s="53" t="s">
        <v>460</v>
      </c>
      <c r="AM15" s="69"/>
      <c r="AN15" s="55"/>
      <c r="AO15" s="54"/>
      <c r="AP15" s="105"/>
      <c r="AQ15" s="53" t="str">
        <f t="shared" si="8"/>
        <v/>
      </c>
      <c r="AR15" s="53">
        <f>AJ15+AO15+AN47</f>
        <v>2</v>
      </c>
      <c r="AS15" s="53" t="str">
        <f t="shared" si="9"/>
        <v/>
      </c>
      <c r="AT15" s="53" t="s">
        <v>459</v>
      </c>
      <c r="AU15" s="69"/>
      <c r="AV15" s="55"/>
      <c r="AW15" s="54"/>
      <c r="AX15" s="105"/>
      <c r="AY15" s="53" t="str">
        <f t="shared" si="10"/>
        <v/>
      </c>
      <c r="AZ15" s="53">
        <v>2</v>
      </c>
      <c r="BA15" s="53" t="str">
        <f t="shared" si="11"/>
        <v/>
      </c>
      <c r="BB15" s="53" t="s">
        <v>458</v>
      </c>
    </row>
    <row r="16" spans="2:54" ht="14.4" x14ac:dyDescent="0.3">
      <c r="B16" s="79"/>
      <c r="C16" s="59" t="s">
        <v>416</v>
      </c>
      <c r="D16" s="57"/>
      <c r="E16" s="57" t="str">
        <f>INDEX(Table_Name54104154[Name List],MATCH(C16,Table_Name54104154[Category],0))</f>
        <v>Shoulders_M6[Exercise]</v>
      </c>
      <c r="F16" s="57" t="e">
        <f>INDEX(Links75125175[Link],MATCH(D16,Links75125175[Exercise],0))</f>
        <v>#N/A</v>
      </c>
      <c r="G16" s="58" t="str">
        <f t="shared" si="0"/>
        <v/>
      </c>
      <c r="H16" s="57"/>
      <c r="I16" s="52"/>
      <c r="J16" s="105"/>
      <c r="K16" s="53" t="str">
        <f t="shared" si="1"/>
        <v/>
      </c>
      <c r="L16" s="53">
        <v>3</v>
      </c>
      <c r="M16" s="53" t="str">
        <f>IF(MROUND(((H16)*0.9),5)=0,"",MROUND(((H16)*0.9),5))</f>
        <v/>
      </c>
      <c r="N16" s="53" t="s">
        <v>461</v>
      </c>
      <c r="O16" s="56"/>
      <c r="P16" s="55"/>
      <c r="Q16" s="54"/>
      <c r="R16" s="105"/>
      <c r="S16" s="53" t="str">
        <f t="shared" si="2"/>
        <v/>
      </c>
      <c r="T16" s="53">
        <f>L16+Q16</f>
        <v>3</v>
      </c>
      <c r="U16" s="53" t="str">
        <f t="shared" si="3"/>
        <v/>
      </c>
      <c r="V16" s="53" t="s">
        <v>461</v>
      </c>
      <c r="W16" s="56"/>
      <c r="X16" s="55"/>
      <c r="Y16" s="54"/>
      <c r="Z16" s="105"/>
      <c r="AA16" s="53" t="str">
        <f t="shared" si="4"/>
        <v/>
      </c>
      <c r="AB16" s="53">
        <f>T16+Y16</f>
        <v>3</v>
      </c>
      <c r="AC16" s="53" t="str">
        <f t="shared" si="5"/>
        <v/>
      </c>
      <c r="AD16" s="53" t="s">
        <v>460</v>
      </c>
      <c r="AE16" s="56"/>
      <c r="AF16" s="55"/>
      <c r="AG16" s="54"/>
      <c r="AH16" s="105"/>
      <c r="AI16" s="53" t="str">
        <f t="shared" si="6"/>
        <v/>
      </c>
      <c r="AJ16" s="53">
        <f>AB16+AG16</f>
        <v>3</v>
      </c>
      <c r="AK16" s="53" t="str">
        <f t="shared" si="7"/>
        <v/>
      </c>
      <c r="AL16" s="53" t="s">
        <v>460</v>
      </c>
      <c r="AM16" s="56"/>
      <c r="AN16" s="55"/>
      <c r="AO16" s="54"/>
      <c r="AP16" s="105"/>
      <c r="AQ16" s="53" t="str">
        <f t="shared" si="8"/>
        <v/>
      </c>
      <c r="AR16" s="53">
        <f>AJ16+AO16</f>
        <v>3</v>
      </c>
      <c r="AS16" s="53" t="str">
        <f t="shared" si="9"/>
        <v/>
      </c>
      <c r="AT16" s="53" t="s">
        <v>459</v>
      </c>
      <c r="AU16" s="56"/>
      <c r="AV16" s="55"/>
      <c r="AW16" s="54"/>
      <c r="AX16" s="105"/>
      <c r="AY16" s="53" t="str">
        <f t="shared" si="10"/>
        <v/>
      </c>
      <c r="AZ16" s="53">
        <v>2</v>
      </c>
      <c r="BA16" s="53" t="str">
        <f t="shared" si="11"/>
        <v/>
      </c>
      <c r="BB16" s="53" t="s">
        <v>458</v>
      </c>
    </row>
    <row r="17" spans="2:54" ht="14.4" hidden="1" x14ac:dyDescent="0.3">
      <c r="B17" s="79"/>
      <c r="C17" s="59"/>
      <c r="D17" s="57"/>
      <c r="E17" s="57" t="e">
        <f>INDEX(Table_Name54104154[Name List],MATCH(C17,Table_Name54104154[Category],0))</f>
        <v>#N/A</v>
      </c>
      <c r="F17" s="57" t="e">
        <f>INDEX(Links75125175[Link],MATCH(D17,Links75125175[Exercise],0))</f>
        <v>#N/A</v>
      </c>
      <c r="G17" s="58" t="str">
        <f t="shared" si="0"/>
        <v/>
      </c>
      <c r="H17" s="57"/>
      <c r="I17" s="52"/>
      <c r="J17" s="105"/>
      <c r="K17" s="53" t="str">
        <f t="shared" si="1"/>
        <v/>
      </c>
      <c r="L17" s="53"/>
      <c r="M17" s="53" t="str">
        <f>IF(MROUND(((H17)*0.8),5)=0,"",MROUND(((H17)*0.8),5))</f>
        <v/>
      </c>
      <c r="N17" s="53"/>
      <c r="O17" s="56"/>
      <c r="P17" s="55"/>
      <c r="Q17" s="54"/>
      <c r="R17" s="105"/>
      <c r="S17" s="53" t="str">
        <f t="shared" si="2"/>
        <v/>
      </c>
      <c r="T17" s="53">
        <f>L17+Q17</f>
        <v>0</v>
      </c>
      <c r="U17" s="53" t="str">
        <f t="shared" si="3"/>
        <v/>
      </c>
      <c r="V17" s="53"/>
      <c r="W17" s="56"/>
      <c r="X17" s="55"/>
      <c r="Y17" s="54"/>
      <c r="Z17" s="105"/>
      <c r="AA17" s="53" t="str">
        <f t="shared" si="4"/>
        <v/>
      </c>
      <c r="AB17" s="53">
        <f>T17+Y17</f>
        <v>0</v>
      </c>
      <c r="AC17" s="53" t="str">
        <f t="shared" si="5"/>
        <v/>
      </c>
      <c r="AD17" s="53"/>
      <c r="AE17" s="56"/>
      <c r="AF17" s="55"/>
      <c r="AG17" s="54"/>
      <c r="AH17" s="105"/>
      <c r="AI17" s="53" t="str">
        <f t="shared" si="6"/>
        <v/>
      </c>
      <c r="AJ17" s="53">
        <f>AB17+AG17</f>
        <v>0</v>
      </c>
      <c r="AK17" s="53" t="str">
        <f t="shared" si="7"/>
        <v/>
      </c>
      <c r="AL17" s="53"/>
      <c r="AM17" s="56"/>
      <c r="AN17" s="55"/>
      <c r="AO17" s="54"/>
      <c r="AP17" s="105"/>
      <c r="AQ17" s="53" t="str">
        <f t="shared" si="8"/>
        <v/>
      </c>
      <c r="AR17" s="53">
        <f>AJ17+AO17</f>
        <v>0</v>
      </c>
      <c r="AS17" s="53" t="str">
        <f t="shared" si="9"/>
        <v/>
      </c>
      <c r="AT17" s="53"/>
      <c r="AU17" s="56"/>
      <c r="AV17" s="55"/>
      <c r="AW17" s="54"/>
      <c r="AX17" s="105"/>
      <c r="AY17" s="53" t="str">
        <f t="shared" si="10"/>
        <v/>
      </c>
      <c r="AZ17" s="53"/>
      <c r="BA17" s="53" t="str">
        <f t="shared" si="11"/>
        <v/>
      </c>
      <c r="BB17" s="53"/>
    </row>
    <row r="18" spans="2:54" ht="14.4" hidden="1" x14ac:dyDescent="0.3">
      <c r="B18" s="80"/>
      <c r="C18" s="59"/>
      <c r="D18" s="57"/>
      <c r="E18" s="57" t="e">
        <f>INDEX(Table_Name54104154[Name List],MATCH(C18,Table_Name54104154[Category],0))</f>
        <v>#N/A</v>
      </c>
      <c r="F18" s="57" t="e">
        <f>INDEX(Links75125175[Link],MATCH(D18,Links75125175[Exercise],0))</f>
        <v>#N/A</v>
      </c>
      <c r="G18" s="58" t="str">
        <f t="shared" si="0"/>
        <v/>
      </c>
      <c r="H18" s="57"/>
      <c r="I18" s="52"/>
      <c r="J18" s="106"/>
      <c r="K18" s="53" t="str">
        <f t="shared" si="1"/>
        <v/>
      </c>
      <c r="L18" s="53"/>
      <c r="M18" s="53" t="str">
        <f>IF(MROUND(((H18)*0.8),5)=0,"",MROUND(((H18)*0.8),5))</f>
        <v/>
      </c>
      <c r="N18" s="53"/>
      <c r="O18" s="56"/>
      <c r="P18" s="55"/>
      <c r="Q18" s="54"/>
      <c r="R18" s="106"/>
      <c r="S18" s="53" t="str">
        <f t="shared" si="2"/>
        <v/>
      </c>
      <c r="T18" s="53">
        <f>L18+Q18+P50</f>
        <v>0</v>
      </c>
      <c r="U18" s="53" t="str">
        <f t="shared" si="3"/>
        <v/>
      </c>
      <c r="V18" s="53"/>
      <c r="W18" s="56"/>
      <c r="X18" s="55"/>
      <c r="Y18" s="54"/>
      <c r="Z18" s="106"/>
      <c r="AA18" s="53" t="str">
        <f t="shared" si="4"/>
        <v/>
      </c>
      <c r="AB18" s="53">
        <f>T18+Y18+X50</f>
        <v>0</v>
      </c>
      <c r="AC18" s="53" t="str">
        <f t="shared" si="5"/>
        <v/>
      </c>
      <c r="AD18" s="53"/>
      <c r="AE18" s="56"/>
      <c r="AF18" s="55"/>
      <c r="AG18" s="54"/>
      <c r="AH18" s="106"/>
      <c r="AI18" s="53" t="str">
        <f t="shared" si="6"/>
        <v/>
      </c>
      <c r="AJ18" s="53">
        <f>AB18+AG18+AF50</f>
        <v>0</v>
      </c>
      <c r="AK18" s="53" t="str">
        <f t="shared" si="7"/>
        <v/>
      </c>
      <c r="AL18" s="53"/>
      <c r="AM18" s="56"/>
      <c r="AN18" s="55"/>
      <c r="AO18" s="54"/>
      <c r="AP18" s="106"/>
      <c r="AQ18" s="53" t="str">
        <f t="shared" si="8"/>
        <v/>
      </c>
      <c r="AR18" s="53">
        <f>AJ18+AO18+AN50</f>
        <v>0</v>
      </c>
      <c r="AS18" s="53" t="str">
        <f t="shared" si="9"/>
        <v/>
      </c>
      <c r="AT18" s="53"/>
      <c r="AU18" s="56"/>
      <c r="AV18" s="55"/>
      <c r="AW18" s="54"/>
      <c r="AX18" s="106"/>
      <c r="AY18" s="53" t="str">
        <f t="shared" si="10"/>
        <v/>
      </c>
      <c r="AZ18" s="53"/>
      <c r="BA18" s="53" t="str">
        <f t="shared" si="11"/>
        <v/>
      </c>
      <c r="BB18" s="53"/>
    </row>
    <row r="19" spans="2:54" ht="54" customHeight="1" x14ac:dyDescent="0.3">
      <c r="B19" s="77"/>
      <c r="D19" s="52" t="s">
        <v>456</v>
      </c>
      <c r="E19" s="52"/>
      <c r="F19" s="52"/>
      <c r="G19" s="52"/>
      <c r="H19" s="52" t="s">
        <v>456</v>
      </c>
      <c r="I19" s="52"/>
      <c r="J19" s="77"/>
      <c r="K19" s="107" t="s">
        <v>480</v>
      </c>
      <c r="L19" s="107"/>
      <c r="M19" s="107"/>
      <c r="N19" s="107"/>
      <c r="O19" s="107"/>
      <c r="P19" s="107"/>
      <c r="Q19" s="107"/>
      <c r="R19" s="77"/>
      <c r="S19" s="107" t="s">
        <v>480</v>
      </c>
      <c r="T19" s="107"/>
      <c r="U19" s="107"/>
      <c r="V19" s="107"/>
      <c r="W19" s="107"/>
      <c r="X19" s="107"/>
      <c r="Y19" s="107"/>
      <c r="Z19" s="77"/>
      <c r="AA19" s="107" t="s">
        <v>480</v>
      </c>
      <c r="AB19" s="107"/>
      <c r="AC19" s="107"/>
      <c r="AD19" s="107"/>
      <c r="AE19" s="107"/>
      <c r="AF19" s="107"/>
      <c r="AG19" s="107"/>
      <c r="AH19" s="77"/>
      <c r="AI19" s="107" t="s">
        <v>480</v>
      </c>
      <c r="AJ19" s="107"/>
      <c r="AK19" s="107"/>
      <c r="AL19" s="107"/>
      <c r="AM19" s="107"/>
      <c r="AN19" s="107"/>
      <c r="AO19" s="107"/>
      <c r="AP19" s="77"/>
      <c r="AQ19" s="107" t="s">
        <v>480</v>
      </c>
      <c r="AR19" s="107"/>
      <c r="AS19" s="107"/>
      <c r="AT19" s="107"/>
      <c r="AU19" s="107"/>
      <c r="AV19" s="107"/>
      <c r="AW19" s="107"/>
      <c r="AX19" s="77"/>
      <c r="AY19" s="48"/>
      <c r="AZ19" s="48"/>
      <c r="BA19" s="48"/>
      <c r="BB19" s="48"/>
    </row>
    <row r="20" spans="2:54" ht="31.2" x14ac:dyDescent="0.35">
      <c r="D20" s="52"/>
      <c r="E20" s="52"/>
      <c r="F20" s="52"/>
      <c r="G20" s="52"/>
      <c r="H20" s="52"/>
      <c r="I20" s="52"/>
      <c r="J20" s="51"/>
      <c r="K20" s="86"/>
      <c r="L20" s="87"/>
      <c r="M20" s="87"/>
      <c r="N20" s="87"/>
      <c r="O20" s="87"/>
      <c r="P20" s="87"/>
      <c r="Q20" s="88"/>
      <c r="R20" s="51"/>
      <c r="S20" s="101"/>
      <c r="T20" s="102"/>
      <c r="U20" s="102"/>
      <c r="V20" s="102"/>
      <c r="W20" s="102"/>
      <c r="X20" s="102"/>
      <c r="Y20" s="103"/>
      <c r="Z20" s="51"/>
      <c r="AA20" s="92"/>
      <c r="AB20" s="93"/>
      <c r="AC20" s="93"/>
      <c r="AD20" s="93"/>
      <c r="AE20" s="93"/>
      <c r="AF20" s="93"/>
      <c r="AG20" s="94"/>
      <c r="AH20" s="51"/>
      <c r="AI20" s="95"/>
      <c r="AJ20" s="96"/>
      <c r="AK20" s="96"/>
      <c r="AL20" s="96"/>
      <c r="AM20" s="96"/>
      <c r="AN20" s="96"/>
      <c r="AO20" s="97"/>
      <c r="AP20" s="51"/>
      <c r="AQ20" s="98"/>
      <c r="AR20" s="99"/>
      <c r="AS20" s="99"/>
      <c r="AT20" s="99"/>
      <c r="AU20" s="99"/>
      <c r="AV20" s="99"/>
      <c r="AW20" s="100"/>
      <c r="AX20" s="49"/>
      <c r="AY20" s="82"/>
      <c r="AZ20" s="83"/>
      <c r="BA20" s="83"/>
      <c r="BB20" s="84"/>
    </row>
    <row r="21" spans="2:54" ht="30" customHeight="1" x14ac:dyDescent="0.3">
      <c r="B21" s="78" t="s">
        <v>479</v>
      </c>
      <c r="C21" s="67" t="s">
        <v>471</v>
      </c>
      <c r="D21" s="65" t="s">
        <v>409</v>
      </c>
      <c r="E21" s="65"/>
      <c r="F21" s="65"/>
      <c r="G21" s="66" t="s">
        <v>470</v>
      </c>
      <c r="H21" s="65" t="s">
        <v>469</v>
      </c>
      <c r="I21" s="64"/>
      <c r="J21" s="104" t="s">
        <v>479</v>
      </c>
      <c r="K21" s="60" t="s">
        <v>409</v>
      </c>
      <c r="L21" s="60" t="s">
        <v>464</v>
      </c>
      <c r="M21" s="60" t="s">
        <v>463</v>
      </c>
      <c r="N21" s="60" t="s">
        <v>462</v>
      </c>
      <c r="O21" s="63" t="s">
        <v>468</v>
      </c>
      <c r="P21" s="62" t="s">
        <v>467</v>
      </c>
      <c r="Q21" s="61" t="s">
        <v>466</v>
      </c>
      <c r="R21" s="104" t="s">
        <v>479</v>
      </c>
      <c r="S21" s="60" t="s">
        <v>409</v>
      </c>
      <c r="T21" s="60" t="s">
        <v>464</v>
      </c>
      <c r="U21" s="60" t="s">
        <v>463</v>
      </c>
      <c r="V21" s="60" t="s">
        <v>462</v>
      </c>
      <c r="W21" s="63" t="s">
        <v>468</v>
      </c>
      <c r="X21" s="62" t="s">
        <v>467</v>
      </c>
      <c r="Y21" s="61" t="s">
        <v>466</v>
      </c>
      <c r="Z21" s="104" t="s">
        <v>479</v>
      </c>
      <c r="AA21" s="60" t="s">
        <v>409</v>
      </c>
      <c r="AB21" s="60" t="s">
        <v>464</v>
      </c>
      <c r="AC21" s="60" t="s">
        <v>463</v>
      </c>
      <c r="AD21" s="60" t="s">
        <v>462</v>
      </c>
      <c r="AE21" s="63" t="s">
        <v>468</v>
      </c>
      <c r="AF21" s="62" t="s">
        <v>467</v>
      </c>
      <c r="AG21" s="61" t="s">
        <v>466</v>
      </c>
      <c r="AH21" s="104" t="s">
        <v>479</v>
      </c>
      <c r="AI21" s="60" t="s">
        <v>409</v>
      </c>
      <c r="AJ21" s="60" t="s">
        <v>464</v>
      </c>
      <c r="AK21" s="60" t="s">
        <v>463</v>
      </c>
      <c r="AL21" s="60" t="s">
        <v>462</v>
      </c>
      <c r="AM21" s="63" t="s">
        <v>468</v>
      </c>
      <c r="AN21" s="62" t="s">
        <v>467</v>
      </c>
      <c r="AO21" s="61" t="s">
        <v>466</v>
      </c>
      <c r="AP21" s="104" t="s">
        <v>479</v>
      </c>
      <c r="AQ21" s="60" t="s">
        <v>409</v>
      </c>
      <c r="AR21" s="60" t="s">
        <v>464</v>
      </c>
      <c r="AS21" s="60" t="s">
        <v>463</v>
      </c>
      <c r="AT21" s="60" t="s">
        <v>462</v>
      </c>
      <c r="AU21" s="63" t="s">
        <v>468</v>
      </c>
      <c r="AV21" s="62" t="s">
        <v>467</v>
      </c>
      <c r="AW21" s="61" t="s">
        <v>466</v>
      </c>
      <c r="AX21" s="104" t="s">
        <v>479</v>
      </c>
      <c r="AY21" s="60" t="s">
        <v>409</v>
      </c>
      <c r="AZ21" s="60" t="s">
        <v>464</v>
      </c>
      <c r="BA21" s="60" t="s">
        <v>463</v>
      </c>
      <c r="BB21" s="60" t="s">
        <v>462</v>
      </c>
    </row>
    <row r="22" spans="2:54" ht="14.4" x14ac:dyDescent="0.3">
      <c r="B22" s="79"/>
      <c r="C22" s="59" t="s">
        <v>450</v>
      </c>
      <c r="D22" s="57"/>
      <c r="E22" s="57" t="str">
        <f>INDEX(Table_Name54104154[Name List],MATCH(C22,Table_Name54104154[Category],0))</f>
        <v>Back_M6[Exercise]</v>
      </c>
      <c r="F22" s="57" t="e">
        <f>INDEX(Links75125175[Link],MATCH(D22,Links75125175[Exercise],0))</f>
        <v>#N/A</v>
      </c>
      <c r="G22" s="58" t="str">
        <f t="shared" ref="G22:G28" si="12">_xlfn.IFNA(HYPERLINK(F22,D22),"")</f>
        <v/>
      </c>
      <c r="H22" s="57"/>
      <c r="I22" s="52"/>
      <c r="J22" s="105"/>
      <c r="K22" s="53" t="str">
        <f t="shared" ref="K22:K28" si="13">IF($D22="","",$D22)</f>
        <v/>
      </c>
      <c r="L22" s="53">
        <v>2</v>
      </c>
      <c r="M22" s="53" t="str">
        <f>IF(MROUND(((H22)*0.9),5)=0,"",MROUND(((H22)*0.9),5))</f>
        <v/>
      </c>
      <c r="N22" s="53" t="s">
        <v>461</v>
      </c>
      <c r="O22" s="56"/>
      <c r="P22" s="55"/>
      <c r="Q22" s="54"/>
      <c r="R22" s="105"/>
      <c r="S22" s="53" t="str">
        <f t="shared" ref="S22:S28" si="14">IF($D22="","",$D22)</f>
        <v/>
      </c>
      <c r="T22" s="53">
        <f>L22+Q22+P54</f>
        <v>2</v>
      </c>
      <c r="U22" s="53" t="str">
        <f t="shared" ref="U22:U28" si="15">IFERROR(MROUND((M22*1.025),5),"")</f>
        <v/>
      </c>
      <c r="V22" s="53" t="s">
        <v>461</v>
      </c>
      <c r="W22" s="56"/>
      <c r="X22" s="55"/>
      <c r="Y22" s="54"/>
      <c r="Z22" s="105"/>
      <c r="AA22" s="53" t="str">
        <f t="shared" ref="AA22:AA28" si="16">IF($D22="","",$D22)</f>
        <v/>
      </c>
      <c r="AB22" s="53">
        <f>T22+Y22+X54</f>
        <v>2</v>
      </c>
      <c r="AC22" s="53" t="str">
        <f t="shared" ref="AC22:AC28" si="17">IFERROR(MROUND((M22*1.05),5),"")</f>
        <v/>
      </c>
      <c r="AD22" s="53" t="s">
        <v>460</v>
      </c>
      <c r="AE22" s="56"/>
      <c r="AF22" s="55"/>
      <c r="AG22" s="54"/>
      <c r="AH22" s="105"/>
      <c r="AI22" s="53" t="str">
        <f t="shared" ref="AI22:AI28" si="18">IF($D22="","",$D22)</f>
        <v/>
      </c>
      <c r="AJ22" s="53">
        <f>AB22+AG22+AF54</f>
        <v>2</v>
      </c>
      <c r="AK22" s="53" t="str">
        <f t="shared" ref="AK22:AK28" si="19">IFERROR(MROUND((M22*1.075),5),"")</f>
        <v/>
      </c>
      <c r="AL22" s="53" t="s">
        <v>460</v>
      </c>
      <c r="AM22" s="56"/>
      <c r="AN22" s="55"/>
      <c r="AO22" s="54"/>
      <c r="AP22" s="105"/>
      <c r="AQ22" s="53" t="str">
        <f t="shared" ref="AQ22:AQ28" si="20">IF($D22="","",$D22)</f>
        <v/>
      </c>
      <c r="AR22" s="53">
        <f>AJ22+AO22+AN54</f>
        <v>2</v>
      </c>
      <c r="AS22" s="53" t="str">
        <f t="shared" ref="AS22:AS28" si="21">IFERROR(MROUND((M22*1.1),5),"")</f>
        <v/>
      </c>
      <c r="AT22" s="53" t="s">
        <v>459</v>
      </c>
      <c r="AU22" s="56"/>
      <c r="AV22" s="55"/>
      <c r="AW22" s="54"/>
      <c r="AX22" s="105"/>
      <c r="AY22" s="53" t="str">
        <f t="shared" ref="AY22:AY28" si="22">IF($D22="","",$D22)</f>
        <v/>
      </c>
      <c r="AZ22" s="53">
        <v>2</v>
      </c>
      <c r="BA22" s="53" t="str">
        <f t="shared" ref="BA22:BA28" si="23">M22</f>
        <v/>
      </c>
      <c r="BB22" s="53" t="s">
        <v>458</v>
      </c>
    </row>
    <row r="23" spans="2:54" ht="14.4" hidden="1" x14ac:dyDescent="0.3">
      <c r="B23" s="79"/>
      <c r="C23" s="59"/>
      <c r="D23" s="57"/>
      <c r="E23" s="57" t="e">
        <f>INDEX(Table_Name54104154[Name List],MATCH(C23,Table_Name54104154[Category],0))</f>
        <v>#N/A</v>
      </c>
      <c r="F23" s="57" t="e">
        <f>INDEX(Links75125175[Link],MATCH(D23,Links75125175[Exercise],0))</f>
        <v>#N/A</v>
      </c>
      <c r="G23" s="58" t="str">
        <f t="shared" si="12"/>
        <v/>
      </c>
      <c r="H23" s="57"/>
      <c r="I23" s="52"/>
      <c r="J23" s="105"/>
      <c r="K23" s="53" t="str">
        <f t="shared" si="13"/>
        <v/>
      </c>
      <c r="L23" s="53"/>
      <c r="M23" s="53" t="str">
        <f>IF(MROUND(((H23)*0.8),5)=0,"",MROUND(((H23)*0.8),5))</f>
        <v/>
      </c>
      <c r="N23" s="53"/>
      <c r="O23" s="56"/>
      <c r="P23" s="55"/>
      <c r="Q23" s="54"/>
      <c r="R23" s="105"/>
      <c r="S23" s="53" t="str">
        <f t="shared" si="14"/>
        <v/>
      </c>
      <c r="T23" s="53">
        <f>L23+Q23+P55</f>
        <v>0</v>
      </c>
      <c r="U23" s="53" t="str">
        <f t="shared" si="15"/>
        <v/>
      </c>
      <c r="V23" s="53"/>
      <c r="W23" s="56"/>
      <c r="X23" s="55"/>
      <c r="Y23" s="54"/>
      <c r="Z23" s="105"/>
      <c r="AA23" s="53" t="str">
        <f t="shared" si="16"/>
        <v/>
      </c>
      <c r="AB23" s="53">
        <f>T23+Y23+X55</f>
        <v>0</v>
      </c>
      <c r="AC23" s="53" t="str">
        <f t="shared" si="17"/>
        <v/>
      </c>
      <c r="AD23" s="53"/>
      <c r="AE23" s="56"/>
      <c r="AF23" s="55"/>
      <c r="AG23" s="54"/>
      <c r="AH23" s="105"/>
      <c r="AI23" s="53" t="str">
        <f t="shared" si="18"/>
        <v/>
      </c>
      <c r="AJ23" s="53">
        <f>AB23+AG23+AF55</f>
        <v>0</v>
      </c>
      <c r="AK23" s="53" t="str">
        <f t="shared" si="19"/>
        <v/>
      </c>
      <c r="AL23" s="53"/>
      <c r="AM23" s="56"/>
      <c r="AN23" s="55"/>
      <c r="AO23" s="54"/>
      <c r="AP23" s="105"/>
      <c r="AQ23" s="53" t="str">
        <f t="shared" si="20"/>
        <v/>
      </c>
      <c r="AR23" s="53">
        <f>AJ23+AO23+AN55</f>
        <v>0</v>
      </c>
      <c r="AS23" s="53" t="str">
        <f t="shared" si="21"/>
        <v/>
      </c>
      <c r="AT23" s="53"/>
      <c r="AU23" s="56"/>
      <c r="AV23" s="55"/>
      <c r="AW23" s="54"/>
      <c r="AX23" s="105"/>
      <c r="AY23" s="53" t="str">
        <f t="shared" si="22"/>
        <v/>
      </c>
      <c r="AZ23" s="53"/>
      <c r="BA23" s="53" t="str">
        <f t="shared" si="23"/>
        <v/>
      </c>
      <c r="BB23" s="53"/>
    </row>
    <row r="24" spans="2:54" ht="14.4" x14ac:dyDescent="0.3">
      <c r="B24" s="79"/>
      <c r="C24" s="59" t="s">
        <v>349</v>
      </c>
      <c r="D24" s="57"/>
      <c r="E24" s="57" t="str">
        <f>INDEX(Table_Name54104154[Name List],MATCH(C24,Table_Name54104154[Category],0))</f>
        <v>Biceps_M6[Exercise]</v>
      </c>
      <c r="F24" s="57" t="e">
        <f>INDEX(Links75125175[Link],MATCH(D24,Links75125175[Exercise],0))</f>
        <v>#N/A</v>
      </c>
      <c r="G24" s="58" t="str">
        <f t="shared" si="12"/>
        <v/>
      </c>
      <c r="H24" s="57"/>
      <c r="I24" s="52"/>
      <c r="J24" s="105"/>
      <c r="K24" s="53" t="str">
        <f t="shared" si="13"/>
        <v/>
      </c>
      <c r="L24" s="53">
        <v>3</v>
      </c>
      <c r="M24" s="53" t="str">
        <f>IF(MROUND(((H24)*0.9),5)=0,"",MROUND(((H24)*0.9),5))</f>
        <v/>
      </c>
      <c r="N24" s="53" t="s">
        <v>461</v>
      </c>
      <c r="O24" s="56"/>
      <c r="P24" s="55"/>
      <c r="Q24" s="54"/>
      <c r="R24" s="105"/>
      <c r="S24" s="53" t="str">
        <f t="shared" si="14"/>
        <v/>
      </c>
      <c r="T24" s="53">
        <f>L24+Q24+P58</f>
        <v>3</v>
      </c>
      <c r="U24" s="53" t="str">
        <f t="shared" si="15"/>
        <v/>
      </c>
      <c r="V24" s="53" t="s">
        <v>461</v>
      </c>
      <c r="W24" s="56"/>
      <c r="X24" s="55"/>
      <c r="Y24" s="54"/>
      <c r="Z24" s="105"/>
      <c r="AA24" s="53" t="str">
        <f t="shared" si="16"/>
        <v/>
      </c>
      <c r="AB24" s="53">
        <f>T24+Y24+X58</f>
        <v>3</v>
      </c>
      <c r="AC24" s="53" t="str">
        <f t="shared" si="17"/>
        <v/>
      </c>
      <c r="AD24" s="53" t="s">
        <v>460</v>
      </c>
      <c r="AE24" s="56"/>
      <c r="AF24" s="55"/>
      <c r="AG24" s="54"/>
      <c r="AH24" s="105"/>
      <c r="AI24" s="53" t="str">
        <f t="shared" si="18"/>
        <v/>
      </c>
      <c r="AJ24" s="53">
        <f>AB24+AG24+AF58</f>
        <v>3</v>
      </c>
      <c r="AK24" s="53" t="str">
        <f t="shared" si="19"/>
        <v/>
      </c>
      <c r="AL24" s="53" t="s">
        <v>460</v>
      </c>
      <c r="AM24" s="56"/>
      <c r="AN24" s="55"/>
      <c r="AO24" s="54"/>
      <c r="AP24" s="105"/>
      <c r="AQ24" s="53" t="str">
        <f t="shared" si="20"/>
        <v/>
      </c>
      <c r="AR24" s="53">
        <f>AJ24+AO24+AN58</f>
        <v>3</v>
      </c>
      <c r="AS24" s="53" t="str">
        <f t="shared" si="21"/>
        <v/>
      </c>
      <c r="AT24" s="53" t="s">
        <v>459</v>
      </c>
      <c r="AU24" s="56"/>
      <c r="AV24" s="55"/>
      <c r="AW24" s="54"/>
      <c r="AX24" s="105"/>
      <c r="AY24" s="53" t="str">
        <f t="shared" si="22"/>
        <v/>
      </c>
      <c r="AZ24" s="53">
        <v>2</v>
      </c>
      <c r="BA24" s="53" t="str">
        <f t="shared" si="23"/>
        <v/>
      </c>
      <c r="BB24" s="53" t="s">
        <v>458</v>
      </c>
    </row>
    <row r="25" spans="2:54" ht="14.4" hidden="1" x14ac:dyDescent="0.3">
      <c r="B25" s="79"/>
      <c r="C25" s="59"/>
      <c r="D25" s="57"/>
      <c r="E25" s="57" t="e">
        <f>INDEX(Table_Name54104154[Name List],MATCH(C25,Table_Name54104154[Category],0))</f>
        <v>#N/A</v>
      </c>
      <c r="F25" s="57" t="e">
        <f>INDEX(Links75125175[Link],MATCH(D25,Links75125175[Exercise],0))</f>
        <v>#N/A</v>
      </c>
      <c r="G25" s="58" t="str">
        <f t="shared" si="12"/>
        <v/>
      </c>
      <c r="H25" s="57"/>
      <c r="I25" s="52"/>
      <c r="J25" s="105"/>
      <c r="K25" s="53" t="str">
        <f t="shared" si="13"/>
        <v/>
      </c>
      <c r="L25" s="53"/>
      <c r="M25" s="53" t="str">
        <f>IF(MROUND(((H25)*0.8),5)=0,"",MROUND(((H25)*0.8),5))</f>
        <v/>
      </c>
      <c r="N25" s="53"/>
      <c r="O25" s="56"/>
      <c r="P25" s="55"/>
      <c r="Q25" s="54"/>
      <c r="R25" s="105"/>
      <c r="S25" s="53" t="str">
        <f t="shared" si="14"/>
        <v/>
      </c>
      <c r="T25" s="53">
        <f>L25+Q25+P59</f>
        <v>0</v>
      </c>
      <c r="U25" s="53" t="str">
        <f t="shared" si="15"/>
        <v/>
      </c>
      <c r="V25" s="53"/>
      <c r="W25" s="56"/>
      <c r="X25" s="55"/>
      <c r="Y25" s="54"/>
      <c r="Z25" s="105"/>
      <c r="AA25" s="53" t="str">
        <f t="shared" si="16"/>
        <v/>
      </c>
      <c r="AB25" s="53">
        <f>T25+Y25+X59</f>
        <v>0</v>
      </c>
      <c r="AC25" s="53" t="str">
        <f t="shared" si="17"/>
        <v/>
      </c>
      <c r="AD25" s="53"/>
      <c r="AE25" s="56"/>
      <c r="AF25" s="55"/>
      <c r="AG25" s="54"/>
      <c r="AH25" s="105"/>
      <c r="AI25" s="53" t="str">
        <f t="shared" si="18"/>
        <v/>
      </c>
      <c r="AJ25" s="53">
        <f>AB25+AG25+AF59</f>
        <v>0</v>
      </c>
      <c r="AK25" s="53" t="str">
        <f t="shared" si="19"/>
        <v/>
      </c>
      <c r="AL25" s="53"/>
      <c r="AM25" s="56"/>
      <c r="AN25" s="55"/>
      <c r="AO25" s="54"/>
      <c r="AP25" s="105"/>
      <c r="AQ25" s="53" t="str">
        <f t="shared" si="20"/>
        <v/>
      </c>
      <c r="AR25" s="53">
        <f>AJ25+AO25+AN59</f>
        <v>0</v>
      </c>
      <c r="AS25" s="53" t="str">
        <f t="shared" si="21"/>
        <v/>
      </c>
      <c r="AT25" s="53"/>
      <c r="AU25" s="56"/>
      <c r="AV25" s="55"/>
      <c r="AW25" s="54"/>
      <c r="AX25" s="105"/>
      <c r="AY25" s="53" t="str">
        <f t="shared" si="22"/>
        <v/>
      </c>
      <c r="AZ25" s="53"/>
      <c r="BA25" s="53" t="str">
        <f t="shared" si="23"/>
        <v/>
      </c>
      <c r="BB25" s="53"/>
    </row>
    <row r="26" spans="2:54" ht="14.4" x14ac:dyDescent="0.3">
      <c r="B26" s="79"/>
      <c r="C26" s="59" t="s">
        <v>416</v>
      </c>
      <c r="D26" s="57"/>
      <c r="E26" s="57" t="str">
        <f>INDEX(Table_Name54104154[Name List],MATCH(C26,Table_Name54104154[Category],0))</f>
        <v>Shoulders_M6[Exercise]</v>
      </c>
      <c r="F26" s="57" t="e">
        <f>INDEX(Links75125175[Link],MATCH(D26,Links75125175[Exercise],0))</f>
        <v>#N/A</v>
      </c>
      <c r="G26" s="58" t="str">
        <f t="shared" si="12"/>
        <v/>
      </c>
      <c r="H26" s="57"/>
      <c r="I26" s="52"/>
      <c r="J26" s="105"/>
      <c r="K26" s="53" t="str">
        <f t="shared" si="13"/>
        <v/>
      </c>
      <c r="L26" s="53">
        <v>3</v>
      </c>
      <c r="M26" s="53" t="str">
        <f>IF(MROUND(((H26)*0.9),5)=0,"",MROUND(((H26)*0.9),5))</f>
        <v/>
      </c>
      <c r="N26" s="53" t="s">
        <v>461</v>
      </c>
      <c r="O26" s="56"/>
      <c r="P26" s="55"/>
      <c r="Q26" s="54"/>
      <c r="R26" s="105"/>
      <c r="S26" s="53" t="str">
        <f t="shared" si="14"/>
        <v/>
      </c>
      <c r="T26" s="53">
        <f>L26+Q26</f>
        <v>3</v>
      </c>
      <c r="U26" s="53" t="str">
        <f t="shared" si="15"/>
        <v/>
      </c>
      <c r="V26" s="53" t="s">
        <v>461</v>
      </c>
      <c r="W26" s="56"/>
      <c r="X26" s="55"/>
      <c r="Y26" s="54"/>
      <c r="Z26" s="105"/>
      <c r="AA26" s="53" t="str">
        <f t="shared" si="16"/>
        <v/>
      </c>
      <c r="AB26" s="53">
        <f>T26+Y26</f>
        <v>3</v>
      </c>
      <c r="AC26" s="53" t="str">
        <f t="shared" si="17"/>
        <v/>
      </c>
      <c r="AD26" s="53" t="s">
        <v>460</v>
      </c>
      <c r="AE26" s="56"/>
      <c r="AF26" s="55"/>
      <c r="AG26" s="54"/>
      <c r="AH26" s="105"/>
      <c r="AI26" s="53" t="str">
        <f t="shared" si="18"/>
        <v/>
      </c>
      <c r="AJ26" s="53">
        <f>AB26+AG26</f>
        <v>3</v>
      </c>
      <c r="AK26" s="53" t="str">
        <f t="shared" si="19"/>
        <v/>
      </c>
      <c r="AL26" s="53" t="s">
        <v>460</v>
      </c>
      <c r="AM26" s="56"/>
      <c r="AN26" s="55"/>
      <c r="AO26" s="54"/>
      <c r="AP26" s="105"/>
      <c r="AQ26" s="53" t="str">
        <f t="shared" si="20"/>
        <v/>
      </c>
      <c r="AR26" s="53">
        <f>AJ26+AO26</f>
        <v>3</v>
      </c>
      <c r="AS26" s="53" t="str">
        <f t="shared" si="21"/>
        <v/>
      </c>
      <c r="AT26" s="53" t="s">
        <v>459</v>
      </c>
      <c r="AU26" s="56"/>
      <c r="AV26" s="55"/>
      <c r="AW26" s="54"/>
      <c r="AX26" s="105"/>
      <c r="AY26" s="53" t="str">
        <f t="shared" si="22"/>
        <v/>
      </c>
      <c r="AZ26" s="53">
        <v>2</v>
      </c>
      <c r="BA26" s="53" t="str">
        <f t="shared" si="23"/>
        <v/>
      </c>
      <c r="BB26" s="53" t="s">
        <v>458</v>
      </c>
    </row>
    <row r="27" spans="2:54" ht="14.4" hidden="1" x14ac:dyDescent="0.3">
      <c r="B27" s="79"/>
      <c r="C27" s="59"/>
      <c r="D27" s="57"/>
      <c r="E27" s="57" t="e">
        <f>INDEX(Table_Name54104154[Name List],MATCH(C27,Table_Name54104154[Category],0))</f>
        <v>#N/A</v>
      </c>
      <c r="F27" s="57" t="e">
        <f>INDEX(Links75125175[Link],MATCH(D27,Links75125175[Exercise],0))</f>
        <v>#N/A</v>
      </c>
      <c r="G27" s="58" t="str">
        <f t="shared" si="12"/>
        <v/>
      </c>
      <c r="H27" s="57"/>
      <c r="I27" s="52"/>
      <c r="J27" s="105"/>
      <c r="K27" s="53" t="str">
        <f t="shared" si="13"/>
        <v/>
      </c>
      <c r="L27" s="53"/>
      <c r="M27" s="53" t="str">
        <f>IF(MROUND(((H27)*0.8),5)=0,"",MROUND(((H27)*0.8),5))</f>
        <v/>
      </c>
      <c r="N27" s="53"/>
      <c r="O27" s="56"/>
      <c r="P27" s="55"/>
      <c r="Q27" s="54"/>
      <c r="R27" s="105"/>
      <c r="S27" s="53" t="str">
        <f t="shared" si="14"/>
        <v/>
      </c>
      <c r="T27" s="53">
        <f>L27+Q27</f>
        <v>0</v>
      </c>
      <c r="U27" s="53" t="str">
        <f t="shared" si="15"/>
        <v/>
      </c>
      <c r="V27" s="53"/>
      <c r="W27" s="56"/>
      <c r="X27" s="55"/>
      <c r="Y27" s="54"/>
      <c r="Z27" s="105"/>
      <c r="AA27" s="53" t="str">
        <f t="shared" si="16"/>
        <v/>
      </c>
      <c r="AB27" s="53">
        <f>T27+Y27</f>
        <v>0</v>
      </c>
      <c r="AC27" s="53" t="str">
        <f t="shared" si="17"/>
        <v/>
      </c>
      <c r="AD27" s="53"/>
      <c r="AE27" s="56"/>
      <c r="AF27" s="55"/>
      <c r="AG27" s="54"/>
      <c r="AH27" s="105"/>
      <c r="AI27" s="53" t="str">
        <f t="shared" si="18"/>
        <v/>
      </c>
      <c r="AJ27" s="53">
        <f>AB27+AG27</f>
        <v>0</v>
      </c>
      <c r="AK27" s="53" t="str">
        <f t="shared" si="19"/>
        <v/>
      </c>
      <c r="AL27" s="53"/>
      <c r="AM27" s="56"/>
      <c r="AN27" s="55"/>
      <c r="AO27" s="54"/>
      <c r="AP27" s="105"/>
      <c r="AQ27" s="53" t="str">
        <f t="shared" si="20"/>
        <v/>
      </c>
      <c r="AR27" s="53">
        <f>AJ27+AO27</f>
        <v>0</v>
      </c>
      <c r="AS27" s="53" t="str">
        <f t="shared" si="21"/>
        <v/>
      </c>
      <c r="AT27" s="53"/>
      <c r="AU27" s="56"/>
      <c r="AV27" s="55"/>
      <c r="AW27" s="54"/>
      <c r="AX27" s="105"/>
      <c r="AY27" s="53" t="str">
        <f t="shared" si="22"/>
        <v/>
      </c>
      <c r="AZ27" s="53"/>
      <c r="BA27" s="53" t="str">
        <f t="shared" si="23"/>
        <v/>
      </c>
      <c r="BB27" s="53"/>
    </row>
    <row r="28" spans="2:54" ht="14.4" x14ac:dyDescent="0.3">
      <c r="B28" s="80"/>
      <c r="C28" s="59" t="s">
        <v>438</v>
      </c>
      <c r="D28" s="57"/>
      <c r="E28" s="57" t="str">
        <f>INDEX(Table_Name54104154[Name List],MATCH(C28,Table_Name54104154[Category],0))</f>
        <v>Forearms_M6[Exercise]</v>
      </c>
      <c r="F28" s="57" t="e">
        <f>INDEX(Links75125175[Link],MATCH(D28,Links75125175[Exercise],0))</f>
        <v>#N/A</v>
      </c>
      <c r="G28" s="58" t="str">
        <f t="shared" si="12"/>
        <v/>
      </c>
      <c r="H28" s="57"/>
      <c r="I28" s="52"/>
      <c r="J28" s="106"/>
      <c r="K28" s="53" t="str">
        <f t="shared" si="13"/>
        <v/>
      </c>
      <c r="L28" s="53">
        <v>3</v>
      </c>
      <c r="M28" s="53" t="str">
        <f>IF(MROUND(((H28)*0.8),5)=0,"",MROUND(((H28)*0.8),5))</f>
        <v/>
      </c>
      <c r="N28" s="53" t="s">
        <v>461</v>
      </c>
      <c r="O28" s="56"/>
      <c r="P28" s="55"/>
      <c r="Q28" s="54"/>
      <c r="R28" s="106"/>
      <c r="S28" s="53" t="str">
        <f t="shared" si="14"/>
        <v/>
      </c>
      <c r="T28" s="53">
        <f>L28+Q28+P60</f>
        <v>3</v>
      </c>
      <c r="U28" s="53" t="str">
        <f t="shared" si="15"/>
        <v/>
      </c>
      <c r="V28" s="53" t="s">
        <v>461</v>
      </c>
      <c r="W28" s="56"/>
      <c r="X28" s="55"/>
      <c r="Y28" s="54"/>
      <c r="Z28" s="106"/>
      <c r="AA28" s="53" t="str">
        <f t="shared" si="16"/>
        <v/>
      </c>
      <c r="AB28" s="53">
        <f>T28+Y28+X60</f>
        <v>3</v>
      </c>
      <c r="AC28" s="53" t="str">
        <f t="shared" si="17"/>
        <v/>
      </c>
      <c r="AD28" s="53" t="s">
        <v>460</v>
      </c>
      <c r="AE28" s="56"/>
      <c r="AF28" s="55"/>
      <c r="AG28" s="54"/>
      <c r="AH28" s="106"/>
      <c r="AI28" s="53" t="str">
        <f t="shared" si="18"/>
        <v/>
      </c>
      <c r="AJ28" s="53">
        <f>AB28+AG28+AF60</f>
        <v>3</v>
      </c>
      <c r="AK28" s="53" t="str">
        <f t="shared" si="19"/>
        <v/>
      </c>
      <c r="AL28" s="53" t="s">
        <v>460</v>
      </c>
      <c r="AM28" s="56"/>
      <c r="AN28" s="55"/>
      <c r="AO28" s="54"/>
      <c r="AP28" s="106"/>
      <c r="AQ28" s="53" t="str">
        <f t="shared" si="20"/>
        <v/>
      </c>
      <c r="AR28" s="53">
        <f>AJ28+AO28+AN60</f>
        <v>3</v>
      </c>
      <c r="AS28" s="53" t="str">
        <f t="shared" si="21"/>
        <v/>
      </c>
      <c r="AT28" s="53" t="s">
        <v>459</v>
      </c>
      <c r="AU28" s="56"/>
      <c r="AV28" s="55"/>
      <c r="AW28" s="54"/>
      <c r="AX28" s="106"/>
      <c r="AY28" s="53" t="str">
        <f t="shared" si="22"/>
        <v/>
      </c>
      <c r="AZ28" s="53">
        <v>2</v>
      </c>
      <c r="BA28" s="53" t="str">
        <f t="shared" si="23"/>
        <v/>
      </c>
      <c r="BB28" s="53" t="s">
        <v>458</v>
      </c>
    </row>
    <row r="29" spans="2:54" ht="54" customHeight="1" x14ac:dyDescent="0.3">
      <c r="D29" s="52"/>
      <c r="E29" s="52"/>
      <c r="F29" s="52"/>
      <c r="G29" s="52" t="s">
        <v>456</v>
      </c>
      <c r="H29" s="52"/>
      <c r="I29" s="52"/>
      <c r="J29" s="51"/>
      <c r="K29" s="85" t="s">
        <v>478</v>
      </c>
      <c r="L29" s="85"/>
      <c r="M29" s="85"/>
      <c r="N29" s="85"/>
      <c r="O29" s="85"/>
      <c r="P29" s="85"/>
      <c r="Q29" s="85"/>
      <c r="R29" s="50"/>
      <c r="S29" s="85" t="s">
        <v>478</v>
      </c>
      <c r="T29" s="85"/>
      <c r="U29" s="85"/>
      <c r="V29" s="85"/>
      <c r="W29" s="85"/>
      <c r="X29" s="85"/>
      <c r="Y29" s="85"/>
      <c r="Z29" s="50"/>
      <c r="AA29" s="85" t="s">
        <v>478</v>
      </c>
      <c r="AB29" s="85"/>
      <c r="AC29" s="85"/>
      <c r="AD29" s="85"/>
      <c r="AE29" s="85"/>
      <c r="AF29" s="85"/>
      <c r="AG29" s="85"/>
      <c r="AH29" s="50"/>
      <c r="AI29" s="85" t="s">
        <v>478</v>
      </c>
      <c r="AJ29" s="85"/>
      <c r="AK29" s="85"/>
      <c r="AL29" s="85"/>
      <c r="AM29" s="85"/>
      <c r="AN29" s="85"/>
      <c r="AO29" s="85"/>
      <c r="AP29" s="50"/>
      <c r="AQ29" s="85" t="s">
        <v>478</v>
      </c>
      <c r="AR29" s="85"/>
      <c r="AS29" s="85"/>
      <c r="AT29" s="85"/>
      <c r="AU29" s="85"/>
      <c r="AV29" s="85"/>
      <c r="AW29" s="85"/>
      <c r="AX29" s="49"/>
      <c r="AY29" s="48"/>
      <c r="AZ29" s="48"/>
      <c r="BA29" s="48"/>
      <c r="BB29" s="48"/>
    </row>
    <row r="30" spans="2:54" ht="31.5" customHeight="1" x14ac:dyDescent="0.35">
      <c r="D30" s="52"/>
      <c r="E30" s="52"/>
      <c r="F30" s="52"/>
      <c r="G30" s="52"/>
      <c r="H30" s="52"/>
      <c r="I30" s="52"/>
      <c r="J30" s="51"/>
      <c r="K30" s="86"/>
      <c r="L30" s="87"/>
      <c r="M30" s="87"/>
      <c r="N30" s="87"/>
      <c r="O30" s="87"/>
      <c r="P30" s="87"/>
      <c r="Q30" s="88"/>
      <c r="R30" s="51"/>
      <c r="S30" s="101"/>
      <c r="T30" s="102"/>
      <c r="U30" s="102"/>
      <c r="V30" s="102"/>
      <c r="W30" s="102"/>
      <c r="X30" s="102"/>
      <c r="Y30" s="103"/>
      <c r="Z30" s="51"/>
      <c r="AA30" s="92"/>
      <c r="AB30" s="93"/>
      <c r="AC30" s="93"/>
      <c r="AD30" s="93"/>
      <c r="AE30" s="93"/>
      <c r="AF30" s="93"/>
      <c r="AG30" s="94"/>
      <c r="AH30" s="51"/>
      <c r="AI30" s="95"/>
      <c r="AJ30" s="96"/>
      <c r="AK30" s="96"/>
      <c r="AL30" s="96"/>
      <c r="AM30" s="96"/>
      <c r="AN30" s="96"/>
      <c r="AO30" s="97"/>
      <c r="AP30" s="51"/>
      <c r="AQ30" s="98"/>
      <c r="AR30" s="99"/>
      <c r="AS30" s="99"/>
      <c r="AT30" s="99"/>
      <c r="AU30" s="99"/>
      <c r="AV30" s="99"/>
      <c r="AW30" s="100"/>
      <c r="AX30" s="49"/>
      <c r="AY30" s="82"/>
      <c r="AZ30" s="83"/>
      <c r="BA30" s="83"/>
      <c r="BB30" s="84"/>
    </row>
    <row r="31" spans="2:54" ht="30" customHeight="1" x14ac:dyDescent="0.3">
      <c r="B31" s="78" t="s">
        <v>477</v>
      </c>
      <c r="C31" s="67" t="s">
        <v>471</v>
      </c>
      <c r="D31" s="65" t="s">
        <v>409</v>
      </c>
      <c r="E31" s="65"/>
      <c r="F31" s="65"/>
      <c r="G31" s="66" t="s">
        <v>470</v>
      </c>
      <c r="H31" s="65" t="s">
        <v>469</v>
      </c>
      <c r="I31" s="64"/>
      <c r="J31" s="104" t="s">
        <v>477</v>
      </c>
      <c r="K31" s="60" t="s">
        <v>409</v>
      </c>
      <c r="L31" s="60" t="s">
        <v>464</v>
      </c>
      <c r="M31" s="60" t="s">
        <v>463</v>
      </c>
      <c r="N31" s="60" t="s">
        <v>462</v>
      </c>
      <c r="O31" s="63" t="s">
        <v>468</v>
      </c>
      <c r="P31" s="62" t="s">
        <v>467</v>
      </c>
      <c r="Q31" s="61" t="s">
        <v>466</v>
      </c>
      <c r="R31" s="104" t="s">
        <v>477</v>
      </c>
      <c r="S31" s="60" t="s">
        <v>409</v>
      </c>
      <c r="T31" s="60" t="s">
        <v>464</v>
      </c>
      <c r="U31" s="60" t="s">
        <v>463</v>
      </c>
      <c r="V31" s="60" t="s">
        <v>462</v>
      </c>
      <c r="W31" s="63" t="s">
        <v>468</v>
      </c>
      <c r="X31" s="62" t="s">
        <v>467</v>
      </c>
      <c r="Y31" s="61" t="s">
        <v>466</v>
      </c>
      <c r="Z31" s="104" t="s">
        <v>477</v>
      </c>
      <c r="AA31" s="60" t="s">
        <v>409</v>
      </c>
      <c r="AB31" s="60" t="s">
        <v>464</v>
      </c>
      <c r="AC31" s="60" t="s">
        <v>463</v>
      </c>
      <c r="AD31" s="60" t="s">
        <v>462</v>
      </c>
      <c r="AE31" s="63" t="s">
        <v>468</v>
      </c>
      <c r="AF31" s="62" t="s">
        <v>467</v>
      </c>
      <c r="AG31" s="61" t="s">
        <v>466</v>
      </c>
      <c r="AH31" s="104" t="s">
        <v>477</v>
      </c>
      <c r="AI31" s="60" t="s">
        <v>409</v>
      </c>
      <c r="AJ31" s="60" t="s">
        <v>464</v>
      </c>
      <c r="AK31" s="60" t="s">
        <v>463</v>
      </c>
      <c r="AL31" s="60" t="s">
        <v>462</v>
      </c>
      <c r="AM31" s="63" t="s">
        <v>468</v>
      </c>
      <c r="AN31" s="62" t="s">
        <v>467</v>
      </c>
      <c r="AO31" s="61" t="s">
        <v>466</v>
      </c>
      <c r="AP31" s="104" t="s">
        <v>477</v>
      </c>
      <c r="AQ31" s="60" t="s">
        <v>409</v>
      </c>
      <c r="AR31" s="60" t="s">
        <v>464</v>
      </c>
      <c r="AS31" s="60" t="s">
        <v>463</v>
      </c>
      <c r="AT31" s="60" t="s">
        <v>462</v>
      </c>
      <c r="AU31" s="63" t="s">
        <v>468</v>
      </c>
      <c r="AV31" s="62" t="s">
        <v>467</v>
      </c>
      <c r="AW31" s="61" t="s">
        <v>466</v>
      </c>
      <c r="AX31" s="104" t="s">
        <v>477</v>
      </c>
      <c r="AY31" s="60" t="s">
        <v>409</v>
      </c>
      <c r="AZ31" s="60" t="s">
        <v>464</v>
      </c>
      <c r="BA31" s="60" t="s">
        <v>463</v>
      </c>
      <c r="BB31" s="60" t="s">
        <v>462</v>
      </c>
    </row>
    <row r="32" spans="2:54" ht="15" customHeight="1" x14ac:dyDescent="0.3">
      <c r="B32" s="79"/>
      <c r="C32" s="59" t="s">
        <v>111</v>
      </c>
      <c r="D32" s="57"/>
      <c r="E32" s="57" t="str">
        <f>INDEX(Table_Name54104154[Name List],MATCH(C32,Table_Name54104154[Category],0))</f>
        <v>Quads_M6[Exercise]</v>
      </c>
      <c r="F32" s="57" t="e">
        <f>INDEX(Links75125175[Link],MATCH(D32,Links75125175[Exercise],0))</f>
        <v>#N/A</v>
      </c>
      <c r="G32" s="58" t="str">
        <f t="shared" ref="G32:G40" si="24">_xlfn.IFNA(HYPERLINK(F32,D32),"")</f>
        <v/>
      </c>
      <c r="H32" s="57"/>
      <c r="I32" s="52"/>
      <c r="J32" s="105"/>
      <c r="K32" s="53" t="str">
        <f t="shared" ref="K32:K40" si="25">IF($D32="","",$D32)</f>
        <v/>
      </c>
      <c r="L32" s="53">
        <v>2</v>
      </c>
      <c r="M32" s="53" t="str">
        <f>IF(MROUND(((H32)*0.9),5)=0,"",MROUND(((H32)*0.9),5))</f>
        <v/>
      </c>
      <c r="N32" s="53" t="s">
        <v>461</v>
      </c>
      <c r="O32" s="56"/>
      <c r="P32" s="55"/>
      <c r="Q32" s="54"/>
      <c r="R32" s="105"/>
      <c r="S32" s="53" t="str">
        <f t="shared" ref="S32:S40" si="26">IF($D32="","",$D32)</f>
        <v/>
      </c>
      <c r="T32" s="53">
        <f>L32+Q32+P66</f>
        <v>2</v>
      </c>
      <c r="U32" s="53" t="str">
        <f t="shared" ref="U32:U40" si="27">IFERROR(MROUND((M32*1.025),5),"")</f>
        <v/>
      </c>
      <c r="V32" s="53" t="s">
        <v>461</v>
      </c>
      <c r="W32" s="56"/>
      <c r="X32" s="70"/>
      <c r="Y32" s="54"/>
      <c r="Z32" s="105"/>
      <c r="AA32" s="53" t="str">
        <f t="shared" ref="AA32:AA40" si="28">IF($D32="","",$D32)</f>
        <v/>
      </c>
      <c r="AB32" s="53">
        <f>T32+Y32+X66</f>
        <v>2</v>
      </c>
      <c r="AC32" s="53" t="str">
        <f t="shared" ref="AC32:AC40" si="29">IFERROR(MROUND((M32*1.05),5),"")</f>
        <v/>
      </c>
      <c r="AD32" s="53" t="s">
        <v>460</v>
      </c>
      <c r="AE32" s="69"/>
      <c r="AF32" s="55"/>
      <c r="AG32" s="54"/>
      <c r="AH32" s="105"/>
      <c r="AI32" s="53" t="str">
        <f t="shared" ref="AI32:AI40" si="30">IF($D32="","",$D32)</f>
        <v/>
      </c>
      <c r="AJ32" s="53">
        <f>AB32+AG32+AF66</f>
        <v>2</v>
      </c>
      <c r="AK32" s="53" t="str">
        <f t="shared" ref="AK32:AK40" si="31">IFERROR(MROUND((M32*1.075),5),"")</f>
        <v/>
      </c>
      <c r="AL32" s="53" t="s">
        <v>460</v>
      </c>
      <c r="AM32" s="69"/>
      <c r="AN32" s="55"/>
      <c r="AO32" s="54"/>
      <c r="AP32" s="105"/>
      <c r="AQ32" s="53" t="str">
        <f t="shared" ref="AQ32:AQ40" si="32">IF($D32="","",$D32)</f>
        <v/>
      </c>
      <c r="AR32" s="53">
        <f>AJ32+AO32+AN66</f>
        <v>2</v>
      </c>
      <c r="AS32" s="53" t="str">
        <f t="shared" ref="AS32:AS40" si="33">IFERROR(MROUND((M32*1.1),5),"")</f>
        <v/>
      </c>
      <c r="AT32" s="53" t="s">
        <v>459</v>
      </c>
      <c r="AU32" s="69"/>
      <c r="AV32" s="55"/>
      <c r="AW32" s="54"/>
      <c r="AX32" s="105"/>
      <c r="AY32" s="53" t="str">
        <f t="shared" ref="AY32:AY40" si="34">IF($D32="","",$D32)</f>
        <v/>
      </c>
      <c r="AZ32" s="53">
        <v>2</v>
      </c>
      <c r="BA32" s="53" t="str">
        <f t="shared" ref="BA32:BA40" si="35">M32</f>
        <v/>
      </c>
      <c r="BB32" s="53" t="s">
        <v>458</v>
      </c>
    </row>
    <row r="33" spans="2:54" ht="15" customHeight="1" x14ac:dyDescent="0.3">
      <c r="B33" s="79"/>
      <c r="C33" s="59" t="s">
        <v>111</v>
      </c>
      <c r="D33" s="57"/>
      <c r="E33" s="57" t="str">
        <f>INDEX(Table_Name54104154[Name List],MATCH(C33,Table_Name54104154[Category],0))</f>
        <v>Quads_M6[Exercise]</v>
      </c>
      <c r="F33" s="57" t="e">
        <f>INDEX(Links75125175[Link],MATCH(D33,Links75125175[Exercise],0))</f>
        <v>#N/A</v>
      </c>
      <c r="G33" s="58" t="str">
        <f t="shared" si="24"/>
        <v/>
      </c>
      <c r="H33" s="57"/>
      <c r="I33" s="52"/>
      <c r="J33" s="105"/>
      <c r="K33" s="53" t="str">
        <f t="shared" si="25"/>
        <v/>
      </c>
      <c r="L33" s="53">
        <v>2</v>
      </c>
      <c r="M33" s="53" t="str">
        <f>IF(MROUND(((H33)*0.8),5)=0,"",MROUND(((H33)*0.8),5))</f>
        <v/>
      </c>
      <c r="N33" s="53" t="s">
        <v>461</v>
      </c>
      <c r="O33" s="56"/>
      <c r="P33" s="55"/>
      <c r="Q33" s="54"/>
      <c r="R33" s="105"/>
      <c r="S33" s="53" t="str">
        <f t="shared" si="26"/>
        <v/>
      </c>
      <c r="T33" s="53">
        <f>L33+Q33+P67</f>
        <v>2</v>
      </c>
      <c r="U33" s="53" t="str">
        <f t="shared" si="27"/>
        <v/>
      </c>
      <c r="V33" s="53" t="s">
        <v>461</v>
      </c>
      <c r="W33" s="56"/>
      <c r="X33" s="55"/>
      <c r="Y33" s="54"/>
      <c r="Z33" s="105"/>
      <c r="AA33" s="53" t="str">
        <f t="shared" si="28"/>
        <v/>
      </c>
      <c r="AB33" s="53">
        <f>T33+Y33+X67</f>
        <v>2</v>
      </c>
      <c r="AC33" s="53" t="str">
        <f t="shared" si="29"/>
        <v/>
      </c>
      <c r="AD33" s="53" t="s">
        <v>460</v>
      </c>
      <c r="AE33" s="56"/>
      <c r="AF33" s="55"/>
      <c r="AG33" s="54"/>
      <c r="AH33" s="105"/>
      <c r="AI33" s="53" t="str">
        <f t="shared" si="30"/>
        <v/>
      </c>
      <c r="AJ33" s="53">
        <f>AB33+AG33+AF67</f>
        <v>2</v>
      </c>
      <c r="AK33" s="53" t="str">
        <f t="shared" si="31"/>
        <v/>
      </c>
      <c r="AL33" s="53" t="s">
        <v>460</v>
      </c>
      <c r="AM33" s="56"/>
      <c r="AN33" s="55"/>
      <c r="AO33" s="54"/>
      <c r="AP33" s="105"/>
      <c r="AQ33" s="53" t="str">
        <f t="shared" si="32"/>
        <v/>
      </c>
      <c r="AR33" s="53">
        <f>AJ33+AO33+AN67</f>
        <v>2</v>
      </c>
      <c r="AS33" s="53" t="str">
        <f t="shared" si="33"/>
        <v/>
      </c>
      <c r="AT33" s="53" t="s">
        <v>459</v>
      </c>
      <c r="AU33" s="56"/>
      <c r="AV33" s="55"/>
      <c r="AW33" s="54"/>
      <c r="AX33" s="105"/>
      <c r="AY33" s="53" t="str">
        <f t="shared" si="34"/>
        <v/>
      </c>
      <c r="AZ33" s="53">
        <v>2</v>
      </c>
      <c r="BA33" s="53" t="str">
        <f t="shared" si="35"/>
        <v/>
      </c>
      <c r="BB33" s="53" t="s">
        <v>458</v>
      </c>
    </row>
    <row r="34" spans="2:54" ht="15" customHeight="1" x14ac:dyDescent="0.3">
      <c r="B34" s="79"/>
      <c r="C34" s="59" t="s">
        <v>254</v>
      </c>
      <c r="D34" s="57"/>
      <c r="E34" s="57" t="str">
        <f>INDEX(Table_Name54104154[Name List],MATCH(C34,Table_Name54104154[Category],0))</f>
        <v>Glutes_M6[Exercise]</v>
      </c>
      <c r="F34" s="57" t="e">
        <f>INDEX(Links75125175[Link],MATCH(D34,Links75125175[Exercise],0))</f>
        <v>#N/A</v>
      </c>
      <c r="G34" s="58" t="str">
        <f t="shared" si="24"/>
        <v/>
      </c>
      <c r="H34" s="57"/>
      <c r="I34" s="52"/>
      <c r="J34" s="105"/>
      <c r="K34" s="53" t="str">
        <f t="shared" si="25"/>
        <v/>
      </c>
      <c r="L34" s="53">
        <v>2</v>
      </c>
      <c r="M34" s="53" t="str">
        <f>IF(MROUND(((H34)*0.9),5)=0,"",MROUND(((H34)*0.9),5))</f>
        <v/>
      </c>
      <c r="N34" s="53" t="s">
        <v>461</v>
      </c>
      <c r="O34" s="56" t="s">
        <v>456</v>
      </c>
      <c r="P34" s="55"/>
      <c r="Q34" s="54"/>
      <c r="R34" s="105"/>
      <c r="S34" s="53" t="str">
        <f t="shared" si="26"/>
        <v/>
      </c>
      <c r="T34" s="53">
        <f>L34+Q34+P68</f>
        <v>2</v>
      </c>
      <c r="U34" s="53" t="str">
        <f t="shared" si="27"/>
        <v/>
      </c>
      <c r="V34" s="53" t="s">
        <v>461</v>
      </c>
      <c r="W34" s="56" t="s">
        <v>456</v>
      </c>
      <c r="X34" s="55"/>
      <c r="Y34" s="54"/>
      <c r="Z34" s="105"/>
      <c r="AA34" s="53" t="str">
        <f t="shared" si="28"/>
        <v/>
      </c>
      <c r="AB34" s="53">
        <f>T34+Y34+X68</f>
        <v>2</v>
      </c>
      <c r="AC34" s="53" t="str">
        <f t="shared" si="29"/>
        <v/>
      </c>
      <c r="AD34" s="53" t="s">
        <v>460</v>
      </c>
      <c r="AE34" s="56" t="s">
        <v>456</v>
      </c>
      <c r="AF34" s="55"/>
      <c r="AG34" s="54"/>
      <c r="AH34" s="105"/>
      <c r="AI34" s="53" t="str">
        <f t="shared" si="30"/>
        <v/>
      </c>
      <c r="AJ34" s="53">
        <f>AB34+AG34+AF68</f>
        <v>2</v>
      </c>
      <c r="AK34" s="53" t="str">
        <f t="shared" si="31"/>
        <v/>
      </c>
      <c r="AL34" s="53" t="s">
        <v>460</v>
      </c>
      <c r="AM34" s="56" t="s">
        <v>456</v>
      </c>
      <c r="AN34" s="55"/>
      <c r="AO34" s="54"/>
      <c r="AP34" s="105"/>
      <c r="AQ34" s="53" t="str">
        <f t="shared" si="32"/>
        <v/>
      </c>
      <c r="AR34" s="53">
        <f>AJ34+AO34+AN68</f>
        <v>2</v>
      </c>
      <c r="AS34" s="53" t="str">
        <f t="shared" si="33"/>
        <v/>
      </c>
      <c r="AT34" s="53" t="s">
        <v>459</v>
      </c>
      <c r="AU34" s="56" t="s">
        <v>456</v>
      </c>
      <c r="AV34" s="55"/>
      <c r="AW34" s="54"/>
      <c r="AX34" s="105"/>
      <c r="AY34" s="53" t="str">
        <f t="shared" si="34"/>
        <v/>
      </c>
      <c r="AZ34" s="53">
        <v>2</v>
      </c>
      <c r="BA34" s="53" t="str">
        <f t="shared" si="35"/>
        <v/>
      </c>
      <c r="BB34" s="53" t="s">
        <v>458</v>
      </c>
    </row>
    <row r="35" spans="2:54" ht="15" hidden="1" customHeight="1" x14ac:dyDescent="0.3">
      <c r="B35" s="79"/>
      <c r="C35" s="59"/>
      <c r="D35" s="57"/>
      <c r="E35" s="57" t="e">
        <f>INDEX(Table_Name54104154[Name List],MATCH(C35,Table_Name54104154[Category],0))</f>
        <v>#N/A</v>
      </c>
      <c r="F35" s="57" t="e">
        <f>INDEX(Links75125175[Link],MATCH(D35,Links75125175[Exercise],0))</f>
        <v>#N/A</v>
      </c>
      <c r="G35" s="58" t="str">
        <f t="shared" si="24"/>
        <v/>
      </c>
      <c r="H35" s="57"/>
      <c r="I35" s="52"/>
      <c r="J35" s="105"/>
      <c r="K35" s="53" t="str">
        <f t="shared" si="25"/>
        <v/>
      </c>
      <c r="L35" s="53"/>
      <c r="M35" s="53" t="str">
        <f>IF(MROUND(((H35)*0.8),5)=0,"",MROUND(((H35)*0.8),5))</f>
        <v/>
      </c>
      <c r="N35" s="53"/>
      <c r="O35" s="56"/>
      <c r="P35" s="55"/>
      <c r="Q35" s="54"/>
      <c r="R35" s="105"/>
      <c r="S35" s="53" t="str">
        <f t="shared" si="26"/>
        <v/>
      </c>
      <c r="T35" s="53">
        <f>L35+Q35+P69</f>
        <v>0</v>
      </c>
      <c r="U35" s="53" t="str">
        <f t="shared" si="27"/>
        <v/>
      </c>
      <c r="V35" s="53"/>
      <c r="W35" s="56"/>
      <c r="X35" s="70"/>
      <c r="Y35" s="54"/>
      <c r="Z35" s="105"/>
      <c r="AA35" s="53" t="str">
        <f t="shared" si="28"/>
        <v/>
      </c>
      <c r="AB35" s="53">
        <f>T35+Y35+X69</f>
        <v>0</v>
      </c>
      <c r="AC35" s="53" t="str">
        <f t="shared" si="29"/>
        <v/>
      </c>
      <c r="AD35" s="53"/>
      <c r="AE35" s="69"/>
      <c r="AF35" s="55"/>
      <c r="AG35" s="54"/>
      <c r="AH35" s="105"/>
      <c r="AI35" s="53" t="str">
        <f t="shared" si="30"/>
        <v/>
      </c>
      <c r="AJ35" s="53">
        <f>AB35+AG35+AF69</f>
        <v>0</v>
      </c>
      <c r="AK35" s="53" t="str">
        <f t="shared" si="31"/>
        <v/>
      </c>
      <c r="AL35" s="53"/>
      <c r="AM35" s="69"/>
      <c r="AN35" s="55"/>
      <c r="AO35" s="54"/>
      <c r="AP35" s="105"/>
      <c r="AQ35" s="53" t="str">
        <f t="shared" si="32"/>
        <v/>
      </c>
      <c r="AR35" s="53">
        <f>AJ35+AO35+AN69</f>
        <v>0</v>
      </c>
      <c r="AS35" s="53" t="str">
        <f t="shared" si="33"/>
        <v/>
      </c>
      <c r="AT35" s="53"/>
      <c r="AU35" s="69"/>
      <c r="AV35" s="55"/>
      <c r="AW35" s="54"/>
      <c r="AX35" s="105"/>
      <c r="AY35" s="53" t="str">
        <f t="shared" si="34"/>
        <v/>
      </c>
      <c r="AZ35" s="53"/>
      <c r="BA35" s="53" t="str">
        <f t="shared" si="35"/>
        <v/>
      </c>
      <c r="BB35" s="53"/>
    </row>
    <row r="36" spans="2:54" ht="15" customHeight="1" x14ac:dyDescent="0.3">
      <c r="B36" s="79"/>
      <c r="C36" s="59" t="s">
        <v>430</v>
      </c>
      <c r="D36" s="57"/>
      <c r="E36" s="57" t="str">
        <f>INDEX(Table_Name54104154[Name List],MATCH(C36,Table_Name54104154[Category],0))</f>
        <v>Hamstrings_M6[Exercise]</v>
      </c>
      <c r="F36" s="57" t="e">
        <f>INDEX(Links75125175[Link],MATCH(D36,Links75125175[Exercise],0))</f>
        <v>#N/A</v>
      </c>
      <c r="G36" s="58" t="str">
        <f t="shared" si="24"/>
        <v/>
      </c>
      <c r="H36" s="57"/>
      <c r="I36" s="52"/>
      <c r="J36" s="105"/>
      <c r="K36" s="53" t="str">
        <f t="shared" si="25"/>
        <v/>
      </c>
      <c r="L36" s="53">
        <v>2</v>
      </c>
      <c r="M36" s="53" t="str">
        <f>IF(MROUND(((H36)*0.9),5)=0,"",MROUND(((H36)*0.9),5))</f>
        <v/>
      </c>
      <c r="N36" s="53" t="s">
        <v>461</v>
      </c>
      <c r="O36" s="56"/>
      <c r="P36" s="55"/>
      <c r="Q36" s="54"/>
      <c r="R36" s="105"/>
      <c r="S36" s="53" t="str">
        <f t="shared" si="26"/>
        <v/>
      </c>
      <c r="T36" s="53">
        <f>L36+Q36+P64</f>
        <v>2</v>
      </c>
      <c r="U36" s="53" t="str">
        <f t="shared" si="27"/>
        <v/>
      </c>
      <c r="V36" s="53" t="s">
        <v>461</v>
      </c>
      <c r="W36" s="56"/>
      <c r="X36" s="70"/>
      <c r="Y36" s="54"/>
      <c r="Z36" s="105"/>
      <c r="AA36" s="53" t="str">
        <f t="shared" si="28"/>
        <v/>
      </c>
      <c r="AB36" s="53">
        <f>T36+Y36+X64</f>
        <v>2</v>
      </c>
      <c r="AC36" s="53" t="str">
        <f t="shared" si="29"/>
        <v/>
      </c>
      <c r="AD36" s="53" t="s">
        <v>460</v>
      </c>
      <c r="AE36" s="69"/>
      <c r="AF36" s="55"/>
      <c r="AG36" s="54"/>
      <c r="AH36" s="105"/>
      <c r="AI36" s="53" t="str">
        <f t="shared" si="30"/>
        <v/>
      </c>
      <c r="AJ36" s="53">
        <f>AB36+AG36+AF64</f>
        <v>2</v>
      </c>
      <c r="AK36" s="53" t="str">
        <f t="shared" si="31"/>
        <v/>
      </c>
      <c r="AL36" s="53" t="s">
        <v>460</v>
      </c>
      <c r="AM36" s="69"/>
      <c r="AN36" s="55"/>
      <c r="AO36" s="54"/>
      <c r="AP36" s="105"/>
      <c r="AQ36" s="53" t="str">
        <f t="shared" si="32"/>
        <v/>
      </c>
      <c r="AR36" s="53">
        <f>AJ36+AO36+AN64</f>
        <v>2</v>
      </c>
      <c r="AS36" s="53" t="str">
        <f t="shared" si="33"/>
        <v/>
      </c>
      <c r="AT36" s="53" t="s">
        <v>459</v>
      </c>
      <c r="AU36" s="69"/>
      <c r="AV36" s="55"/>
      <c r="AW36" s="54"/>
      <c r="AX36" s="105"/>
      <c r="AY36" s="53" t="str">
        <f t="shared" si="34"/>
        <v/>
      </c>
      <c r="AZ36" s="53">
        <v>2</v>
      </c>
      <c r="BA36" s="53" t="str">
        <f t="shared" si="35"/>
        <v/>
      </c>
      <c r="BB36" s="53" t="s">
        <v>458</v>
      </c>
    </row>
    <row r="37" spans="2:54" ht="15" hidden="1" customHeight="1" x14ac:dyDescent="0.3">
      <c r="B37" s="79"/>
      <c r="C37" s="59"/>
      <c r="D37" s="57"/>
      <c r="E37" s="57" t="e">
        <f>INDEX(Table_Name54104154[Name List],MATCH(C37,Table_Name54104154[Category],0))</f>
        <v>#N/A</v>
      </c>
      <c r="F37" s="57" t="e">
        <f>INDEX(Links75125175[Link],MATCH(D37,Links75125175[Exercise],0))</f>
        <v>#N/A</v>
      </c>
      <c r="G37" s="58" t="str">
        <f t="shared" si="24"/>
        <v/>
      </c>
      <c r="H37" s="57"/>
      <c r="I37" s="52"/>
      <c r="J37" s="105"/>
      <c r="K37" s="53" t="str">
        <f t="shared" si="25"/>
        <v/>
      </c>
      <c r="L37" s="53"/>
      <c r="M37" s="53" t="str">
        <f>IF(MROUND(((H37)*0.8),5)=0,"",MROUND(((H37)*0.8),5))</f>
        <v/>
      </c>
      <c r="N37" s="53"/>
      <c r="O37" s="56"/>
      <c r="P37" s="55"/>
      <c r="Q37" s="54"/>
      <c r="R37" s="105"/>
      <c r="S37" s="53" t="str">
        <f t="shared" si="26"/>
        <v/>
      </c>
      <c r="T37" s="53">
        <f>L37+Q37+P65</f>
        <v>0</v>
      </c>
      <c r="U37" s="53" t="str">
        <f t="shared" si="27"/>
        <v/>
      </c>
      <c r="V37" s="53"/>
      <c r="W37" s="56"/>
      <c r="X37" s="70"/>
      <c r="Y37" s="54"/>
      <c r="Z37" s="105"/>
      <c r="AA37" s="53" t="str">
        <f t="shared" si="28"/>
        <v/>
      </c>
      <c r="AB37" s="53">
        <f>T37+Y37+X65</f>
        <v>0</v>
      </c>
      <c r="AC37" s="53" t="str">
        <f t="shared" si="29"/>
        <v/>
      </c>
      <c r="AD37" s="53"/>
      <c r="AE37" s="69"/>
      <c r="AF37" s="55"/>
      <c r="AG37" s="54"/>
      <c r="AH37" s="105"/>
      <c r="AI37" s="53" t="str">
        <f t="shared" si="30"/>
        <v/>
      </c>
      <c r="AJ37" s="53">
        <f>AB37+AG37+AF65</f>
        <v>0</v>
      </c>
      <c r="AK37" s="53" t="str">
        <f t="shared" si="31"/>
        <v/>
      </c>
      <c r="AL37" s="53"/>
      <c r="AM37" s="69"/>
      <c r="AN37" s="55"/>
      <c r="AO37" s="54"/>
      <c r="AP37" s="105"/>
      <c r="AQ37" s="53" t="str">
        <f t="shared" si="32"/>
        <v/>
      </c>
      <c r="AR37" s="53">
        <f>AJ37+AO37+AN65</f>
        <v>0</v>
      </c>
      <c r="AS37" s="53" t="str">
        <f t="shared" si="33"/>
        <v/>
      </c>
      <c r="AT37" s="53"/>
      <c r="AU37" s="69"/>
      <c r="AV37" s="55"/>
      <c r="AW37" s="54"/>
      <c r="AX37" s="105"/>
      <c r="AY37" s="53" t="str">
        <f t="shared" si="34"/>
        <v/>
      </c>
      <c r="AZ37" s="53"/>
      <c r="BA37" s="53" t="str">
        <f t="shared" si="35"/>
        <v/>
      </c>
      <c r="BB37" s="53"/>
    </row>
    <row r="38" spans="2:54" ht="15" customHeight="1" x14ac:dyDescent="0.3">
      <c r="B38" s="79"/>
      <c r="C38" s="59" t="s">
        <v>338</v>
      </c>
      <c r="D38" s="57"/>
      <c r="E38" s="57" t="str">
        <f>INDEX(Table_Name54104154[Name List],MATCH(C38,Table_Name54104154[Category],0))</f>
        <v>Calves_M6[Exercise]</v>
      </c>
      <c r="F38" s="57" t="e">
        <f>INDEX(Links75125175[Link],MATCH(D38,Links75125175[Exercise],0))</f>
        <v>#N/A</v>
      </c>
      <c r="G38" s="58" t="str">
        <f t="shared" si="24"/>
        <v/>
      </c>
      <c r="H38" s="57"/>
      <c r="I38" s="52"/>
      <c r="J38" s="105"/>
      <c r="K38" s="53" t="str">
        <f t="shared" si="25"/>
        <v/>
      </c>
      <c r="L38" s="53">
        <v>2</v>
      </c>
      <c r="M38" s="53" t="str">
        <f>IF(MROUND(((H38)*0.9),5)=0,"",MROUND(((H38)*0.9),5))</f>
        <v/>
      </c>
      <c r="N38" s="53" t="s">
        <v>461</v>
      </c>
      <c r="O38" s="56"/>
      <c r="P38" s="55"/>
      <c r="Q38" s="54"/>
      <c r="R38" s="105"/>
      <c r="S38" s="53" t="str">
        <f t="shared" si="26"/>
        <v/>
      </c>
      <c r="T38" s="53">
        <f>L38+Q38+P70</f>
        <v>2</v>
      </c>
      <c r="U38" s="53" t="str">
        <f t="shared" si="27"/>
        <v/>
      </c>
      <c r="V38" s="53" t="s">
        <v>461</v>
      </c>
      <c r="W38" s="56"/>
      <c r="X38" s="55"/>
      <c r="Y38" s="54"/>
      <c r="Z38" s="105"/>
      <c r="AA38" s="53" t="str">
        <f t="shared" si="28"/>
        <v/>
      </c>
      <c r="AB38" s="53">
        <f>T38+Y38+X70</f>
        <v>2</v>
      </c>
      <c r="AC38" s="53" t="str">
        <f t="shared" si="29"/>
        <v/>
      </c>
      <c r="AD38" s="53" t="s">
        <v>460</v>
      </c>
      <c r="AE38" s="56"/>
      <c r="AF38" s="55"/>
      <c r="AG38" s="54"/>
      <c r="AH38" s="105"/>
      <c r="AI38" s="53" t="str">
        <f t="shared" si="30"/>
        <v/>
      </c>
      <c r="AJ38" s="53">
        <f>AB38+AG38+AF70</f>
        <v>2</v>
      </c>
      <c r="AK38" s="53" t="str">
        <f t="shared" si="31"/>
        <v/>
      </c>
      <c r="AL38" s="53" t="s">
        <v>460</v>
      </c>
      <c r="AM38" s="56"/>
      <c r="AN38" s="55"/>
      <c r="AO38" s="54"/>
      <c r="AP38" s="105"/>
      <c r="AQ38" s="53" t="str">
        <f t="shared" si="32"/>
        <v/>
      </c>
      <c r="AR38" s="53">
        <f>AJ38+AO38+AN70</f>
        <v>2</v>
      </c>
      <c r="AS38" s="53" t="str">
        <f t="shared" si="33"/>
        <v/>
      </c>
      <c r="AT38" s="53" t="s">
        <v>459</v>
      </c>
      <c r="AU38" s="56"/>
      <c r="AV38" s="55"/>
      <c r="AW38" s="54"/>
      <c r="AX38" s="105"/>
      <c r="AY38" s="53" t="str">
        <f t="shared" si="34"/>
        <v/>
      </c>
      <c r="AZ38" s="53">
        <v>2</v>
      </c>
      <c r="BA38" s="53" t="str">
        <f t="shared" si="35"/>
        <v/>
      </c>
      <c r="BB38" s="53" t="s">
        <v>458</v>
      </c>
    </row>
    <row r="39" spans="2:54" ht="15" hidden="1" customHeight="1" x14ac:dyDescent="0.3">
      <c r="B39" s="79"/>
      <c r="C39" s="59"/>
      <c r="D39" s="57"/>
      <c r="E39" s="57" t="e">
        <f>INDEX(Table_Name54104154[Name List],MATCH(C39,Table_Name54104154[Category],0))</f>
        <v>#N/A</v>
      </c>
      <c r="F39" s="57" t="e">
        <f>INDEX(Links75125175[Link],MATCH(D39,Links75125175[Exercise],0))</f>
        <v>#N/A</v>
      </c>
      <c r="G39" s="58" t="str">
        <f t="shared" si="24"/>
        <v/>
      </c>
      <c r="H39" s="57"/>
      <c r="I39" s="52"/>
      <c r="J39" s="105"/>
      <c r="K39" s="53" t="str">
        <f t="shared" si="25"/>
        <v/>
      </c>
      <c r="L39" s="53"/>
      <c r="M39" s="53" t="str">
        <f>IF(MROUND(((H39)*0.8),5)=0,"",MROUND(((H39)*0.8),5))</f>
        <v/>
      </c>
      <c r="N39" s="53"/>
      <c r="O39" s="56"/>
      <c r="P39" s="55"/>
      <c r="Q39" s="54"/>
      <c r="R39" s="105"/>
      <c r="S39" s="53" t="str">
        <f t="shared" si="26"/>
        <v/>
      </c>
      <c r="T39" s="53">
        <f>L39+Q39+P71</f>
        <v>0</v>
      </c>
      <c r="U39" s="53" t="str">
        <f t="shared" si="27"/>
        <v/>
      </c>
      <c r="V39" s="53"/>
      <c r="W39" s="56"/>
      <c r="X39" s="55"/>
      <c r="Y39" s="54"/>
      <c r="Z39" s="105"/>
      <c r="AA39" s="53" t="str">
        <f t="shared" si="28"/>
        <v/>
      </c>
      <c r="AB39" s="53">
        <f>T39+Y39+X71</f>
        <v>0</v>
      </c>
      <c r="AC39" s="53" t="str">
        <f t="shared" si="29"/>
        <v/>
      </c>
      <c r="AD39" s="53"/>
      <c r="AE39" s="56"/>
      <c r="AF39" s="55"/>
      <c r="AG39" s="54"/>
      <c r="AH39" s="105"/>
      <c r="AI39" s="53" t="str">
        <f t="shared" si="30"/>
        <v/>
      </c>
      <c r="AJ39" s="53">
        <f>AB39+AG39+AF71</f>
        <v>0</v>
      </c>
      <c r="AK39" s="53" t="str">
        <f t="shared" si="31"/>
        <v/>
      </c>
      <c r="AL39" s="53"/>
      <c r="AM39" s="56"/>
      <c r="AN39" s="55"/>
      <c r="AO39" s="54"/>
      <c r="AP39" s="105"/>
      <c r="AQ39" s="53" t="str">
        <f t="shared" si="32"/>
        <v/>
      </c>
      <c r="AR39" s="53">
        <f>AJ39+AO39+AN71</f>
        <v>0</v>
      </c>
      <c r="AS39" s="53" t="str">
        <f t="shared" si="33"/>
        <v/>
      </c>
      <c r="AT39" s="53"/>
      <c r="AU39" s="56"/>
      <c r="AV39" s="55"/>
      <c r="AW39" s="54"/>
      <c r="AX39" s="105"/>
      <c r="AY39" s="53" t="str">
        <f t="shared" si="34"/>
        <v/>
      </c>
      <c r="AZ39" s="53"/>
      <c r="BA39" s="53" t="str">
        <f t="shared" si="35"/>
        <v/>
      </c>
      <c r="BB39" s="53"/>
    </row>
    <row r="40" spans="2:54" ht="15" customHeight="1" x14ac:dyDescent="0.3">
      <c r="B40" s="80"/>
      <c r="C40" s="59" t="s">
        <v>440</v>
      </c>
      <c r="D40" s="57"/>
      <c r="E40" s="57" t="str">
        <f>INDEX(Table_Name54104154[Name List],MATCH(C40,Table_Name54104154[Category],0))</f>
        <v>Abs_M6[Exercise]</v>
      </c>
      <c r="F40" s="57" t="e">
        <f>INDEX(Links75125175[Link],MATCH(D40,Links75125175[Exercise],0))</f>
        <v>#N/A</v>
      </c>
      <c r="G40" s="58" t="str">
        <f t="shared" si="24"/>
        <v/>
      </c>
      <c r="H40" s="57"/>
      <c r="I40" s="52"/>
      <c r="J40" s="106"/>
      <c r="K40" s="53" t="str">
        <f t="shared" si="25"/>
        <v/>
      </c>
      <c r="L40" s="53">
        <v>3</v>
      </c>
      <c r="M40" s="53" t="str">
        <f>IF(MROUND(((H40)*0.8),5)=0,"",MROUND(((H40)*0.8),5))</f>
        <v/>
      </c>
      <c r="N40" s="53" t="s">
        <v>461</v>
      </c>
      <c r="O40" s="56" t="s">
        <v>456</v>
      </c>
      <c r="P40" s="55"/>
      <c r="Q40" s="54"/>
      <c r="R40" s="106"/>
      <c r="S40" s="53" t="str">
        <f t="shared" si="26"/>
        <v/>
      </c>
      <c r="T40" s="53">
        <f>L40+Q40+P72</f>
        <v>3</v>
      </c>
      <c r="U40" s="53" t="str">
        <f t="shared" si="27"/>
        <v/>
      </c>
      <c r="V40" s="53" t="s">
        <v>461</v>
      </c>
      <c r="W40" s="56" t="s">
        <v>456</v>
      </c>
      <c r="X40" s="55"/>
      <c r="Y40" s="54"/>
      <c r="Z40" s="106"/>
      <c r="AA40" s="53" t="str">
        <f t="shared" si="28"/>
        <v/>
      </c>
      <c r="AB40" s="53">
        <f>T40+Y40+X72</f>
        <v>3</v>
      </c>
      <c r="AC40" s="53" t="str">
        <f t="shared" si="29"/>
        <v/>
      </c>
      <c r="AD40" s="53" t="s">
        <v>460</v>
      </c>
      <c r="AE40" s="56" t="s">
        <v>456</v>
      </c>
      <c r="AF40" s="55"/>
      <c r="AG40" s="54"/>
      <c r="AH40" s="106"/>
      <c r="AI40" s="53" t="str">
        <f t="shared" si="30"/>
        <v/>
      </c>
      <c r="AJ40" s="53">
        <f>AB40+AG40+AF72</f>
        <v>3</v>
      </c>
      <c r="AK40" s="53" t="str">
        <f t="shared" si="31"/>
        <v/>
      </c>
      <c r="AL40" s="53" t="s">
        <v>460</v>
      </c>
      <c r="AM40" s="56" t="s">
        <v>456</v>
      </c>
      <c r="AN40" s="55"/>
      <c r="AO40" s="54"/>
      <c r="AP40" s="106"/>
      <c r="AQ40" s="53" t="str">
        <f t="shared" si="32"/>
        <v/>
      </c>
      <c r="AR40" s="53">
        <f>AJ40+AO40+AN72</f>
        <v>3</v>
      </c>
      <c r="AS40" s="53" t="str">
        <f t="shared" si="33"/>
        <v/>
      </c>
      <c r="AT40" s="53" t="s">
        <v>459</v>
      </c>
      <c r="AU40" s="56" t="s">
        <v>456</v>
      </c>
      <c r="AV40" s="55"/>
      <c r="AW40" s="54"/>
      <c r="AX40" s="106"/>
      <c r="AY40" s="53" t="str">
        <f t="shared" si="34"/>
        <v/>
      </c>
      <c r="AZ40" s="53">
        <v>2</v>
      </c>
      <c r="BA40" s="53" t="str">
        <f t="shared" si="35"/>
        <v/>
      </c>
      <c r="BB40" s="53" t="s">
        <v>458</v>
      </c>
    </row>
    <row r="41" spans="2:54" ht="54" customHeight="1" x14ac:dyDescent="0.3">
      <c r="D41" s="52"/>
      <c r="E41" s="52"/>
      <c r="F41" s="52"/>
      <c r="G41" s="52" t="s">
        <v>456</v>
      </c>
      <c r="H41" s="52"/>
      <c r="I41" s="52"/>
      <c r="J41" s="51"/>
      <c r="K41" s="85" t="s">
        <v>476</v>
      </c>
      <c r="L41" s="85"/>
      <c r="M41" s="85"/>
      <c r="N41" s="85"/>
      <c r="O41" s="85"/>
      <c r="P41" s="85"/>
      <c r="Q41" s="85"/>
      <c r="R41" s="51"/>
      <c r="S41" s="85" t="s">
        <v>476</v>
      </c>
      <c r="T41" s="85"/>
      <c r="U41" s="85"/>
      <c r="V41" s="85"/>
      <c r="W41" s="85"/>
      <c r="X41" s="85"/>
      <c r="Y41" s="85"/>
      <c r="Z41" s="51"/>
      <c r="AA41" s="85" t="s">
        <v>476</v>
      </c>
      <c r="AB41" s="85"/>
      <c r="AC41" s="85"/>
      <c r="AD41" s="85"/>
      <c r="AE41" s="85"/>
      <c r="AF41" s="85"/>
      <c r="AG41" s="85"/>
      <c r="AH41" s="51"/>
      <c r="AI41" s="85" t="s">
        <v>476</v>
      </c>
      <c r="AJ41" s="85"/>
      <c r="AK41" s="85"/>
      <c r="AL41" s="85"/>
      <c r="AM41" s="85"/>
      <c r="AN41" s="85"/>
      <c r="AO41" s="85"/>
      <c r="AP41" s="68"/>
      <c r="AQ41" s="85" t="s">
        <v>476</v>
      </c>
      <c r="AR41" s="85"/>
      <c r="AS41" s="85"/>
      <c r="AT41" s="85"/>
      <c r="AU41" s="85"/>
      <c r="AV41" s="85"/>
      <c r="AW41" s="85"/>
      <c r="AX41" s="49"/>
      <c r="AY41" s="48"/>
      <c r="AZ41" s="48"/>
      <c r="BA41" s="48"/>
      <c r="BB41" s="48"/>
    </row>
    <row r="42" spans="2:54" ht="31.2" x14ac:dyDescent="0.35">
      <c r="D42" s="52"/>
      <c r="E42" s="52"/>
      <c r="F42" s="52"/>
      <c r="G42" s="52"/>
      <c r="H42" s="52"/>
      <c r="I42" s="52"/>
      <c r="J42" s="51"/>
      <c r="K42" s="86"/>
      <c r="L42" s="87"/>
      <c r="M42" s="87"/>
      <c r="N42" s="87"/>
      <c r="O42" s="87"/>
      <c r="P42" s="87"/>
      <c r="Q42" s="88"/>
      <c r="R42" s="51"/>
      <c r="S42" s="89"/>
      <c r="T42" s="90"/>
      <c r="U42" s="90"/>
      <c r="V42" s="90"/>
      <c r="W42" s="90"/>
      <c r="X42" s="90"/>
      <c r="Y42" s="91"/>
      <c r="Z42" s="51"/>
      <c r="AA42" s="92"/>
      <c r="AB42" s="93"/>
      <c r="AC42" s="93"/>
      <c r="AD42" s="93"/>
      <c r="AE42" s="93"/>
      <c r="AF42" s="93"/>
      <c r="AG42" s="94"/>
      <c r="AH42" s="51"/>
      <c r="AI42" s="95"/>
      <c r="AJ42" s="96"/>
      <c r="AK42" s="96"/>
      <c r="AL42" s="96"/>
      <c r="AM42" s="96"/>
      <c r="AN42" s="96"/>
      <c r="AO42" s="97"/>
      <c r="AP42" s="51"/>
      <c r="AQ42" s="98"/>
      <c r="AR42" s="99"/>
      <c r="AS42" s="99"/>
      <c r="AT42" s="99"/>
      <c r="AU42" s="99"/>
      <c r="AV42" s="99"/>
      <c r="AW42" s="100"/>
      <c r="AX42" s="49"/>
      <c r="AY42" s="82"/>
      <c r="AZ42" s="83"/>
      <c r="BA42" s="83"/>
      <c r="BB42" s="84"/>
    </row>
    <row r="43" spans="2:54" ht="30" customHeight="1" x14ac:dyDescent="0.3">
      <c r="B43" s="78" t="s">
        <v>475</v>
      </c>
      <c r="C43" s="67" t="s">
        <v>471</v>
      </c>
      <c r="D43" s="65" t="s">
        <v>409</v>
      </c>
      <c r="E43" s="65"/>
      <c r="F43" s="65"/>
      <c r="G43" s="66" t="s">
        <v>470</v>
      </c>
      <c r="H43" s="65" t="s">
        <v>469</v>
      </c>
      <c r="I43" s="64"/>
      <c r="J43" s="78" t="s">
        <v>475</v>
      </c>
      <c r="K43" s="60" t="s">
        <v>409</v>
      </c>
      <c r="L43" s="60" t="s">
        <v>464</v>
      </c>
      <c r="M43" s="60" t="s">
        <v>463</v>
      </c>
      <c r="N43" s="60" t="s">
        <v>462</v>
      </c>
      <c r="O43" s="63" t="s">
        <v>468</v>
      </c>
      <c r="P43" s="62" t="s">
        <v>467</v>
      </c>
      <c r="Q43" s="61" t="s">
        <v>466</v>
      </c>
      <c r="R43" s="78" t="s">
        <v>475</v>
      </c>
      <c r="S43" s="60" t="s">
        <v>409</v>
      </c>
      <c r="T43" s="60" t="s">
        <v>464</v>
      </c>
      <c r="U43" s="60" t="s">
        <v>463</v>
      </c>
      <c r="V43" s="60" t="s">
        <v>462</v>
      </c>
      <c r="W43" s="63" t="s">
        <v>468</v>
      </c>
      <c r="X43" s="62" t="s">
        <v>467</v>
      </c>
      <c r="Y43" s="61" t="s">
        <v>466</v>
      </c>
      <c r="Z43" s="78" t="s">
        <v>475</v>
      </c>
      <c r="AA43" s="60" t="s">
        <v>409</v>
      </c>
      <c r="AB43" s="60" t="s">
        <v>464</v>
      </c>
      <c r="AC43" s="60" t="s">
        <v>463</v>
      </c>
      <c r="AD43" s="60" t="s">
        <v>462</v>
      </c>
      <c r="AE43" s="63" t="s">
        <v>468</v>
      </c>
      <c r="AF43" s="62" t="s">
        <v>467</v>
      </c>
      <c r="AG43" s="61" t="s">
        <v>466</v>
      </c>
      <c r="AH43" s="78" t="s">
        <v>475</v>
      </c>
      <c r="AI43" s="60" t="s">
        <v>409</v>
      </c>
      <c r="AJ43" s="60" t="s">
        <v>464</v>
      </c>
      <c r="AK43" s="60" t="s">
        <v>463</v>
      </c>
      <c r="AL43" s="60" t="s">
        <v>462</v>
      </c>
      <c r="AM43" s="63" t="s">
        <v>468</v>
      </c>
      <c r="AN43" s="62" t="s">
        <v>467</v>
      </c>
      <c r="AO43" s="61" t="s">
        <v>466</v>
      </c>
      <c r="AP43" s="78" t="s">
        <v>475</v>
      </c>
      <c r="AQ43" s="60" t="s">
        <v>409</v>
      </c>
      <c r="AR43" s="60" t="s">
        <v>464</v>
      </c>
      <c r="AS43" s="60" t="s">
        <v>463</v>
      </c>
      <c r="AT43" s="60" t="s">
        <v>462</v>
      </c>
      <c r="AU43" s="63" t="s">
        <v>468</v>
      </c>
      <c r="AV43" s="62" t="s">
        <v>467</v>
      </c>
      <c r="AW43" s="61" t="s">
        <v>466</v>
      </c>
      <c r="AX43" s="78" t="s">
        <v>475</v>
      </c>
      <c r="AY43" s="60" t="s">
        <v>409</v>
      </c>
      <c r="AZ43" s="60" t="s">
        <v>464</v>
      </c>
      <c r="BA43" s="60" t="s">
        <v>463</v>
      </c>
      <c r="BB43" s="60" t="s">
        <v>462</v>
      </c>
    </row>
    <row r="44" spans="2:54" ht="14.4" x14ac:dyDescent="0.3">
      <c r="B44" s="79"/>
      <c r="C44" s="59" t="s">
        <v>416</v>
      </c>
      <c r="D44" s="57"/>
      <c r="E44" s="57" t="str">
        <f>INDEX(Table_Name54104154[Name List],MATCH(C44,Table_Name54104154[Category],0))</f>
        <v>Shoulders_M6[Exercise]</v>
      </c>
      <c r="F44" s="57" t="e">
        <f>INDEX(Links75125175[Link],MATCH(D44,Links75125175[Exercise],0))</f>
        <v>#N/A</v>
      </c>
      <c r="G44" s="58" t="str">
        <f t="shared" ref="G44:G50" si="36">_xlfn.IFNA(HYPERLINK(F44,D44),"")</f>
        <v/>
      </c>
      <c r="H44" s="57"/>
      <c r="I44" s="52"/>
      <c r="J44" s="79"/>
      <c r="K44" s="53" t="str">
        <f t="shared" ref="K44:K50" si="37">IF($D44="","",$D44)</f>
        <v/>
      </c>
      <c r="L44" s="53">
        <v>3</v>
      </c>
      <c r="M44" s="53" t="str">
        <f>IF(MROUND(((H44)*0.9),5)=0,"",MROUND(((H44)*0.9),5))</f>
        <v/>
      </c>
      <c r="N44" s="53" t="s">
        <v>461</v>
      </c>
      <c r="O44" s="56"/>
      <c r="P44" s="55"/>
      <c r="Q44" s="54"/>
      <c r="R44" s="79"/>
      <c r="S44" s="53" t="str">
        <f t="shared" ref="S44:S50" si="38">IF($D44="","",$D44)</f>
        <v/>
      </c>
      <c r="T44" s="53">
        <f>L44+Q44</f>
        <v>3</v>
      </c>
      <c r="U44" s="53" t="str">
        <f t="shared" ref="U44:U50" si="39">IFERROR(MROUND((M44*1.025),5),"")</f>
        <v/>
      </c>
      <c r="V44" s="53" t="s">
        <v>461</v>
      </c>
      <c r="W44" s="56"/>
      <c r="X44" s="55"/>
      <c r="Y44" s="54"/>
      <c r="Z44" s="79"/>
      <c r="AA44" s="53" t="str">
        <f t="shared" ref="AA44:AA50" si="40">IF($D44="","",$D44)</f>
        <v/>
      </c>
      <c r="AB44" s="53">
        <f>T44+Y44</f>
        <v>3</v>
      </c>
      <c r="AC44" s="53" t="str">
        <f t="shared" ref="AC44:AC50" si="41">IFERROR(MROUND((M44*1.05),5),"")</f>
        <v/>
      </c>
      <c r="AD44" s="53" t="s">
        <v>460</v>
      </c>
      <c r="AE44" s="56"/>
      <c r="AF44" s="55"/>
      <c r="AG44" s="54"/>
      <c r="AH44" s="79"/>
      <c r="AI44" s="53" t="str">
        <f t="shared" ref="AI44:AI50" si="42">IF($D44="","",$D44)</f>
        <v/>
      </c>
      <c r="AJ44" s="53">
        <f>AB44+AG44</f>
        <v>3</v>
      </c>
      <c r="AK44" s="53" t="str">
        <f t="shared" ref="AK44:AK50" si="43">IFERROR(MROUND((M44*1.075),5),"")</f>
        <v/>
      </c>
      <c r="AL44" s="53" t="s">
        <v>460</v>
      </c>
      <c r="AM44" s="56"/>
      <c r="AN44" s="55"/>
      <c r="AO44" s="54"/>
      <c r="AP44" s="79"/>
      <c r="AQ44" s="53" t="str">
        <f t="shared" ref="AQ44:AQ50" si="44">IF($D44="","",$D44)</f>
        <v/>
      </c>
      <c r="AR44" s="53">
        <f>AJ44+AO44</f>
        <v>3</v>
      </c>
      <c r="AS44" s="53" t="str">
        <f t="shared" ref="AS44:AS50" si="45">IFERROR(MROUND((M44*1.1),5),"")</f>
        <v/>
      </c>
      <c r="AT44" s="53" t="s">
        <v>459</v>
      </c>
      <c r="AU44" s="56"/>
      <c r="AV44" s="55"/>
      <c r="AW44" s="54"/>
      <c r="AX44" s="79"/>
      <c r="AY44" s="53" t="str">
        <f t="shared" ref="AY44:AY50" si="46">IF($D44="","",$D44)</f>
        <v/>
      </c>
      <c r="AZ44" s="53">
        <v>2</v>
      </c>
      <c r="BA44" s="53" t="str">
        <f t="shared" ref="BA44:BA50" si="47">IFERROR(MROUND((M44*0.5),5),"")</f>
        <v/>
      </c>
      <c r="BB44" s="53" t="s">
        <v>458</v>
      </c>
    </row>
    <row r="45" spans="2:54" ht="14.4" hidden="1" x14ac:dyDescent="0.3">
      <c r="B45" s="79"/>
      <c r="C45" s="59"/>
      <c r="D45" s="57"/>
      <c r="E45" s="57" t="e">
        <f>INDEX(Table_Name54104154[Name List],MATCH(C45,Table_Name54104154[Category],0))</f>
        <v>#N/A</v>
      </c>
      <c r="F45" s="57" t="e">
        <f>INDEX(Links75125175[Link],MATCH(D45,Links75125175[Exercise],0))</f>
        <v>#N/A</v>
      </c>
      <c r="G45" s="58" t="str">
        <f t="shared" si="36"/>
        <v/>
      </c>
      <c r="H45" s="57"/>
      <c r="I45" s="52"/>
      <c r="J45" s="79"/>
      <c r="K45" s="53" t="str">
        <f t="shared" si="37"/>
        <v/>
      </c>
      <c r="L45" s="53"/>
      <c r="M45" s="53" t="str">
        <f>IF(MROUND(((H45)*0.8),5)=0,"",MROUND(((H45)*0.8),5))</f>
        <v/>
      </c>
      <c r="N45" s="53"/>
      <c r="O45" s="56"/>
      <c r="P45" s="55"/>
      <c r="Q45" s="54"/>
      <c r="R45" s="79"/>
      <c r="S45" s="53" t="str">
        <f t="shared" si="38"/>
        <v/>
      </c>
      <c r="T45" s="53">
        <f>L45+Q45</f>
        <v>0</v>
      </c>
      <c r="U45" s="53" t="str">
        <f t="shared" si="39"/>
        <v/>
      </c>
      <c r="V45" s="53"/>
      <c r="W45" s="56"/>
      <c r="X45" s="55"/>
      <c r="Y45" s="54"/>
      <c r="Z45" s="79"/>
      <c r="AA45" s="53" t="str">
        <f t="shared" si="40"/>
        <v/>
      </c>
      <c r="AB45" s="53">
        <f>T45+Y45</f>
        <v>0</v>
      </c>
      <c r="AC45" s="53" t="str">
        <f t="shared" si="41"/>
        <v/>
      </c>
      <c r="AD45" s="53"/>
      <c r="AE45" s="56"/>
      <c r="AF45" s="55"/>
      <c r="AG45" s="54"/>
      <c r="AH45" s="79"/>
      <c r="AI45" s="53" t="str">
        <f t="shared" si="42"/>
        <v/>
      </c>
      <c r="AJ45" s="53">
        <f>AB45+AG45</f>
        <v>0</v>
      </c>
      <c r="AK45" s="53" t="str">
        <f t="shared" si="43"/>
        <v/>
      </c>
      <c r="AL45" s="53"/>
      <c r="AM45" s="56"/>
      <c r="AN45" s="55"/>
      <c r="AO45" s="54"/>
      <c r="AP45" s="79"/>
      <c r="AQ45" s="53" t="str">
        <f t="shared" si="44"/>
        <v/>
      </c>
      <c r="AR45" s="53">
        <f>AJ45+AO45</f>
        <v>0</v>
      </c>
      <c r="AS45" s="53" t="str">
        <f t="shared" si="45"/>
        <v/>
      </c>
      <c r="AT45" s="53"/>
      <c r="AU45" s="56"/>
      <c r="AV45" s="55"/>
      <c r="AW45" s="54"/>
      <c r="AX45" s="79"/>
      <c r="AY45" s="53" t="str">
        <f t="shared" si="46"/>
        <v/>
      </c>
      <c r="AZ45" s="53"/>
      <c r="BA45" s="53" t="str">
        <f t="shared" si="47"/>
        <v/>
      </c>
      <c r="BB45" s="53"/>
    </row>
    <row r="46" spans="2:54" ht="14.4" x14ac:dyDescent="0.3">
      <c r="B46" s="79"/>
      <c r="C46" s="59" t="s">
        <v>413</v>
      </c>
      <c r="D46" s="57"/>
      <c r="E46" s="57" t="str">
        <f>INDEX(Table_Name54104154[Name List],MATCH(C46,Table_Name54104154[Category],0))</f>
        <v>Triceps_M6[Exercise]</v>
      </c>
      <c r="F46" s="57" t="e">
        <f>INDEX(Links75125175[Link],MATCH(D46,Links75125175[Exercise],0))</f>
        <v>#N/A</v>
      </c>
      <c r="G46" s="58" t="str">
        <f t="shared" si="36"/>
        <v/>
      </c>
      <c r="H46" s="57"/>
      <c r="I46" s="52"/>
      <c r="J46" s="79"/>
      <c r="K46" s="53" t="str">
        <f t="shared" si="37"/>
        <v/>
      </c>
      <c r="L46" s="53">
        <v>2</v>
      </c>
      <c r="M46" s="53" t="str">
        <f>IF(MROUND(((H46)*0.9),5)=0,"",MROUND(((H46)*0.9),5))</f>
        <v/>
      </c>
      <c r="N46" s="53" t="s">
        <v>461</v>
      </c>
      <c r="O46" s="56"/>
      <c r="P46" s="55"/>
      <c r="Q46" s="54"/>
      <c r="R46" s="79"/>
      <c r="S46" s="53" t="str">
        <f t="shared" si="38"/>
        <v/>
      </c>
      <c r="T46" s="53">
        <f>L46+Q46+X14</f>
        <v>2</v>
      </c>
      <c r="U46" s="53" t="str">
        <f t="shared" si="39"/>
        <v/>
      </c>
      <c r="V46" s="53" t="s">
        <v>461</v>
      </c>
      <c r="W46" s="56"/>
      <c r="X46" s="55"/>
      <c r="Y46" s="54"/>
      <c r="Z46" s="79"/>
      <c r="AA46" s="53" t="str">
        <f t="shared" si="40"/>
        <v/>
      </c>
      <c r="AB46" s="53">
        <f>T46+Y46+AF14</f>
        <v>2</v>
      </c>
      <c r="AC46" s="53" t="str">
        <f t="shared" si="41"/>
        <v/>
      </c>
      <c r="AD46" s="53" t="s">
        <v>460</v>
      </c>
      <c r="AE46" s="56"/>
      <c r="AF46" s="55"/>
      <c r="AG46" s="54"/>
      <c r="AH46" s="79"/>
      <c r="AI46" s="53" t="str">
        <f t="shared" si="42"/>
        <v/>
      </c>
      <c r="AJ46" s="53">
        <f>AB46+AG46+AN14</f>
        <v>2</v>
      </c>
      <c r="AK46" s="53" t="str">
        <f t="shared" si="43"/>
        <v/>
      </c>
      <c r="AL46" s="53" t="s">
        <v>460</v>
      </c>
      <c r="AM46" s="56"/>
      <c r="AN46" s="55"/>
      <c r="AO46" s="54"/>
      <c r="AP46" s="79"/>
      <c r="AQ46" s="53" t="str">
        <f t="shared" si="44"/>
        <v/>
      </c>
      <c r="AR46" s="53">
        <f>AJ46+AO46+AV14</f>
        <v>2</v>
      </c>
      <c r="AS46" s="53" t="str">
        <f t="shared" si="45"/>
        <v/>
      </c>
      <c r="AT46" s="53" t="s">
        <v>459</v>
      </c>
      <c r="AU46" s="56"/>
      <c r="AV46" s="55"/>
      <c r="AW46" s="54"/>
      <c r="AX46" s="79"/>
      <c r="AY46" s="53" t="str">
        <f t="shared" si="46"/>
        <v/>
      </c>
      <c r="AZ46" s="53">
        <v>2</v>
      </c>
      <c r="BA46" s="53" t="str">
        <f t="shared" si="47"/>
        <v/>
      </c>
      <c r="BB46" s="53" t="s">
        <v>458</v>
      </c>
    </row>
    <row r="47" spans="2:54" ht="14.4" x14ac:dyDescent="0.3">
      <c r="B47" s="79"/>
      <c r="C47" s="59" t="s">
        <v>413</v>
      </c>
      <c r="D47" s="57"/>
      <c r="E47" s="57" t="str">
        <f>INDEX(Table_Name54104154[Name List],MATCH(C47,Table_Name54104154[Category],0))</f>
        <v>Triceps_M6[Exercise]</v>
      </c>
      <c r="F47" s="57" t="e">
        <f>INDEX(Links75125175[Link],MATCH(D47,Links75125175[Exercise],0))</f>
        <v>#N/A</v>
      </c>
      <c r="G47" s="58" t="str">
        <f t="shared" si="36"/>
        <v/>
      </c>
      <c r="H47" s="57"/>
      <c r="I47" s="52"/>
      <c r="J47" s="79"/>
      <c r="K47" s="53" t="str">
        <f t="shared" si="37"/>
        <v/>
      </c>
      <c r="L47" s="53">
        <v>2</v>
      </c>
      <c r="M47" s="53" t="str">
        <f>IF(MROUND(((H47)*0.8),5)=0,"",MROUND(((H47)*0.8),5))</f>
        <v/>
      </c>
      <c r="N47" s="53" t="s">
        <v>461</v>
      </c>
      <c r="O47" s="56"/>
      <c r="P47" s="55"/>
      <c r="Q47" s="54"/>
      <c r="R47" s="79"/>
      <c r="S47" s="53" t="str">
        <f t="shared" si="38"/>
        <v/>
      </c>
      <c r="T47" s="53">
        <f>L47+Q47+X15</f>
        <v>2</v>
      </c>
      <c r="U47" s="53" t="str">
        <f t="shared" si="39"/>
        <v/>
      </c>
      <c r="V47" s="53" t="s">
        <v>461</v>
      </c>
      <c r="W47" s="56"/>
      <c r="X47" s="55"/>
      <c r="Y47" s="54"/>
      <c r="Z47" s="79"/>
      <c r="AA47" s="53" t="str">
        <f t="shared" si="40"/>
        <v/>
      </c>
      <c r="AB47" s="53">
        <f>T47+Y47+AF15</f>
        <v>2</v>
      </c>
      <c r="AC47" s="53" t="str">
        <f t="shared" si="41"/>
        <v/>
      </c>
      <c r="AD47" s="53" t="s">
        <v>460</v>
      </c>
      <c r="AE47" s="56"/>
      <c r="AF47" s="55"/>
      <c r="AG47" s="54"/>
      <c r="AH47" s="79"/>
      <c r="AI47" s="53" t="str">
        <f t="shared" si="42"/>
        <v/>
      </c>
      <c r="AJ47" s="53">
        <f>AB47+AG47+AN15</f>
        <v>2</v>
      </c>
      <c r="AK47" s="53" t="str">
        <f t="shared" si="43"/>
        <v/>
      </c>
      <c r="AL47" s="53" t="s">
        <v>460</v>
      </c>
      <c r="AM47" s="56"/>
      <c r="AN47" s="55"/>
      <c r="AO47" s="54"/>
      <c r="AP47" s="79"/>
      <c r="AQ47" s="53" t="str">
        <f t="shared" si="44"/>
        <v/>
      </c>
      <c r="AR47" s="53">
        <f>AJ47+AO47+AV15</f>
        <v>2</v>
      </c>
      <c r="AS47" s="53" t="str">
        <f t="shared" si="45"/>
        <v/>
      </c>
      <c r="AT47" s="53" t="s">
        <v>459</v>
      </c>
      <c r="AU47" s="56"/>
      <c r="AV47" s="55"/>
      <c r="AW47" s="54"/>
      <c r="AX47" s="79"/>
      <c r="AY47" s="53" t="str">
        <f t="shared" si="46"/>
        <v/>
      </c>
      <c r="AZ47" s="53">
        <v>2</v>
      </c>
      <c r="BA47" s="53" t="str">
        <f t="shared" si="47"/>
        <v/>
      </c>
      <c r="BB47" s="53" t="s">
        <v>458</v>
      </c>
    </row>
    <row r="48" spans="2:54" ht="14.4" x14ac:dyDescent="0.3">
      <c r="B48" s="79"/>
      <c r="C48" s="59" t="s">
        <v>446</v>
      </c>
      <c r="D48" s="57"/>
      <c r="E48" s="57" t="str">
        <f>INDEX(Table_Name54104154[Name List],MATCH(C48,Table_Name54104154[Category],0))</f>
        <v>Chest_Compound_M6[Exercise]</v>
      </c>
      <c r="F48" s="57" t="e">
        <f>INDEX(Links75125175[Link],MATCH(D48,Links75125175[Exercise],0))</f>
        <v>#N/A</v>
      </c>
      <c r="G48" s="58" t="str">
        <f t="shared" si="36"/>
        <v/>
      </c>
      <c r="H48" s="57"/>
      <c r="I48" s="52"/>
      <c r="J48" s="79"/>
      <c r="K48" s="53" t="str">
        <f t="shared" si="37"/>
        <v/>
      </c>
      <c r="L48" s="53">
        <v>2</v>
      </c>
      <c r="M48" s="53" t="str">
        <f>IF(MROUND(((H48)*0.9),5)=0,"",MROUND(((H48)*0.9),5))</f>
        <v/>
      </c>
      <c r="N48" s="53" t="s">
        <v>461</v>
      </c>
      <c r="O48" s="56"/>
      <c r="P48" s="55"/>
      <c r="Q48" s="54"/>
      <c r="R48" s="79"/>
      <c r="S48" s="53" t="str">
        <f t="shared" si="38"/>
        <v/>
      </c>
      <c r="T48" s="53">
        <f>L48+Q48+X12</f>
        <v>2</v>
      </c>
      <c r="U48" s="53" t="str">
        <f t="shared" si="39"/>
        <v/>
      </c>
      <c r="V48" s="53" t="s">
        <v>461</v>
      </c>
      <c r="W48" s="56"/>
      <c r="X48" s="55"/>
      <c r="Y48" s="54"/>
      <c r="Z48" s="79"/>
      <c r="AA48" s="53" t="str">
        <f t="shared" si="40"/>
        <v/>
      </c>
      <c r="AB48" s="53">
        <f>T48+Y48+AF12</f>
        <v>2</v>
      </c>
      <c r="AC48" s="53" t="str">
        <f t="shared" si="41"/>
        <v/>
      </c>
      <c r="AD48" s="53" t="s">
        <v>460</v>
      </c>
      <c r="AE48" s="56"/>
      <c r="AF48" s="55"/>
      <c r="AG48" s="54"/>
      <c r="AH48" s="79"/>
      <c r="AI48" s="53" t="str">
        <f t="shared" si="42"/>
        <v/>
      </c>
      <c r="AJ48" s="53">
        <f>AB48+AG48+AN12</f>
        <v>2</v>
      </c>
      <c r="AK48" s="53" t="str">
        <f t="shared" si="43"/>
        <v/>
      </c>
      <c r="AL48" s="53" t="s">
        <v>460</v>
      </c>
      <c r="AM48" s="56"/>
      <c r="AN48" s="55"/>
      <c r="AO48" s="54"/>
      <c r="AP48" s="79"/>
      <c r="AQ48" s="53" t="str">
        <f t="shared" si="44"/>
        <v/>
      </c>
      <c r="AR48" s="53">
        <f>AJ48+AO48+AV12</f>
        <v>2</v>
      </c>
      <c r="AS48" s="53" t="str">
        <f t="shared" si="45"/>
        <v/>
      </c>
      <c r="AT48" s="53" t="s">
        <v>459</v>
      </c>
      <c r="AU48" s="56"/>
      <c r="AV48" s="55"/>
      <c r="AW48" s="54"/>
      <c r="AX48" s="79"/>
      <c r="AY48" s="53" t="str">
        <f t="shared" si="46"/>
        <v/>
      </c>
      <c r="AZ48" s="53">
        <v>2</v>
      </c>
      <c r="BA48" s="53" t="str">
        <f t="shared" si="47"/>
        <v/>
      </c>
      <c r="BB48" s="53" t="s">
        <v>458</v>
      </c>
    </row>
    <row r="49" spans="2:54" ht="14.4" x14ac:dyDescent="0.3">
      <c r="B49" s="79"/>
      <c r="C49" s="59" t="s">
        <v>442</v>
      </c>
      <c r="D49" s="57"/>
      <c r="E49" s="57" t="str">
        <f>INDEX(Table_Name54104154[Name List],MATCH(C49,Table_Name54104154[Category],0))</f>
        <v>Chest_Isolation_M6[Exercise]</v>
      </c>
      <c r="F49" s="57" t="e">
        <f>INDEX(Links75125175[Link],MATCH(D49,Links75125175[Exercise],0))</f>
        <v>#N/A</v>
      </c>
      <c r="G49" s="58" t="str">
        <f t="shared" si="36"/>
        <v/>
      </c>
      <c r="H49" s="57"/>
      <c r="I49" s="52"/>
      <c r="J49" s="79"/>
      <c r="K49" s="53" t="str">
        <f t="shared" si="37"/>
        <v/>
      </c>
      <c r="L49" s="53">
        <v>2</v>
      </c>
      <c r="M49" s="53" t="str">
        <f>IF(MROUND(((H49)*0.8),5)=0,"",MROUND(((H49)*0.8),5))</f>
        <v/>
      </c>
      <c r="N49" s="53" t="s">
        <v>461</v>
      </c>
      <c r="O49" s="56"/>
      <c r="P49" s="55"/>
      <c r="Q49" s="54"/>
      <c r="R49" s="79"/>
      <c r="S49" s="53" t="str">
        <f t="shared" si="38"/>
        <v/>
      </c>
      <c r="T49" s="53">
        <f>L49+Q49+X13</f>
        <v>2</v>
      </c>
      <c r="U49" s="53" t="str">
        <f t="shared" si="39"/>
        <v/>
      </c>
      <c r="V49" s="53" t="s">
        <v>461</v>
      </c>
      <c r="W49" s="56"/>
      <c r="X49" s="55"/>
      <c r="Y49" s="54"/>
      <c r="Z49" s="79"/>
      <c r="AA49" s="53" t="str">
        <f t="shared" si="40"/>
        <v/>
      </c>
      <c r="AB49" s="53">
        <f>T49+Y49+AF13</f>
        <v>2</v>
      </c>
      <c r="AC49" s="53" t="str">
        <f t="shared" si="41"/>
        <v/>
      </c>
      <c r="AD49" s="53" t="s">
        <v>460</v>
      </c>
      <c r="AE49" s="56"/>
      <c r="AF49" s="55"/>
      <c r="AG49" s="54"/>
      <c r="AH49" s="79"/>
      <c r="AI49" s="53" t="str">
        <f t="shared" si="42"/>
        <v/>
      </c>
      <c r="AJ49" s="53">
        <f>AB49+AG49+AN13</f>
        <v>2</v>
      </c>
      <c r="AK49" s="53" t="str">
        <f t="shared" si="43"/>
        <v/>
      </c>
      <c r="AL49" s="53" t="s">
        <v>460</v>
      </c>
      <c r="AM49" s="56"/>
      <c r="AN49" s="55"/>
      <c r="AO49" s="54"/>
      <c r="AP49" s="79"/>
      <c r="AQ49" s="53" t="str">
        <f t="shared" si="44"/>
        <v/>
      </c>
      <c r="AR49" s="53">
        <f>AJ49+AO49+AV13</f>
        <v>2</v>
      </c>
      <c r="AS49" s="53" t="str">
        <f t="shared" si="45"/>
        <v/>
      </c>
      <c r="AT49" s="53" t="s">
        <v>459</v>
      </c>
      <c r="AU49" s="56"/>
      <c r="AV49" s="55"/>
      <c r="AW49" s="54"/>
      <c r="AX49" s="79"/>
      <c r="AY49" s="53" t="str">
        <f t="shared" si="46"/>
        <v/>
      </c>
      <c r="AZ49" s="53">
        <v>2</v>
      </c>
      <c r="BA49" s="53" t="str">
        <f t="shared" si="47"/>
        <v/>
      </c>
      <c r="BB49" s="53" t="s">
        <v>458</v>
      </c>
    </row>
    <row r="50" spans="2:54" ht="14.4" hidden="1" x14ac:dyDescent="0.3">
      <c r="B50" s="80"/>
      <c r="C50" s="59"/>
      <c r="D50" s="57"/>
      <c r="E50" s="57" t="e">
        <f>INDEX(Table_Name54104154[Name List],MATCH(C50,Table_Name54104154[Category],0))</f>
        <v>#N/A</v>
      </c>
      <c r="F50" s="57" t="e">
        <f>INDEX(Links75125175[Link],MATCH(D50,Links75125175[Exercise],0))</f>
        <v>#N/A</v>
      </c>
      <c r="G50" s="58" t="str">
        <f t="shared" si="36"/>
        <v/>
      </c>
      <c r="H50" s="57"/>
      <c r="I50" s="52"/>
      <c r="J50" s="80"/>
      <c r="K50" s="53" t="str">
        <f t="shared" si="37"/>
        <v/>
      </c>
      <c r="L50" s="53"/>
      <c r="M50" s="53" t="str">
        <f>IF(MROUND(((H50)*0.8),5)=0,"",MROUND(((H50)*0.8),5))</f>
        <v/>
      </c>
      <c r="N50" s="53"/>
      <c r="O50" s="56"/>
      <c r="P50" s="55"/>
      <c r="Q50" s="54"/>
      <c r="R50" s="80"/>
      <c r="S50" s="53" t="str">
        <f t="shared" si="38"/>
        <v/>
      </c>
      <c r="T50" s="53">
        <f>L50+Q50+X18</f>
        <v>0</v>
      </c>
      <c r="U50" s="53" t="str">
        <f t="shared" si="39"/>
        <v/>
      </c>
      <c r="V50" s="53"/>
      <c r="W50" s="56"/>
      <c r="X50" s="55"/>
      <c r="Y50" s="54"/>
      <c r="Z50" s="80"/>
      <c r="AA50" s="53" t="str">
        <f t="shared" si="40"/>
        <v/>
      </c>
      <c r="AB50" s="53">
        <f>T50+Y50+AF18</f>
        <v>0</v>
      </c>
      <c r="AC50" s="53" t="str">
        <f t="shared" si="41"/>
        <v/>
      </c>
      <c r="AD50" s="53"/>
      <c r="AE50" s="56"/>
      <c r="AF50" s="55"/>
      <c r="AG50" s="54"/>
      <c r="AH50" s="80"/>
      <c r="AI50" s="53" t="str">
        <f t="shared" si="42"/>
        <v/>
      </c>
      <c r="AJ50" s="53">
        <f>AB50+AG50+AN18</f>
        <v>0</v>
      </c>
      <c r="AK50" s="53" t="str">
        <f t="shared" si="43"/>
        <v/>
      </c>
      <c r="AL50" s="53"/>
      <c r="AM50" s="56"/>
      <c r="AN50" s="55"/>
      <c r="AO50" s="54"/>
      <c r="AP50" s="80"/>
      <c r="AQ50" s="53" t="str">
        <f t="shared" si="44"/>
        <v/>
      </c>
      <c r="AR50" s="53">
        <f>AJ50+AO50+AV18</f>
        <v>0</v>
      </c>
      <c r="AS50" s="53" t="str">
        <f t="shared" si="45"/>
        <v/>
      </c>
      <c r="AT50" s="53"/>
      <c r="AU50" s="56"/>
      <c r="AV50" s="55"/>
      <c r="AW50" s="54"/>
      <c r="AX50" s="80"/>
      <c r="AY50" s="53" t="str">
        <f t="shared" si="46"/>
        <v/>
      </c>
      <c r="AZ50" s="53"/>
      <c r="BA50" s="53" t="str">
        <f t="shared" si="47"/>
        <v/>
      </c>
      <c r="BB50" s="53"/>
    </row>
    <row r="51" spans="2:54" ht="54" customHeight="1" x14ac:dyDescent="0.3">
      <c r="B51" s="77"/>
      <c r="D51" s="52"/>
      <c r="E51" s="52"/>
      <c r="F51" s="52"/>
      <c r="G51" s="52" t="s">
        <v>456</v>
      </c>
      <c r="H51" s="52"/>
      <c r="I51" s="52"/>
      <c r="J51" s="77"/>
      <c r="K51" s="85" t="s">
        <v>474</v>
      </c>
      <c r="L51" s="85"/>
      <c r="M51" s="85"/>
      <c r="N51" s="85"/>
      <c r="O51" s="85"/>
      <c r="P51" s="85"/>
      <c r="Q51" s="85"/>
      <c r="R51" s="77"/>
      <c r="S51" s="85" t="s">
        <v>474</v>
      </c>
      <c r="T51" s="85"/>
      <c r="U51" s="85"/>
      <c r="V51" s="85"/>
      <c r="W51" s="85"/>
      <c r="X51" s="85"/>
      <c r="Y51" s="85"/>
      <c r="Z51" s="77"/>
      <c r="AA51" s="85" t="s">
        <v>474</v>
      </c>
      <c r="AB51" s="85"/>
      <c r="AC51" s="85"/>
      <c r="AD51" s="85"/>
      <c r="AE51" s="85"/>
      <c r="AF51" s="85"/>
      <c r="AG51" s="85"/>
      <c r="AH51" s="77"/>
      <c r="AI51" s="85" t="s">
        <v>474</v>
      </c>
      <c r="AJ51" s="85"/>
      <c r="AK51" s="85"/>
      <c r="AL51" s="85"/>
      <c r="AM51" s="85"/>
      <c r="AN51" s="85"/>
      <c r="AO51" s="85"/>
      <c r="AP51" s="77"/>
      <c r="AQ51" s="85" t="s">
        <v>474</v>
      </c>
      <c r="AR51" s="85"/>
      <c r="AS51" s="85"/>
      <c r="AT51" s="85"/>
      <c r="AU51" s="85"/>
      <c r="AV51" s="85"/>
      <c r="AW51" s="85"/>
      <c r="AX51" s="77"/>
      <c r="AY51" s="48"/>
      <c r="AZ51" s="48"/>
      <c r="BA51" s="48"/>
      <c r="BB51" s="48"/>
    </row>
    <row r="52" spans="2:54" ht="31.2" x14ac:dyDescent="0.35">
      <c r="D52" s="52"/>
      <c r="E52" s="52"/>
      <c r="F52" s="52"/>
      <c r="G52" s="52"/>
      <c r="H52" s="52"/>
      <c r="I52" s="52"/>
      <c r="J52" s="51"/>
      <c r="K52" s="86"/>
      <c r="L52" s="87"/>
      <c r="M52" s="87"/>
      <c r="N52" s="87"/>
      <c r="O52" s="87"/>
      <c r="P52" s="87"/>
      <c r="Q52" s="88"/>
      <c r="R52" s="51"/>
      <c r="S52" s="89"/>
      <c r="T52" s="90"/>
      <c r="U52" s="90"/>
      <c r="V52" s="90"/>
      <c r="W52" s="90"/>
      <c r="X52" s="90"/>
      <c r="Y52" s="91"/>
      <c r="Z52" s="51"/>
      <c r="AA52" s="92"/>
      <c r="AB52" s="93"/>
      <c r="AC52" s="93"/>
      <c r="AD52" s="93"/>
      <c r="AE52" s="93"/>
      <c r="AF52" s="93"/>
      <c r="AG52" s="94"/>
      <c r="AH52" s="51"/>
      <c r="AI52" s="95"/>
      <c r="AJ52" s="96"/>
      <c r="AK52" s="96"/>
      <c r="AL52" s="96"/>
      <c r="AM52" s="96"/>
      <c r="AN52" s="96"/>
      <c r="AO52" s="97"/>
      <c r="AP52" s="51"/>
      <c r="AQ52" s="98"/>
      <c r="AR52" s="99"/>
      <c r="AS52" s="99"/>
      <c r="AT52" s="99"/>
      <c r="AU52" s="99"/>
      <c r="AV52" s="99"/>
      <c r="AW52" s="100"/>
      <c r="AX52" s="49"/>
      <c r="AY52" s="82"/>
      <c r="AZ52" s="83"/>
      <c r="BA52" s="83"/>
      <c r="BB52" s="84"/>
    </row>
    <row r="53" spans="2:54" ht="30" customHeight="1" x14ac:dyDescent="0.3">
      <c r="B53" s="78" t="s">
        <v>473</v>
      </c>
      <c r="C53" s="67" t="s">
        <v>471</v>
      </c>
      <c r="D53" s="65" t="s">
        <v>409</v>
      </c>
      <c r="E53" s="65"/>
      <c r="F53" s="65"/>
      <c r="G53" s="66" t="s">
        <v>470</v>
      </c>
      <c r="H53" s="65" t="s">
        <v>469</v>
      </c>
      <c r="I53" s="64"/>
      <c r="J53" s="78" t="s">
        <v>473</v>
      </c>
      <c r="K53" s="60" t="s">
        <v>409</v>
      </c>
      <c r="L53" s="60" t="s">
        <v>464</v>
      </c>
      <c r="M53" s="60" t="s">
        <v>463</v>
      </c>
      <c r="N53" s="60" t="s">
        <v>462</v>
      </c>
      <c r="O53" s="63" t="s">
        <v>468</v>
      </c>
      <c r="P53" s="62" t="s">
        <v>467</v>
      </c>
      <c r="Q53" s="61" t="s">
        <v>466</v>
      </c>
      <c r="R53" s="78" t="s">
        <v>473</v>
      </c>
      <c r="S53" s="60" t="s">
        <v>409</v>
      </c>
      <c r="T53" s="60" t="s">
        <v>464</v>
      </c>
      <c r="U53" s="60" t="s">
        <v>463</v>
      </c>
      <c r="V53" s="60" t="s">
        <v>462</v>
      </c>
      <c r="W53" s="63" t="s">
        <v>468</v>
      </c>
      <c r="X53" s="62" t="s">
        <v>467</v>
      </c>
      <c r="Y53" s="61" t="s">
        <v>466</v>
      </c>
      <c r="Z53" s="78" t="s">
        <v>473</v>
      </c>
      <c r="AA53" s="60" t="s">
        <v>409</v>
      </c>
      <c r="AB53" s="60" t="s">
        <v>464</v>
      </c>
      <c r="AC53" s="60" t="s">
        <v>463</v>
      </c>
      <c r="AD53" s="60" t="s">
        <v>462</v>
      </c>
      <c r="AE53" s="63" t="s">
        <v>468</v>
      </c>
      <c r="AF53" s="62" t="s">
        <v>467</v>
      </c>
      <c r="AG53" s="61" t="s">
        <v>466</v>
      </c>
      <c r="AH53" s="78" t="s">
        <v>473</v>
      </c>
      <c r="AI53" s="60" t="s">
        <v>409</v>
      </c>
      <c r="AJ53" s="60" t="s">
        <v>464</v>
      </c>
      <c r="AK53" s="60" t="s">
        <v>463</v>
      </c>
      <c r="AL53" s="60" t="s">
        <v>462</v>
      </c>
      <c r="AM53" s="63" t="s">
        <v>468</v>
      </c>
      <c r="AN53" s="62" t="s">
        <v>467</v>
      </c>
      <c r="AO53" s="61" t="s">
        <v>466</v>
      </c>
      <c r="AP53" s="78" t="s">
        <v>473</v>
      </c>
      <c r="AQ53" s="60" t="s">
        <v>409</v>
      </c>
      <c r="AR53" s="60" t="s">
        <v>464</v>
      </c>
      <c r="AS53" s="60" t="s">
        <v>463</v>
      </c>
      <c r="AT53" s="60" t="s">
        <v>462</v>
      </c>
      <c r="AU53" s="63" t="s">
        <v>468</v>
      </c>
      <c r="AV53" s="62" t="s">
        <v>467</v>
      </c>
      <c r="AW53" s="61" t="s">
        <v>466</v>
      </c>
      <c r="AX53" s="78" t="s">
        <v>473</v>
      </c>
      <c r="AY53" s="60" t="s">
        <v>409</v>
      </c>
      <c r="AZ53" s="60" t="s">
        <v>464</v>
      </c>
      <c r="BA53" s="60" t="s">
        <v>463</v>
      </c>
      <c r="BB53" s="60" t="s">
        <v>462</v>
      </c>
    </row>
    <row r="54" spans="2:54" ht="14.4" x14ac:dyDescent="0.3">
      <c r="B54" s="79"/>
      <c r="C54" s="59" t="s">
        <v>450</v>
      </c>
      <c r="D54" s="57"/>
      <c r="E54" s="57" t="str">
        <f>INDEX(Table_Name54104154[Name List],MATCH(C54,Table_Name54104154[Category],0))</f>
        <v>Back_M6[Exercise]</v>
      </c>
      <c r="F54" s="57" t="e">
        <f>INDEX(Links75125175[Link],MATCH(D54,Links75125175[Exercise],0))</f>
        <v>#N/A</v>
      </c>
      <c r="G54" s="58" t="str">
        <f t="shared" ref="G54:G60" si="48">_xlfn.IFNA(HYPERLINK(F54,D54),"")</f>
        <v/>
      </c>
      <c r="H54" s="57"/>
      <c r="I54" s="52"/>
      <c r="J54" s="79"/>
      <c r="K54" s="53" t="str">
        <f t="shared" ref="K54:K60" si="49">IF($D54="","",$D54)</f>
        <v/>
      </c>
      <c r="L54" s="53">
        <v>2</v>
      </c>
      <c r="M54" s="53" t="str">
        <f>IF(MROUND(((H54)*0.9),5)=0,"",MROUND(((H54)*0.9),5))</f>
        <v/>
      </c>
      <c r="N54" s="53" t="s">
        <v>461</v>
      </c>
      <c r="O54" s="56"/>
      <c r="P54" s="55"/>
      <c r="Q54" s="54"/>
      <c r="R54" s="79"/>
      <c r="S54" s="53" t="str">
        <f t="shared" ref="S54:S60" si="50">IF($D54="","",$D54)</f>
        <v/>
      </c>
      <c r="T54" s="53">
        <f>L54+Q54+X22</f>
        <v>2</v>
      </c>
      <c r="U54" s="53" t="str">
        <f t="shared" ref="U54:U60" si="51">IFERROR(MROUND((M54*1.025),5),"")</f>
        <v/>
      </c>
      <c r="V54" s="53" t="s">
        <v>461</v>
      </c>
      <c r="W54" s="56"/>
      <c r="X54" s="55"/>
      <c r="Y54" s="54"/>
      <c r="Z54" s="79"/>
      <c r="AA54" s="53" t="str">
        <f t="shared" ref="AA54:AA60" si="52">IF($D54="","",$D54)</f>
        <v/>
      </c>
      <c r="AB54" s="53">
        <f>T54+Y54+AF22</f>
        <v>2</v>
      </c>
      <c r="AC54" s="53" t="str">
        <f t="shared" ref="AC54:AC60" si="53">IFERROR(MROUND((M54*1.05),5),"")</f>
        <v/>
      </c>
      <c r="AD54" s="53" t="s">
        <v>460</v>
      </c>
      <c r="AE54" s="56"/>
      <c r="AF54" s="55"/>
      <c r="AG54" s="54"/>
      <c r="AH54" s="79"/>
      <c r="AI54" s="53" t="str">
        <f t="shared" ref="AI54:AI60" si="54">IF($D54="","",$D54)</f>
        <v/>
      </c>
      <c r="AJ54" s="53">
        <f>AB54+AG54+AN22</f>
        <v>2</v>
      </c>
      <c r="AK54" s="53" t="str">
        <f t="shared" ref="AK54:AK60" si="55">IFERROR(MROUND((M54*1.075),5),"")</f>
        <v/>
      </c>
      <c r="AL54" s="53" t="s">
        <v>460</v>
      </c>
      <c r="AM54" s="56"/>
      <c r="AN54" s="55"/>
      <c r="AO54" s="54"/>
      <c r="AP54" s="79"/>
      <c r="AQ54" s="53" t="str">
        <f t="shared" ref="AQ54:AQ60" si="56">IF($D54="","",$D54)</f>
        <v/>
      </c>
      <c r="AR54" s="53">
        <f>AJ54+AO54+AV22</f>
        <v>2</v>
      </c>
      <c r="AS54" s="53" t="str">
        <f t="shared" ref="AS54:AS60" si="57">IFERROR(MROUND((M54*1.1),5),"")</f>
        <v/>
      </c>
      <c r="AT54" s="53" t="s">
        <v>459</v>
      </c>
      <c r="AU54" s="56"/>
      <c r="AV54" s="55"/>
      <c r="AW54" s="54"/>
      <c r="AX54" s="79"/>
      <c r="AY54" s="53" t="str">
        <f t="shared" ref="AY54:AY60" si="58">IF($D54="","",$D54)</f>
        <v/>
      </c>
      <c r="AZ54" s="53">
        <v>2</v>
      </c>
      <c r="BA54" s="53" t="str">
        <f t="shared" ref="BA54:BA60" si="59">IFERROR(MROUND((M54*0.5),5),"")</f>
        <v/>
      </c>
      <c r="BB54" s="53" t="s">
        <v>458</v>
      </c>
    </row>
    <row r="55" spans="2:54" ht="14.4" hidden="1" x14ac:dyDescent="0.3">
      <c r="B55" s="79"/>
      <c r="C55" s="59"/>
      <c r="D55" s="57"/>
      <c r="E55" s="57" t="e">
        <f>INDEX(Table_Name54104154[Name List],MATCH(C55,Table_Name54104154[Category],0))</f>
        <v>#N/A</v>
      </c>
      <c r="F55" s="57" t="e">
        <f>INDEX(Links75125175[Link],MATCH(D55,Links75125175[Exercise],0))</f>
        <v>#N/A</v>
      </c>
      <c r="G55" s="58" t="str">
        <f t="shared" si="48"/>
        <v/>
      </c>
      <c r="H55" s="57"/>
      <c r="I55" s="52"/>
      <c r="J55" s="79"/>
      <c r="K55" s="53" t="str">
        <f t="shared" si="49"/>
        <v/>
      </c>
      <c r="L55" s="53"/>
      <c r="M55" s="53" t="str">
        <f>IF(MROUND(((H55)*0.8),5)=0,"",MROUND(((H55)*0.8),5))</f>
        <v/>
      </c>
      <c r="N55" s="53"/>
      <c r="O55" s="56"/>
      <c r="P55" s="55"/>
      <c r="Q55" s="54"/>
      <c r="R55" s="79"/>
      <c r="S55" s="53" t="str">
        <f t="shared" si="50"/>
        <v/>
      </c>
      <c r="T55" s="53">
        <f>L55+Q55+X23</f>
        <v>0</v>
      </c>
      <c r="U55" s="53" t="str">
        <f t="shared" si="51"/>
        <v/>
      </c>
      <c r="V55" s="53"/>
      <c r="W55" s="56"/>
      <c r="X55" s="55"/>
      <c r="Y55" s="54"/>
      <c r="Z55" s="79"/>
      <c r="AA55" s="53" t="str">
        <f t="shared" si="52"/>
        <v/>
      </c>
      <c r="AB55" s="53">
        <f>T55+Y55+AF23</f>
        <v>0</v>
      </c>
      <c r="AC55" s="53" t="str">
        <f t="shared" si="53"/>
        <v/>
      </c>
      <c r="AD55" s="53"/>
      <c r="AE55" s="56"/>
      <c r="AF55" s="55"/>
      <c r="AG55" s="54"/>
      <c r="AH55" s="79"/>
      <c r="AI55" s="53" t="str">
        <f t="shared" si="54"/>
        <v/>
      </c>
      <c r="AJ55" s="53">
        <f>AB55+AG55+AN23</f>
        <v>0</v>
      </c>
      <c r="AK55" s="53" t="str">
        <f t="shared" si="55"/>
        <v/>
      </c>
      <c r="AL55" s="53"/>
      <c r="AM55" s="56"/>
      <c r="AN55" s="55"/>
      <c r="AO55" s="54"/>
      <c r="AP55" s="79"/>
      <c r="AQ55" s="53" t="str">
        <f t="shared" si="56"/>
        <v/>
      </c>
      <c r="AR55" s="53">
        <f>AJ55+AO55+AV23</f>
        <v>0</v>
      </c>
      <c r="AS55" s="53" t="str">
        <f t="shared" si="57"/>
        <v/>
      </c>
      <c r="AT55" s="53"/>
      <c r="AU55" s="56"/>
      <c r="AV55" s="55"/>
      <c r="AW55" s="54"/>
      <c r="AX55" s="79"/>
      <c r="AY55" s="53" t="str">
        <f t="shared" si="58"/>
        <v/>
      </c>
      <c r="AZ55" s="53"/>
      <c r="BA55" s="53" t="str">
        <f t="shared" si="59"/>
        <v/>
      </c>
      <c r="BB55" s="53"/>
    </row>
    <row r="56" spans="2:54" ht="14.4" x14ac:dyDescent="0.3">
      <c r="B56" s="79"/>
      <c r="C56" s="59" t="s">
        <v>416</v>
      </c>
      <c r="D56" s="57"/>
      <c r="E56" s="57" t="str">
        <f>INDEX(Table_Name54104154[Name List],MATCH(C56,Table_Name54104154[Category],0))</f>
        <v>Shoulders_M6[Exercise]</v>
      </c>
      <c r="F56" s="57" t="e">
        <f>INDEX(Links75125175[Link],MATCH(D56,Links75125175[Exercise],0))</f>
        <v>#N/A</v>
      </c>
      <c r="G56" s="58" t="str">
        <f t="shared" si="48"/>
        <v/>
      </c>
      <c r="H56" s="57"/>
      <c r="I56" s="52"/>
      <c r="J56" s="79"/>
      <c r="K56" s="53" t="str">
        <f t="shared" si="49"/>
        <v/>
      </c>
      <c r="L56" s="53">
        <v>3</v>
      </c>
      <c r="M56" s="53" t="str">
        <f>IF(MROUND(((H56)*0.9),5)=0,"",MROUND(((H56)*0.9),5))</f>
        <v/>
      </c>
      <c r="N56" s="53" t="s">
        <v>461</v>
      </c>
      <c r="O56" s="56"/>
      <c r="P56" s="55"/>
      <c r="Q56" s="54"/>
      <c r="R56" s="79"/>
      <c r="S56" s="53" t="str">
        <f t="shared" si="50"/>
        <v/>
      </c>
      <c r="T56" s="53">
        <f>L56+Q56</f>
        <v>3</v>
      </c>
      <c r="U56" s="53" t="str">
        <f t="shared" si="51"/>
        <v/>
      </c>
      <c r="V56" s="53" t="s">
        <v>461</v>
      </c>
      <c r="W56" s="56"/>
      <c r="X56" s="55"/>
      <c r="Y56" s="54"/>
      <c r="Z56" s="79"/>
      <c r="AA56" s="53" t="str">
        <f t="shared" si="52"/>
        <v/>
      </c>
      <c r="AB56" s="53">
        <f>T56+Y56</f>
        <v>3</v>
      </c>
      <c r="AC56" s="53" t="str">
        <f t="shared" si="53"/>
        <v/>
      </c>
      <c r="AD56" s="53" t="s">
        <v>460</v>
      </c>
      <c r="AE56" s="56"/>
      <c r="AF56" s="55"/>
      <c r="AG56" s="54"/>
      <c r="AH56" s="79"/>
      <c r="AI56" s="53" t="str">
        <f t="shared" si="54"/>
        <v/>
      </c>
      <c r="AJ56" s="53">
        <f>AB56+AG56</f>
        <v>3</v>
      </c>
      <c r="AK56" s="53" t="str">
        <f t="shared" si="55"/>
        <v/>
      </c>
      <c r="AL56" s="53" t="s">
        <v>460</v>
      </c>
      <c r="AM56" s="56"/>
      <c r="AN56" s="55"/>
      <c r="AO56" s="54"/>
      <c r="AP56" s="79"/>
      <c r="AQ56" s="53" t="str">
        <f t="shared" si="56"/>
        <v/>
      </c>
      <c r="AR56" s="53">
        <f>AJ56+AO56</f>
        <v>3</v>
      </c>
      <c r="AS56" s="53" t="str">
        <f t="shared" si="57"/>
        <v/>
      </c>
      <c r="AT56" s="53" t="s">
        <v>459</v>
      </c>
      <c r="AU56" s="56"/>
      <c r="AV56" s="55"/>
      <c r="AW56" s="54"/>
      <c r="AX56" s="79"/>
      <c r="AY56" s="53" t="str">
        <f t="shared" si="58"/>
        <v/>
      </c>
      <c r="AZ56" s="53">
        <v>2</v>
      </c>
      <c r="BA56" s="53" t="str">
        <f t="shared" si="59"/>
        <v/>
      </c>
      <c r="BB56" s="53" t="s">
        <v>458</v>
      </c>
    </row>
    <row r="57" spans="2:54" ht="14.4" hidden="1" x14ac:dyDescent="0.3">
      <c r="B57" s="79"/>
      <c r="C57" s="59"/>
      <c r="D57" s="57"/>
      <c r="E57" s="57" t="e">
        <f>INDEX(Table_Name54104154[Name List],MATCH(C57,Table_Name54104154[Category],0))</f>
        <v>#N/A</v>
      </c>
      <c r="F57" s="57" t="e">
        <f>INDEX(Links75125175[Link],MATCH(D57,Links75125175[Exercise],0))</f>
        <v>#N/A</v>
      </c>
      <c r="G57" s="58" t="str">
        <f t="shared" si="48"/>
        <v/>
      </c>
      <c r="H57" s="57"/>
      <c r="I57" s="52"/>
      <c r="J57" s="79"/>
      <c r="K57" s="53" t="str">
        <f t="shared" si="49"/>
        <v/>
      </c>
      <c r="L57" s="53"/>
      <c r="M57" s="53" t="str">
        <f>IF(MROUND(((H57)*0.8),5)=0,"",MROUND(((H57)*0.8),5))</f>
        <v/>
      </c>
      <c r="N57" s="53"/>
      <c r="O57" s="56"/>
      <c r="P57" s="55"/>
      <c r="Q57" s="54"/>
      <c r="R57" s="79"/>
      <c r="S57" s="53" t="str">
        <f t="shared" si="50"/>
        <v/>
      </c>
      <c r="T57" s="53">
        <f>L57+Q57</f>
        <v>0</v>
      </c>
      <c r="U57" s="53" t="str">
        <f t="shared" si="51"/>
        <v/>
      </c>
      <c r="V57" s="53"/>
      <c r="W57" s="56"/>
      <c r="X57" s="55"/>
      <c r="Y57" s="54"/>
      <c r="Z57" s="79"/>
      <c r="AA57" s="53" t="str">
        <f t="shared" si="52"/>
        <v/>
      </c>
      <c r="AB57" s="53">
        <f>T57+Y57</f>
        <v>0</v>
      </c>
      <c r="AC57" s="53" t="str">
        <f t="shared" si="53"/>
        <v/>
      </c>
      <c r="AD57" s="53"/>
      <c r="AE57" s="56"/>
      <c r="AF57" s="55"/>
      <c r="AG57" s="54"/>
      <c r="AH57" s="79"/>
      <c r="AI57" s="53" t="str">
        <f t="shared" si="54"/>
        <v/>
      </c>
      <c r="AJ57" s="53">
        <f>AB57+AG57</f>
        <v>0</v>
      </c>
      <c r="AK57" s="53" t="str">
        <f t="shared" si="55"/>
        <v/>
      </c>
      <c r="AL57" s="53"/>
      <c r="AM57" s="56"/>
      <c r="AN57" s="55"/>
      <c r="AO57" s="54"/>
      <c r="AP57" s="79"/>
      <c r="AQ57" s="53" t="str">
        <f t="shared" si="56"/>
        <v/>
      </c>
      <c r="AR57" s="53">
        <f>AJ57+AO57</f>
        <v>0</v>
      </c>
      <c r="AS57" s="53" t="str">
        <f t="shared" si="57"/>
        <v/>
      </c>
      <c r="AT57" s="53"/>
      <c r="AU57" s="56"/>
      <c r="AV57" s="55"/>
      <c r="AW57" s="54"/>
      <c r="AX57" s="79"/>
      <c r="AY57" s="53" t="str">
        <f t="shared" si="58"/>
        <v/>
      </c>
      <c r="AZ57" s="53"/>
      <c r="BA57" s="53" t="str">
        <f t="shared" si="59"/>
        <v/>
      </c>
      <c r="BB57" s="53"/>
    </row>
    <row r="58" spans="2:54" ht="14.4" x14ac:dyDescent="0.3">
      <c r="B58" s="79"/>
      <c r="C58" s="59" t="s">
        <v>349</v>
      </c>
      <c r="D58" s="57"/>
      <c r="E58" s="57" t="str">
        <f>INDEX(Table_Name54104154[Name List],MATCH(C58,Table_Name54104154[Category],0))</f>
        <v>Biceps_M6[Exercise]</v>
      </c>
      <c r="F58" s="57" t="e">
        <f>INDEX(Links75125175[Link],MATCH(D58,Links75125175[Exercise],0))</f>
        <v>#N/A</v>
      </c>
      <c r="G58" s="58" t="str">
        <f t="shared" si="48"/>
        <v/>
      </c>
      <c r="H58" s="57"/>
      <c r="I58" s="52"/>
      <c r="J58" s="79"/>
      <c r="K58" s="53" t="str">
        <f t="shared" si="49"/>
        <v/>
      </c>
      <c r="L58" s="53">
        <v>3</v>
      </c>
      <c r="M58" s="53" t="str">
        <f>IF(MROUND(((H58)*0.9),5)=0,"",MROUND(((H58)*0.9),5))</f>
        <v/>
      </c>
      <c r="N58" s="53" t="s">
        <v>461</v>
      </c>
      <c r="O58" s="56"/>
      <c r="P58" s="55"/>
      <c r="Q58" s="54"/>
      <c r="R58" s="79"/>
      <c r="S58" s="53" t="str">
        <f t="shared" si="50"/>
        <v/>
      </c>
      <c r="T58" s="53">
        <f>L58+Q58+X24</f>
        <v>3</v>
      </c>
      <c r="U58" s="53" t="str">
        <f t="shared" si="51"/>
        <v/>
      </c>
      <c r="V58" s="53" t="s">
        <v>461</v>
      </c>
      <c r="W58" s="56"/>
      <c r="X58" s="55"/>
      <c r="Y58" s="54"/>
      <c r="Z58" s="79"/>
      <c r="AA58" s="53" t="str">
        <f t="shared" si="52"/>
        <v/>
      </c>
      <c r="AB58" s="53">
        <f>T58+Y58+AF24</f>
        <v>3</v>
      </c>
      <c r="AC58" s="53" t="str">
        <f t="shared" si="53"/>
        <v/>
      </c>
      <c r="AD58" s="53" t="s">
        <v>460</v>
      </c>
      <c r="AE58" s="56"/>
      <c r="AF58" s="55"/>
      <c r="AG58" s="54"/>
      <c r="AH58" s="79"/>
      <c r="AI58" s="53" t="str">
        <f t="shared" si="54"/>
        <v/>
      </c>
      <c r="AJ58" s="53">
        <f>AB58+AG58+AN24</f>
        <v>3</v>
      </c>
      <c r="AK58" s="53" t="str">
        <f t="shared" si="55"/>
        <v/>
      </c>
      <c r="AL58" s="53" t="s">
        <v>460</v>
      </c>
      <c r="AM58" s="56"/>
      <c r="AN58" s="55"/>
      <c r="AO58" s="54"/>
      <c r="AP58" s="79"/>
      <c r="AQ58" s="53" t="str">
        <f t="shared" si="56"/>
        <v/>
      </c>
      <c r="AR58" s="53">
        <f>AJ58+AO58+AV24</f>
        <v>3</v>
      </c>
      <c r="AS58" s="53" t="str">
        <f t="shared" si="57"/>
        <v/>
      </c>
      <c r="AT58" s="53" t="s">
        <v>459</v>
      </c>
      <c r="AU58" s="56"/>
      <c r="AV58" s="55"/>
      <c r="AW58" s="54"/>
      <c r="AX58" s="79"/>
      <c r="AY58" s="53" t="str">
        <f t="shared" si="58"/>
        <v/>
      </c>
      <c r="AZ58" s="53">
        <v>2</v>
      </c>
      <c r="BA58" s="53" t="str">
        <f t="shared" si="59"/>
        <v/>
      </c>
      <c r="BB58" s="53" t="s">
        <v>458</v>
      </c>
    </row>
    <row r="59" spans="2:54" ht="14.4" hidden="1" x14ac:dyDescent="0.3">
      <c r="B59" s="79"/>
      <c r="C59" s="59"/>
      <c r="D59" s="57"/>
      <c r="E59" s="57" t="e">
        <f>INDEX(Table_Name54104154[Name List],MATCH(C59,Table_Name54104154[Category],0))</f>
        <v>#N/A</v>
      </c>
      <c r="F59" s="57" t="e">
        <f>INDEX(Links75125175[Link],MATCH(D59,Links75125175[Exercise],0))</f>
        <v>#N/A</v>
      </c>
      <c r="G59" s="58" t="str">
        <f t="shared" si="48"/>
        <v/>
      </c>
      <c r="H59" s="57"/>
      <c r="I59" s="52"/>
      <c r="J59" s="79"/>
      <c r="K59" s="53" t="str">
        <f t="shared" si="49"/>
        <v/>
      </c>
      <c r="L59" s="53"/>
      <c r="M59" s="53" t="str">
        <f>IF(MROUND(((H59)*0.8),5)=0,"",MROUND(((H59)*0.8),5))</f>
        <v/>
      </c>
      <c r="N59" s="53"/>
      <c r="O59" s="56"/>
      <c r="P59" s="55"/>
      <c r="Q59" s="54"/>
      <c r="R59" s="79"/>
      <c r="S59" s="53" t="str">
        <f t="shared" si="50"/>
        <v/>
      </c>
      <c r="T59" s="53">
        <f>L59+Q59+X25</f>
        <v>0</v>
      </c>
      <c r="U59" s="53" t="str">
        <f t="shared" si="51"/>
        <v/>
      </c>
      <c r="V59" s="53"/>
      <c r="W59" s="56"/>
      <c r="X59" s="55"/>
      <c r="Y59" s="54"/>
      <c r="Z59" s="79"/>
      <c r="AA59" s="53" t="str">
        <f t="shared" si="52"/>
        <v/>
      </c>
      <c r="AB59" s="53">
        <f>T59+Y59+AF25</f>
        <v>0</v>
      </c>
      <c r="AC59" s="53" t="str">
        <f t="shared" si="53"/>
        <v/>
      </c>
      <c r="AD59" s="53"/>
      <c r="AE59" s="56"/>
      <c r="AF59" s="55"/>
      <c r="AG59" s="54"/>
      <c r="AH59" s="79"/>
      <c r="AI59" s="53" t="str">
        <f t="shared" si="54"/>
        <v/>
      </c>
      <c r="AJ59" s="53">
        <f>AB59+AG59+AN25</f>
        <v>0</v>
      </c>
      <c r="AK59" s="53" t="str">
        <f t="shared" si="55"/>
        <v/>
      </c>
      <c r="AL59" s="53"/>
      <c r="AM59" s="56"/>
      <c r="AN59" s="55"/>
      <c r="AO59" s="54"/>
      <c r="AP59" s="79"/>
      <c r="AQ59" s="53" t="str">
        <f t="shared" si="56"/>
        <v/>
      </c>
      <c r="AR59" s="53">
        <f>AJ59+AO59+AV25</f>
        <v>0</v>
      </c>
      <c r="AS59" s="53" t="str">
        <f t="shared" si="57"/>
        <v/>
      </c>
      <c r="AT59" s="53"/>
      <c r="AU59" s="56"/>
      <c r="AV59" s="55"/>
      <c r="AW59" s="54"/>
      <c r="AX59" s="79"/>
      <c r="AY59" s="53" t="str">
        <f t="shared" si="58"/>
        <v/>
      </c>
      <c r="AZ59" s="53"/>
      <c r="BA59" s="53" t="str">
        <f t="shared" si="59"/>
        <v/>
      </c>
      <c r="BB59" s="53"/>
    </row>
    <row r="60" spans="2:54" ht="14.4" x14ac:dyDescent="0.3">
      <c r="B60" s="80"/>
      <c r="C60" s="59" t="s">
        <v>438</v>
      </c>
      <c r="D60" s="57"/>
      <c r="E60" s="57" t="str">
        <f>INDEX(Table_Name54104154[Name List],MATCH(C60,Table_Name54104154[Category],0))</f>
        <v>Forearms_M6[Exercise]</v>
      </c>
      <c r="F60" s="57" t="e">
        <f>INDEX(Links75125175[Link],MATCH(D60,Links75125175[Exercise],0))</f>
        <v>#N/A</v>
      </c>
      <c r="G60" s="58" t="str">
        <f t="shared" si="48"/>
        <v/>
      </c>
      <c r="H60" s="57"/>
      <c r="I60" s="52"/>
      <c r="J60" s="80"/>
      <c r="K60" s="53" t="str">
        <f t="shared" si="49"/>
        <v/>
      </c>
      <c r="L60" s="53">
        <v>3</v>
      </c>
      <c r="M60" s="53" t="str">
        <f>IF(MROUND(((H60)*0.8),5)=0,"",MROUND(((H60)*0.8),5))</f>
        <v/>
      </c>
      <c r="N60" s="53" t="s">
        <v>461</v>
      </c>
      <c r="O60" s="56"/>
      <c r="P60" s="55"/>
      <c r="Q60" s="54"/>
      <c r="R60" s="80"/>
      <c r="S60" s="53" t="str">
        <f t="shared" si="50"/>
        <v/>
      </c>
      <c r="T60" s="53">
        <f>L60+Q60+X28</f>
        <v>3</v>
      </c>
      <c r="U60" s="53" t="str">
        <f t="shared" si="51"/>
        <v/>
      </c>
      <c r="V60" s="53" t="s">
        <v>461</v>
      </c>
      <c r="W60" s="56"/>
      <c r="X60" s="55"/>
      <c r="Y60" s="54"/>
      <c r="Z60" s="80"/>
      <c r="AA60" s="53" t="str">
        <f t="shared" si="52"/>
        <v/>
      </c>
      <c r="AB60" s="53">
        <f>T60+Y60+AF28</f>
        <v>3</v>
      </c>
      <c r="AC60" s="53" t="str">
        <f t="shared" si="53"/>
        <v/>
      </c>
      <c r="AD60" s="53" t="s">
        <v>460</v>
      </c>
      <c r="AE60" s="56"/>
      <c r="AF60" s="55"/>
      <c r="AG60" s="54"/>
      <c r="AH60" s="80"/>
      <c r="AI60" s="53" t="str">
        <f t="shared" si="54"/>
        <v/>
      </c>
      <c r="AJ60" s="53">
        <f>AB60+AG60+AN28</f>
        <v>3</v>
      </c>
      <c r="AK60" s="53" t="str">
        <f t="shared" si="55"/>
        <v/>
      </c>
      <c r="AL60" s="53" t="s">
        <v>460</v>
      </c>
      <c r="AM60" s="56"/>
      <c r="AN60" s="55"/>
      <c r="AO60" s="54"/>
      <c r="AP60" s="80"/>
      <c r="AQ60" s="53" t="str">
        <f t="shared" si="56"/>
        <v/>
      </c>
      <c r="AR60" s="53">
        <f>AJ60+AO60+AV28</f>
        <v>3</v>
      </c>
      <c r="AS60" s="53" t="str">
        <f t="shared" si="57"/>
        <v/>
      </c>
      <c r="AT60" s="53" t="s">
        <v>459</v>
      </c>
      <c r="AU60" s="56"/>
      <c r="AV60" s="55"/>
      <c r="AW60" s="54"/>
      <c r="AX60" s="80"/>
      <c r="AY60" s="53" t="str">
        <f t="shared" si="58"/>
        <v/>
      </c>
      <c r="AZ60" s="53">
        <v>2</v>
      </c>
      <c r="BA60" s="53" t="str">
        <f t="shared" si="59"/>
        <v/>
      </c>
      <c r="BB60" s="53" t="s">
        <v>458</v>
      </c>
    </row>
    <row r="61" spans="2:54" ht="54" customHeight="1" x14ac:dyDescent="0.3">
      <c r="D61" s="52"/>
      <c r="E61" s="52"/>
      <c r="F61" s="52"/>
      <c r="G61" s="52" t="s">
        <v>456</v>
      </c>
      <c r="H61" s="52"/>
      <c r="I61" s="52"/>
      <c r="J61" s="51"/>
      <c r="K61" s="85" t="s">
        <v>472</v>
      </c>
      <c r="L61" s="85"/>
      <c r="M61" s="85"/>
      <c r="N61" s="85"/>
      <c r="O61" s="85"/>
      <c r="P61" s="85"/>
      <c r="Q61" s="85"/>
      <c r="R61" s="50"/>
      <c r="S61" s="85" t="s">
        <v>472</v>
      </c>
      <c r="T61" s="85"/>
      <c r="U61" s="85"/>
      <c r="V61" s="85"/>
      <c r="W61" s="85"/>
      <c r="X61" s="85"/>
      <c r="Y61" s="85"/>
      <c r="Z61" s="50"/>
      <c r="AA61" s="85" t="s">
        <v>472</v>
      </c>
      <c r="AB61" s="85"/>
      <c r="AC61" s="85"/>
      <c r="AD61" s="85"/>
      <c r="AE61" s="85"/>
      <c r="AF61" s="85"/>
      <c r="AG61" s="85"/>
      <c r="AH61" s="50"/>
      <c r="AI61" s="85" t="s">
        <v>472</v>
      </c>
      <c r="AJ61" s="85"/>
      <c r="AK61" s="85"/>
      <c r="AL61" s="85"/>
      <c r="AM61" s="85"/>
      <c r="AN61" s="85"/>
      <c r="AO61" s="85"/>
      <c r="AP61" s="50"/>
      <c r="AQ61" s="85" t="s">
        <v>472</v>
      </c>
      <c r="AR61" s="85"/>
      <c r="AS61" s="85"/>
      <c r="AT61" s="85"/>
      <c r="AU61" s="85"/>
      <c r="AV61" s="85"/>
      <c r="AW61" s="85"/>
      <c r="AX61" s="49"/>
      <c r="AY61" s="48"/>
      <c r="AZ61" s="48"/>
      <c r="BA61" s="48"/>
      <c r="BB61" s="48"/>
    </row>
    <row r="62" spans="2:54" ht="31.2" x14ac:dyDescent="0.35">
      <c r="D62" s="52"/>
      <c r="E62" s="52"/>
      <c r="F62" s="52"/>
      <c r="G62" s="52"/>
      <c r="H62" s="52"/>
      <c r="I62" s="52"/>
      <c r="J62" s="51"/>
      <c r="K62" s="86"/>
      <c r="L62" s="87"/>
      <c r="M62" s="87"/>
      <c r="N62" s="87"/>
      <c r="O62" s="87"/>
      <c r="P62" s="87"/>
      <c r="Q62" s="88"/>
      <c r="R62" s="51"/>
      <c r="S62" s="89"/>
      <c r="T62" s="90"/>
      <c r="U62" s="90"/>
      <c r="V62" s="90"/>
      <c r="W62" s="90"/>
      <c r="X62" s="90"/>
      <c r="Y62" s="91"/>
      <c r="Z62" s="51"/>
      <c r="AA62" s="92"/>
      <c r="AB62" s="93"/>
      <c r="AC62" s="93"/>
      <c r="AD62" s="93"/>
      <c r="AE62" s="93"/>
      <c r="AF62" s="93"/>
      <c r="AG62" s="94"/>
      <c r="AH62" s="51"/>
      <c r="AI62" s="95"/>
      <c r="AJ62" s="96"/>
      <c r="AK62" s="96"/>
      <c r="AL62" s="96"/>
      <c r="AM62" s="96"/>
      <c r="AN62" s="96"/>
      <c r="AO62" s="97"/>
      <c r="AP62" s="51"/>
      <c r="AQ62" s="98"/>
      <c r="AR62" s="99"/>
      <c r="AS62" s="99"/>
      <c r="AT62" s="99"/>
      <c r="AU62" s="99"/>
      <c r="AV62" s="99"/>
      <c r="AW62" s="100"/>
      <c r="AX62" s="49"/>
      <c r="AY62" s="82"/>
      <c r="AZ62" s="83"/>
      <c r="BA62" s="83"/>
      <c r="BB62" s="84"/>
    </row>
    <row r="63" spans="2:54" ht="30" customHeight="1" x14ac:dyDescent="0.3">
      <c r="B63" s="78" t="s">
        <v>465</v>
      </c>
      <c r="C63" s="67" t="s">
        <v>471</v>
      </c>
      <c r="D63" s="65" t="s">
        <v>409</v>
      </c>
      <c r="E63" s="65"/>
      <c r="F63" s="65"/>
      <c r="G63" s="66" t="s">
        <v>470</v>
      </c>
      <c r="H63" s="65" t="s">
        <v>469</v>
      </c>
      <c r="I63" s="64"/>
      <c r="J63" s="78" t="s">
        <v>465</v>
      </c>
      <c r="K63" s="60" t="s">
        <v>409</v>
      </c>
      <c r="L63" s="60" t="s">
        <v>464</v>
      </c>
      <c r="M63" s="60" t="s">
        <v>463</v>
      </c>
      <c r="N63" s="60" t="s">
        <v>462</v>
      </c>
      <c r="O63" s="63" t="s">
        <v>468</v>
      </c>
      <c r="P63" s="62" t="s">
        <v>467</v>
      </c>
      <c r="Q63" s="61" t="s">
        <v>466</v>
      </c>
      <c r="R63" s="78" t="s">
        <v>465</v>
      </c>
      <c r="S63" s="60" t="s">
        <v>409</v>
      </c>
      <c r="T63" s="60" t="s">
        <v>464</v>
      </c>
      <c r="U63" s="60" t="s">
        <v>463</v>
      </c>
      <c r="V63" s="60" t="s">
        <v>462</v>
      </c>
      <c r="W63" s="63" t="s">
        <v>468</v>
      </c>
      <c r="X63" s="62" t="s">
        <v>467</v>
      </c>
      <c r="Y63" s="61" t="s">
        <v>466</v>
      </c>
      <c r="Z63" s="78" t="s">
        <v>465</v>
      </c>
      <c r="AA63" s="60" t="s">
        <v>409</v>
      </c>
      <c r="AB63" s="60" t="s">
        <v>464</v>
      </c>
      <c r="AC63" s="60" t="s">
        <v>463</v>
      </c>
      <c r="AD63" s="60" t="s">
        <v>462</v>
      </c>
      <c r="AE63" s="63" t="s">
        <v>468</v>
      </c>
      <c r="AF63" s="62" t="s">
        <v>467</v>
      </c>
      <c r="AG63" s="61" t="s">
        <v>466</v>
      </c>
      <c r="AH63" s="78" t="s">
        <v>465</v>
      </c>
      <c r="AI63" s="60" t="s">
        <v>409</v>
      </c>
      <c r="AJ63" s="60" t="s">
        <v>464</v>
      </c>
      <c r="AK63" s="60" t="s">
        <v>463</v>
      </c>
      <c r="AL63" s="60" t="s">
        <v>462</v>
      </c>
      <c r="AM63" s="63" t="s">
        <v>468</v>
      </c>
      <c r="AN63" s="62" t="s">
        <v>467</v>
      </c>
      <c r="AO63" s="61" t="s">
        <v>466</v>
      </c>
      <c r="AP63" s="78" t="s">
        <v>465</v>
      </c>
      <c r="AQ63" s="60" t="s">
        <v>409</v>
      </c>
      <c r="AR63" s="60" t="s">
        <v>464</v>
      </c>
      <c r="AS63" s="60" t="s">
        <v>463</v>
      </c>
      <c r="AT63" s="60" t="s">
        <v>462</v>
      </c>
      <c r="AU63" s="63" t="s">
        <v>468</v>
      </c>
      <c r="AV63" s="62" t="s">
        <v>467</v>
      </c>
      <c r="AW63" s="61" t="s">
        <v>466</v>
      </c>
      <c r="AX63" s="78" t="s">
        <v>465</v>
      </c>
      <c r="AY63" s="60" t="s">
        <v>409</v>
      </c>
      <c r="AZ63" s="60" t="s">
        <v>464</v>
      </c>
      <c r="BA63" s="60" t="s">
        <v>463</v>
      </c>
      <c r="BB63" s="60" t="s">
        <v>462</v>
      </c>
    </row>
    <row r="64" spans="2:54" ht="14.4" x14ac:dyDescent="0.3">
      <c r="B64" s="79"/>
      <c r="C64" s="59" t="s">
        <v>430</v>
      </c>
      <c r="D64" s="57"/>
      <c r="E64" s="57" t="str">
        <f>INDEX(Table_Name54104154[Name List],MATCH(C64,Table_Name54104154[Category],0))</f>
        <v>Hamstrings_M6[Exercise]</v>
      </c>
      <c r="F64" s="57" t="e">
        <f>INDEX(Links75125175[Link],MATCH(D64,Links75125175[Exercise],0))</f>
        <v>#N/A</v>
      </c>
      <c r="G64" s="58" t="str">
        <f t="shared" ref="G64:G72" si="60">_xlfn.IFNA(HYPERLINK(F64,D64),"")</f>
        <v/>
      </c>
      <c r="H64" s="57"/>
      <c r="I64" s="52"/>
      <c r="J64" s="79"/>
      <c r="K64" s="53" t="str">
        <f t="shared" ref="K64:K72" si="61">IF($D64="","",$D64)</f>
        <v/>
      </c>
      <c r="L64" s="53">
        <v>2</v>
      </c>
      <c r="M64" s="53" t="str">
        <f>IF(MROUND(((H64)*0.9),5)=0,"",MROUND(((H64)*0.9),5))</f>
        <v/>
      </c>
      <c r="N64" s="53" t="s">
        <v>461</v>
      </c>
      <c r="O64" s="56"/>
      <c r="P64" s="55"/>
      <c r="Q64" s="54"/>
      <c r="R64" s="79"/>
      <c r="S64" s="53" t="str">
        <f t="shared" ref="S64:S72" si="62">IF($D64="","",$D64)</f>
        <v/>
      </c>
      <c r="T64" s="53">
        <f>L64+Q64+X36</f>
        <v>2</v>
      </c>
      <c r="U64" s="53" t="str">
        <f t="shared" ref="U64:U72" si="63">IFERROR(MROUND((M64*1.025),5),"")</f>
        <v/>
      </c>
      <c r="V64" s="53" t="s">
        <v>461</v>
      </c>
      <c r="W64" s="56"/>
      <c r="X64" s="55"/>
      <c r="Y64" s="54"/>
      <c r="Z64" s="79"/>
      <c r="AA64" s="53" t="str">
        <f t="shared" ref="AA64:AA72" si="64">IF($D64="","",$D64)</f>
        <v/>
      </c>
      <c r="AB64" s="53">
        <f>T64+Y64+AF36</f>
        <v>2</v>
      </c>
      <c r="AC64" s="53" t="str">
        <f t="shared" ref="AC64:AC72" si="65">IFERROR(MROUND((M64*1.05),5),"")</f>
        <v/>
      </c>
      <c r="AD64" s="53" t="s">
        <v>460</v>
      </c>
      <c r="AE64" s="56"/>
      <c r="AF64" s="55"/>
      <c r="AG64" s="54"/>
      <c r="AH64" s="79"/>
      <c r="AI64" s="53" t="str">
        <f t="shared" ref="AI64:AI72" si="66">IF($D64="","",$D64)</f>
        <v/>
      </c>
      <c r="AJ64" s="53">
        <f>AB64+AG64+AN36</f>
        <v>2</v>
      </c>
      <c r="AK64" s="53" t="str">
        <f t="shared" ref="AK64:AK72" si="67">IFERROR(MROUND((M64*1.075),5),"")</f>
        <v/>
      </c>
      <c r="AL64" s="53" t="s">
        <v>460</v>
      </c>
      <c r="AM64" s="56"/>
      <c r="AN64" s="55"/>
      <c r="AO64" s="54"/>
      <c r="AP64" s="79"/>
      <c r="AQ64" s="53" t="str">
        <f t="shared" ref="AQ64:AQ72" si="68">IF($D64="","",$D64)</f>
        <v/>
      </c>
      <c r="AR64" s="53">
        <f>AJ64+AO64+AV36</f>
        <v>2</v>
      </c>
      <c r="AS64" s="53" t="str">
        <f t="shared" ref="AS64:AS72" si="69">IFERROR(MROUND((M64*1.1),5),"")</f>
        <v/>
      </c>
      <c r="AT64" s="53" t="s">
        <v>459</v>
      </c>
      <c r="AU64" s="56"/>
      <c r="AV64" s="55"/>
      <c r="AW64" s="54"/>
      <c r="AX64" s="79"/>
      <c r="AY64" s="53" t="str">
        <f t="shared" ref="AY64:AY72" si="70">IF($D64="","",$D64)</f>
        <v/>
      </c>
      <c r="AZ64" s="53">
        <v>2</v>
      </c>
      <c r="BA64" s="53" t="str">
        <f t="shared" ref="BA64:BA72" si="71">IFERROR(MROUND((M64*0.5),5),"")</f>
        <v/>
      </c>
      <c r="BB64" s="53" t="s">
        <v>458</v>
      </c>
    </row>
    <row r="65" spans="2:54" ht="14.4" hidden="1" x14ac:dyDescent="0.3">
      <c r="B65" s="79"/>
      <c r="C65" s="59"/>
      <c r="D65" s="57"/>
      <c r="E65" s="57" t="e">
        <f>INDEX(Table_Name54104154[Name List],MATCH(C65,Table_Name54104154[Category],0))</f>
        <v>#N/A</v>
      </c>
      <c r="F65" s="57" t="e">
        <f>INDEX(Links75125175[Link],MATCH(D65,Links75125175[Exercise],0))</f>
        <v>#N/A</v>
      </c>
      <c r="G65" s="58" t="str">
        <f t="shared" si="60"/>
        <v/>
      </c>
      <c r="H65" s="57"/>
      <c r="I65" s="52"/>
      <c r="J65" s="79"/>
      <c r="K65" s="53" t="str">
        <f t="shared" si="61"/>
        <v/>
      </c>
      <c r="L65" s="53"/>
      <c r="M65" s="53" t="str">
        <f>IF(MROUND(((H65)*0.8),5)=0,"",MROUND(((H65)*0.8),5))</f>
        <v/>
      </c>
      <c r="N65" s="53"/>
      <c r="O65" s="56"/>
      <c r="P65" s="55"/>
      <c r="Q65" s="54"/>
      <c r="R65" s="79"/>
      <c r="S65" s="53" t="str">
        <f t="shared" si="62"/>
        <v/>
      </c>
      <c r="T65" s="53">
        <f>L65+Q65+X37</f>
        <v>0</v>
      </c>
      <c r="U65" s="53" t="str">
        <f t="shared" si="63"/>
        <v/>
      </c>
      <c r="V65" s="53"/>
      <c r="W65" s="56"/>
      <c r="X65" s="55"/>
      <c r="Y65" s="54"/>
      <c r="Z65" s="79"/>
      <c r="AA65" s="53" t="str">
        <f t="shared" si="64"/>
        <v/>
      </c>
      <c r="AB65" s="53">
        <f>T65+Y65+AF37</f>
        <v>0</v>
      </c>
      <c r="AC65" s="53" t="str">
        <f t="shared" si="65"/>
        <v/>
      </c>
      <c r="AD65" s="53"/>
      <c r="AE65" s="56"/>
      <c r="AF65" s="55"/>
      <c r="AG65" s="54"/>
      <c r="AH65" s="79"/>
      <c r="AI65" s="53" t="str">
        <f t="shared" si="66"/>
        <v/>
      </c>
      <c r="AJ65" s="53">
        <f>AB65+AG65+AN37</f>
        <v>0</v>
      </c>
      <c r="AK65" s="53" t="str">
        <f t="shared" si="67"/>
        <v/>
      </c>
      <c r="AL65" s="53"/>
      <c r="AM65" s="56"/>
      <c r="AN65" s="55"/>
      <c r="AO65" s="54"/>
      <c r="AP65" s="79"/>
      <c r="AQ65" s="53" t="str">
        <f t="shared" si="68"/>
        <v/>
      </c>
      <c r="AR65" s="53">
        <f>AJ65+AO65+AV37</f>
        <v>0</v>
      </c>
      <c r="AS65" s="53" t="str">
        <f t="shared" si="69"/>
        <v/>
      </c>
      <c r="AT65" s="53"/>
      <c r="AU65" s="56"/>
      <c r="AV65" s="55"/>
      <c r="AW65" s="54"/>
      <c r="AX65" s="79"/>
      <c r="AY65" s="53" t="str">
        <f t="shared" si="70"/>
        <v/>
      </c>
      <c r="AZ65" s="53"/>
      <c r="BA65" s="53" t="str">
        <f t="shared" si="71"/>
        <v/>
      </c>
      <c r="BB65" s="53"/>
    </row>
    <row r="66" spans="2:54" ht="14.4" x14ac:dyDescent="0.3">
      <c r="B66" s="79"/>
      <c r="C66" s="59" t="s">
        <v>111</v>
      </c>
      <c r="D66" s="57"/>
      <c r="E66" s="57" t="str">
        <f>INDEX(Table_Name54104154[Name List],MATCH(C66,Table_Name54104154[Category],0))</f>
        <v>Quads_M6[Exercise]</v>
      </c>
      <c r="F66" s="57" t="e">
        <f>INDEX(Links75125175[Link],MATCH(D66,Links75125175[Exercise],0))</f>
        <v>#N/A</v>
      </c>
      <c r="G66" s="58" t="str">
        <f t="shared" si="60"/>
        <v/>
      </c>
      <c r="H66" s="57"/>
      <c r="I66" s="52"/>
      <c r="J66" s="79"/>
      <c r="K66" s="53" t="str">
        <f t="shared" si="61"/>
        <v/>
      </c>
      <c r="L66" s="53">
        <v>2</v>
      </c>
      <c r="M66" s="53" t="str">
        <f>IF(MROUND(((H66)*0.9),5)=0,"",MROUND(((H66)*0.9),5))</f>
        <v/>
      </c>
      <c r="N66" s="53" t="s">
        <v>461</v>
      </c>
      <c r="O66" s="56"/>
      <c r="P66" s="55"/>
      <c r="Q66" s="54"/>
      <c r="R66" s="79"/>
      <c r="S66" s="53" t="str">
        <f t="shared" si="62"/>
        <v/>
      </c>
      <c r="T66" s="53">
        <f>L66+Q66+X32</f>
        <v>2</v>
      </c>
      <c r="U66" s="53" t="str">
        <f t="shared" si="63"/>
        <v/>
      </c>
      <c r="V66" s="53" t="s">
        <v>461</v>
      </c>
      <c r="W66" s="56"/>
      <c r="X66" s="55"/>
      <c r="Y66" s="54"/>
      <c r="Z66" s="79"/>
      <c r="AA66" s="53" t="str">
        <f t="shared" si="64"/>
        <v/>
      </c>
      <c r="AB66" s="53">
        <f>T66+Y66+AF32</f>
        <v>2</v>
      </c>
      <c r="AC66" s="53" t="str">
        <f t="shared" si="65"/>
        <v/>
      </c>
      <c r="AD66" s="53" t="s">
        <v>460</v>
      </c>
      <c r="AE66" s="56"/>
      <c r="AF66" s="55"/>
      <c r="AG66" s="54"/>
      <c r="AH66" s="79"/>
      <c r="AI66" s="53" t="str">
        <f t="shared" si="66"/>
        <v/>
      </c>
      <c r="AJ66" s="53">
        <f>AB66+AG66+AN32</f>
        <v>2</v>
      </c>
      <c r="AK66" s="53" t="str">
        <f t="shared" si="67"/>
        <v/>
      </c>
      <c r="AL66" s="53" t="s">
        <v>460</v>
      </c>
      <c r="AM66" s="56"/>
      <c r="AN66" s="55"/>
      <c r="AO66" s="54"/>
      <c r="AP66" s="79"/>
      <c r="AQ66" s="53" t="str">
        <f t="shared" si="68"/>
        <v/>
      </c>
      <c r="AR66" s="53">
        <f>AJ66+AO66+AV32</f>
        <v>2</v>
      </c>
      <c r="AS66" s="53" t="str">
        <f t="shared" si="69"/>
        <v/>
      </c>
      <c r="AT66" s="53" t="s">
        <v>459</v>
      </c>
      <c r="AU66" s="56"/>
      <c r="AV66" s="55"/>
      <c r="AW66" s="54"/>
      <c r="AX66" s="79"/>
      <c r="AY66" s="53" t="str">
        <f t="shared" si="70"/>
        <v/>
      </c>
      <c r="AZ66" s="53">
        <v>2</v>
      </c>
      <c r="BA66" s="53" t="str">
        <f t="shared" si="71"/>
        <v/>
      </c>
      <c r="BB66" s="53" t="s">
        <v>458</v>
      </c>
    </row>
    <row r="67" spans="2:54" ht="14.4" x14ac:dyDescent="0.3">
      <c r="B67" s="79"/>
      <c r="C67" s="59" t="s">
        <v>111</v>
      </c>
      <c r="D67" s="57"/>
      <c r="E67" s="57" t="str">
        <f>INDEX(Table_Name54104154[Name List],MATCH(C67,Table_Name54104154[Category],0))</f>
        <v>Quads_M6[Exercise]</v>
      </c>
      <c r="F67" s="57" t="e">
        <f>INDEX(Links75125175[Link],MATCH(D67,Links75125175[Exercise],0))</f>
        <v>#N/A</v>
      </c>
      <c r="G67" s="58" t="str">
        <f t="shared" si="60"/>
        <v/>
      </c>
      <c r="H67" s="57"/>
      <c r="I67" s="52"/>
      <c r="J67" s="79"/>
      <c r="K67" s="53" t="str">
        <f t="shared" si="61"/>
        <v/>
      </c>
      <c r="L67" s="53">
        <v>2</v>
      </c>
      <c r="M67" s="53" t="str">
        <f>IF(MROUND(((H67)*0.8),5)=0,"",MROUND(((H67)*0.8),5))</f>
        <v/>
      </c>
      <c r="N67" s="53" t="s">
        <v>461</v>
      </c>
      <c r="O67" s="56"/>
      <c r="P67" s="55"/>
      <c r="Q67" s="54"/>
      <c r="R67" s="79"/>
      <c r="S67" s="53" t="str">
        <f t="shared" si="62"/>
        <v/>
      </c>
      <c r="T67" s="53">
        <f>L67+Q67+X33</f>
        <v>2</v>
      </c>
      <c r="U67" s="53" t="str">
        <f t="shared" si="63"/>
        <v/>
      </c>
      <c r="V67" s="53" t="s">
        <v>461</v>
      </c>
      <c r="W67" s="56"/>
      <c r="X67" s="55"/>
      <c r="Y67" s="54"/>
      <c r="Z67" s="79"/>
      <c r="AA67" s="53" t="str">
        <f t="shared" si="64"/>
        <v/>
      </c>
      <c r="AB67" s="53">
        <f>T67+Y67+AF33</f>
        <v>2</v>
      </c>
      <c r="AC67" s="53" t="str">
        <f t="shared" si="65"/>
        <v/>
      </c>
      <c r="AD67" s="53" t="s">
        <v>460</v>
      </c>
      <c r="AE67" s="56"/>
      <c r="AF67" s="55"/>
      <c r="AG67" s="54"/>
      <c r="AH67" s="79"/>
      <c r="AI67" s="53" t="str">
        <f t="shared" si="66"/>
        <v/>
      </c>
      <c r="AJ67" s="53">
        <f>AB67+AG67+AN33</f>
        <v>2</v>
      </c>
      <c r="AK67" s="53" t="str">
        <f t="shared" si="67"/>
        <v/>
      </c>
      <c r="AL67" s="53" t="s">
        <v>460</v>
      </c>
      <c r="AM67" s="56"/>
      <c r="AN67" s="55"/>
      <c r="AO67" s="54"/>
      <c r="AP67" s="79"/>
      <c r="AQ67" s="53" t="str">
        <f t="shared" si="68"/>
        <v/>
      </c>
      <c r="AR67" s="53">
        <f>AJ67+AO67+AV33</f>
        <v>2</v>
      </c>
      <c r="AS67" s="53" t="str">
        <f t="shared" si="69"/>
        <v/>
      </c>
      <c r="AT67" s="53" t="s">
        <v>459</v>
      </c>
      <c r="AU67" s="56"/>
      <c r="AV67" s="55"/>
      <c r="AW67" s="54"/>
      <c r="AX67" s="79"/>
      <c r="AY67" s="53" t="str">
        <f t="shared" si="70"/>
        <v/>
      </c>
      <c r="AZ67" s="53">
        <v>2</v>
      </c>
      <c r="BA67" s="53" t="str">
        <f t="shared" si="71"/>
        <v/>
      </c>
      <c r="BB67" s="53" t="s">
        <v>458</v>
      </c>
    </row>
    <row r="68" spans="2:54" ht="14.4" x14ac:dyDescent="0.3">
      <c r="B68" s="79"/>
      <c r="C68" s="59" t="s">
        <v>254</v>
      </c>
      <c r="D68" s="57"/>
      <c r="E68" s="57" t="str">
        <f>INDEX(Table_Name54104154[Name List],MATCH(C68,Table_Name54104154[Category],0))</f>
        <v>Glutes_M6[Exercise]</v>
      </c>
      <c r="F68" s="57" t="e">
        <f>INDEX(Links75125175[Link],MATCH(D68,Links75125175[Exercise],0))</f>
        <v>#N/A</v>
      </c>
      <c r="G68" s="58" t="str">
        <f t="shared" si="60"/>
        <v/>
      </c>
      <c r="H68" s="57"/>
      <c r="I68" s="52"/>
      <c r="J68" s="79"/>
      <c r="K68" s="53" t="str">
        <f t="shared" si="61"/>
        <v/>
      </c>
      <c r="L68" s="53">
        <v>2</v>
      </c>
      <c r="M68" s="53" t="str">
        <f>IF(MROUND(((H68)*0.9),5)=0,"",MROUND(((H68)*0.9),5))</f>
        <v/>
      </c>
      <c r="N68" s="53" t="s">
        <v>461</v>
      </c>
      <c r="O68" s="56"/>
      <c r="P68" s="55"/>
      <c r="Q68" s="54"/>
      <c r="R68" s="79"/>
      <c r="S68" s="53" t="str">
        <f t="shared" si="62"/>
        <v/>
      </c>
      <c r="T68" s="53">
        <f>L68+Q68+X34</f>
        <v>2</v>
      </c>
      <c r="U68" s="53" t="str">
        <f t="shared" si="63"/>
        <v/>
      </c>
      <c r="V68" s="53" t="s">
        <v>461</v>
      </c>
      <c r="W68" s="56"/>
      <c r="X68" s="55"/>
      <c r="Y68" s="54"/>
      <c r="Z68" s="79"/>
      <c r="AA68" s="53" t="str">
        <f t="shared" si="64"/>
        <v/>
      </c>
      <c r="AB68" s="53">
        <f>T68+Y68+AF34</f>
        <v>2</v>
      </c>
      <c r="AC68" s="53" t="str">
        <f t="shared" si="65"/>
        <v/>
      </c>
      <c r="AD68" s="53" t="s">
        <v>460</v>
      </c>
      <c r="AE68" s="56"/>
      <c r="AF68" s="55"/>
      <c r="AG68" s="54"/>
      <c r="AH68" s="79"/>
      <c r="AI68" s="53" t="str">
        <f t="shared" si="66"/>
        <v/>
      </c>
      <c r="AJ68" s="53">
        <f>AB68+AG68+AN34</f>
        <v>2</v>
      </c>
      <c r="AK68" s="53" t="str">
        <f t="shared" si="67"/>
        <v/>
      </c>
      <c r="AL68" s="53" t="s">
        <v>460</v>
      </c>
      <c r="AM68" s="56"/>
      <c r="AN68" s="55"/>
      <c r="AO68" s="54"/>
      <c r="AP68" s="79"/>
      <c r="AQ68" s="53" t="str">
        <f t="shared" si="68"/>
        <v/>
      </c>
      <c r="AR68" s="53">
        <f>AJ68+AO68+AV34</f>
        <v>2</v>
      </c>
      <c r="AS68" s="53" t="str">
        <f t="shared" si="69"/>
        <v/>
      </c>
      <c r="AT68" s="53" t="s">
        <v>459</v>
      </c>
      <c r="AU68" s="56"/>
      <c r="AV68" s="55"/>
      <c r="AW68" s="54"/>
      <c r="AX68" s="79"/>
      <c r="AY68" s="53" t="str">
        <f t="shared" si="70"/>
        <v/>
      </c>
      <c r="AZ68" s="53">
        <v>2</v>
      </c>
      <c r="BA68" s="53" t="str">
        <f t="shared" si="71"/>
        <v/>
      </c>
      <c r="BB68" s="53" t="s">
        <v>458</v>
      </c>
    </row>
    <row r="69" spans="2:54" ht="14.4" hidden="1" x14ac:dyDescent="0.3">
      <c r="B69" s="79"/>
      <c r="C69" s="59"/>
      <c r="D69" s="57"/>
      <c r="E69" s="57" t="e">
        <f>INDEX(Table_Name54104154[Name List],MATCH(C69,Table_Name54104154[Category],0))</f>
        <v>#N/A</v>
      </c>
      <c r="F69" s="57" t="e">
        <f>INDEX(Links75125175[Link],MATCH(D69,Links75125175[Exercise],0))</f>
        <v>#N/A</v>
      </c>
      <c r="G69" s="58" t="str">
        <f t="shared" si="60"/>
        <v/>
      </c>
      <c r="H69" s="57"/>
      <c r="I69" s="52"/>
      <c r="J69" s="79"/>
      <c r="K69" s="53" t="str">
        <f t="shared" si="61"/>
        <v/>
      </c>
      <c r="L69" s="53"/>
      <c r="M69" s="53" t="str">
        <f>IF(MROUND(((H69)*0.8),5)=0,"",MROUND(((H69)*0.8),5))</f>
        <v/>
      </c>
      <c r="N69" s="53"/>
      <c r="O69" s="56"/>
      <c r="P69" s="55"/>
      <c r="Q69" s="54"/>
      <c r="R69" s="79"/>
      <c r="S69" s="53" t="str">
        <f t="shared" si="62"/>
        <v/>
      </c>
      <c r="T69" s="53">
        <f>L69+Q69+X35</f>
        <v>0</v>
      </c>
      <c r="U69" s="53" t="str">
        <f t="shared" si="63"/>
        <v/>
      </c>
      <c r="V69" s="53"/>
      <c r="W69" s="56"/>
      <c r="X69" s="55"/>
      <c r="Y69" s="54"/>
      <c r="Z69" s="79"/>
      <c r="AA69" s="53" t="str">
        <f t="shared" si="64"/>
        <v/>
      </c>
      <c r="AB69" s="53">
        <f>T69+Y69+AF35</f>
        <v>0</v>
      </c>
      <c r="AC69" s="53" t="str">
        <f t="shared" si="65"/>
        <v/>
      </c>
      <c r="AD69" s="53"/>
      <c r="AE69" s="56"/>
      <c r="AF69" s="55"/>
      <c r="AG69" s="54"/>
      <c r="AH69" s="79"/>
      <c r="AI69" s="53" t="str">
        <f t="shared" si="66"/>
        <v/>
      </c>
      <c r="AJ69" s="53">
        <f>AB69+AG69+AN35</f>
        <v>0</v>
      </c>
      <c r="AK69" s="53" t="str">
        <f t="shared" si="67"/>
        <v/>
      </c>
      <c r="AL69" s="53"/>
      <c r="AM69" s="56"/>
      <c r="AN69" s="55"/>
      <c r="AO69" s="54"/>
      <c r="AP69" s="79"/>
      <c r="AQ69" s="53" t="str">
        <f t="shared" si="68"/>
        <v/>
      </c>
      <c r="AR69" s="53">
        <f>AJ69+AO69+AV35</f>
        <v>0</v>
      </c>
      <c r="AS69" s="53" t="str">
        <f t="shared" si="69"/>
        <v/>
      </c>
      <c r="AT69" s="53"/>
      <c r="AU69" s="56"/>
      <c r="AV69" s="55"/>
      <c r="AW69" s="54"/>
      <c r="AX69" s="79"/>
      <c r="AY69" s="53" t="str">
        <f t="shared" si="70"/>
        <v/>
      </c>
      <c r="AZ69" s="53"/>
      <c r="BA69" s="53" t="str">
        <f t="shared" si="71"/>
        <v/>
      </c>
      <c r="BB69" s="53"/>
    </row>
    <row r="70" spans="2:54" ht="14.4" x14ac:dyDescent="0.3">
      <c r="B70" s="79"/>
      <c r="C70" s="59" t="s">
        <v>338</v>
      </c>
      <c r="D70" s="57"/>
      <c r="E70" s="57" t="str">
        <f>INDEX(Table_Name54104154[Name List],MATCH(C70,Table_Name54104154[Category],0))</f>
        <v>Calves_M6[Exercise]</v>
      </c>
      <c r="F70" s="57" t="e">
        <f>INDEX(Links75125175[Link],MATCH(D70,Links75125175[Exercise],0))</f>
        <v>#N/A</v>
      </c>
      <c r="G70" s="58" t="str">
        <f t="shared" si="60"/>
        <v/>
      </c>
      <c r="H70" s="57"/>
      <c r="I70" s="52"/>
      <c r="J70" s="79"/>
      <c r="K70" s="53" t="str">
        <f t="shared" si="61"/>
        <v/>
      </c>
      <c r="L70" s="53">
        <v>2</v>
      </c>
      <c r="M70" s="53" t="str">
        <f>IF(MROUND(((H70)*0.9),5)=0,"",MROUND(((H70)*0.9),5))</f>
        <v/>
      </c>
      <c r="N70" s="53" t="s">
        <v>461</v>
      </c>
      <c r="O70" s="56"/>
      <c r="P70" s="55"/>
      <c r="Q70" s="54"/>
      <c r="R70" s="79"/>
      <c r="S70" s="53" t="str">
        <f t="shared" si="62"/>
        <v/>
      </c>
      <c r="T70" s="53">
        <f>L70+Q70+X38</f>
        <v>2</v>
      </c>
      <c r="U70" s="53" t="str">
        <f t="shared" si="63"/>
        <v/>
      </c>
      <c r="V70" s="53" t="s">
        <v>461</v>
      </c>
      <c r="W70" s="56"/>
      <c r="X70" s="55"/>
      <c r="Y70" s="54"/>
      <c r="Z70" s="79"/>
      <c r="AA70" s="53" t="str">
        <f t="shared" si="64"/>
        <v/>
      </c>
      <c r="AB70" s="53">
        <f>T70+Y70+AF38</f>
        <v>2</v>
      </c>
      <c r="AC70" s="53" t="str">
        <f t="shared" si="65"/>
        <v/>
      </c>
      <c r="AD70" s="53" t="s">
        <v>460</v>
      </c>
      <c r="AE70" s="56"/>
      <c r="AF70" s="55"/>
      <c r="AG70" s="54"/>
      <c r="AH70" s="79"/>
      <c r="AI70" s="53" t="str">
        <f t="shared" si="66"/>
        <v/>
      </c>
      <c r="AJ70" s="53">
        <f>AB70+AG70+AN38</f>
        <v>2</v>
      </c>
      <c r="AK70" s="53" t="str">
        <f t="shared" si="67"/>
        <v/>
      </c>
      <c r="AL70" s="53" t="s">
        <v>460</v>
      </c>
      <c r="AM70" s="56"/>
      <c r="AN70" s="55"/>
      <c r="AO70" s="54"/>
      <c r="AP70" s="79"/>
      <c r="AQ70" s="53" t="str">
        <f t="shared" si="68"/>
        <v/>
      </c>
      <c r="AR70" s="53">
        <f>AJ70+AO70+AV38</f>
        <v>2</v>
      </c>
      <c r="AS70" s="53" t="str">
        <f t="shared" si="69"/>
        <v/>
      </c>
      <c r="AT70" s="53" t="s">
        <v>459</v>
      </c>
      <c r="AU70" s="56"/>
      <c r="AV70" s="55"/>
      <c r="AW70" s="54"/>
      <c r="AX70" s="79"/>
      <c r="AY70" s="53" t="str">
        <f t="shared" si="70"/>
        <v/>
      </c>
      <c r="AZ70" s="53">
        <v>2</v>
      </c>
      <c r="BA70" s="53" t="str">
        <f t="shared" si="71"/>
        <v/>
      </c>
      <c r="BB70" s="53" t="s">
        <v>458</v>
      </c>
    </row>
    <row r="71" spans="2:54" ht="14.4" hidden="1" x14ac:dyDescent="0.3">
      <c r="B71" s="79"/>
      <c r="C71" s="59"/>
      <c r="D71" s="57"/>
      <c r="E71" s="57" t="e">
        <f>INDEX(Table_Name54104154[Name List],MATCH(C71,Table_Name54104154[Category],0))</f>
        <v>#N/A</v>
      </c>
      <c r="F71" s="57" t="e">
        <f>INDEX(Links75125175[Link],MATCH(D71,Links75125175[Exercise],0))</f>
        <v>#N/A</v>
      </c>
      <c r="G71" s="58" t="str">
        <f t="shared" si="60"/>
        <v/>
      </c>
      <c r="H71" s="57"/>
      <c r="I71" s="52"/>
      <c r="J71" s="79"/>
      <c r="K71" s="53" t="str">
        <f t="shared" si="61"/>
        <v/>
      </c>
      <c r="L71" s="53"/>
      <c r="M71" s="53" t="str">
        <f>IF(MROUND(((H71)*0.8),5)=0,"",MROUND(((H71)*0.8),5))</f>
        <v/>
      </c>
      <c r="N71" s="53"/>
      <c r="O71" s="56"/>
      <c r="P71" s="55"/>
      <c r="Q71" s="54"/>
      <c r="R71" s="79"/>
      <c r="S71" s="53" t="str">
        <f t="shared" si="62"/>
        <v/>
      </c>
      <c r="T71" s="53">
        <f>L71+Q71+X39</f>
        <v>0</v>
      </c>
      <c r="U71" s="53" t="str">
        <f t="shared" si="63"/>
        <v/>
      </c>
      <c r="V71" s="53"/>
      <c r="W71" s="56"/>
      <c r="X71" s="55"/>
      <c r="Y71" s="54"/>
      <c r="Z71" s="79"/>
      <c r="AA71" s="53" t="str">
        <f t="shared" si="64"/>
        <v/>
      </c>
      <c r="AB71" s="53">
        <f>T71+Y71+AF39</f>
        <v>0</v>
      </c>
      <c r="AC71" s="53" t="str">
        <f t="shared" si="65"/>
        <v/>
      </c>
      <c r="AD71" s="53"/>
      <c r="AE71" s="56"/>
      <c r="AF71" s="55"/>
      <c r="AG71" s="54"/>
      <c r="AH71" s="79"/>
      <c r="AI71" s="53" t="str">
        <f t="shared" si="66"/>
        <v/>
      </c>
      <c r="AJ71" s="53">
        <f>AB71+AG71+AN39</f>
        <v>0</v>
      </c>
      <c r="AK71" s="53" t="str">
        <f t="shared" si="67"/>
        <v/>
      </c>
      <c r="AL71" s="53"/>
      <c r="AM71" s="56"/>
      <c r="AN71" s="55"/>
      <c r="AO71" s="54"/>
      <c r="AP71" s="79"/>
      <c r="AQ71" s="53" t="str">
        <f t="shared" si="68"/>
        <v/>
      </c>
      <c r="AR71" s="53">
        <f>AJ71+AO71+AV39</f>
        <v>0</v>
      </c>
      <c r="AS71" s="53" t="str">
        <f t="shared" si="69"/>
        <v/>
      </c>
      <c r="AT71" s="53"/>
      <c r="AU71" s="56"/>
      <c r="AV71" s="55"/>
      <c r="AW71" s="54"/>
      <c r="AX71" s="79"/>
      <c r="AY71" s="53" t="str">
        <f t="shared" si="70"/>
        <v/>
      </c>
      <c r="AZ71" s="53"/>
      <c r="BA71" s="53" t="str">
        <f t="shared" si="71"/>
        <v/>
      </c>
      <c r="BB71" s="53"/>
    </row>
    <row r="72" spans="2:54" ht="14.4" x14ac:dyDescent="0.3">
      <c r="B72" s="80"/>
      <c r="C72" s="59" t="s">
        <v>440</v>
      </c>
      <c r="D72" s="57"/>
      <c r="E72" s="57" t="str">
        <f>INDEX(Table_Name54104154[Name List],MATCH(C72,Table_Name54104154[Category],0))</f>
        <v>Abs_M6[Exercise]</v>
      </c>
      <c r="F72" s="57" t="e">
        <f>INDEX(Links75125175[Link],MATCH(D72,Links75125175[Exercise],0))</f>
        <v>#N/A</v>
      </c>
      <c r="G72" s="58" t="str">
        <f t="shared" si="60"/>
        <v/>
      </c>
      <c r="H72" s="57"/>
      <c r="I72" s="52"/>
      <c r="J72" s="80"/>
      <c r="K72" s="53" t="str">
        <f t="shared" si="61"/>
        <v/>
      </c>
      <c r="L72" s="53">
        <v>3</v>
      </c>
      <c r="M72" s="53" t="str">
        <f>IF(MROUND(((H72)*0.8),5)=0,"",MROUND(((H72)*0.8),5))</f>
        <v/>
      </c>
      <c r="N72" s="53" t="s">
        <v>461</v>
      </c>
      <c r="O72" s="56"/>
      <c r="P72" s="55"/>
      <c r="Q72" s="54"/>
      <c r="R72" s="80"/>
      <c r="S72" s="53" t="str">
        <f t="shared" si="62"/>
        <v/>
      </c>
      <c r="T72" s="53">
        <f>L72+Q72+X40</f>
        <v>3</v>
      </c>
      <c r="U72" s="53" t="str">
        <f t="shared" si="63"/>
        <v/>
      </c>
      <c r="V72" s="53" t="s">
        <v>461</v>
      </c>
      <c r="W72" s="56"/>
      <c r="X72" s="55"/>
      <c r="Y72" s="54"/>
      <c r="Z72" s="80"/>
      <c r="AA72" s="53" t="str">
        <f t="shared" si="64"/>
        <v/>
      </c>
      <c r="AB72" s="53">
        <f>T72+Y72+AF40</f>
        <v>3</v>
      </c>
      <c r="AC72" s="53" t="str">
        <f t="shared" si="65"/>
        <v/>
      </c>
      <c r="AD72" s="53" t="s">
        <v>460</v>
      </c>
      <c r="AE72" s="56"/>
      <c r="AF72" s="55"/>
      <c r="AG72" s="54"/>
      <c r="AH72" s="80"/>
      <c r="AI72" s="53" t="str">
        <f t="shared" si="66"/>
        <v/>
      </c>
      <c r="AJ72" s="53">
        <f>AB72+AG72+AN40</f>
        <v>3</v>
      </c>
      <c r="AK72" s="53" t="str">
        <f t="shared" si="67"/>
        <v/>
      </c>
      <c r="AL72" s="53" t="s">
        <v>460</v>
      </c>
      <c r="AM72" s="56"/>
      <c r="AN72" s="55"/>
      <c r="AO72" s="54"/>
      <c r="AP72" s="80"/>
      <c r="AQ72" s="53" t="str">
        <f t="shared" si="68"/>
        <v/>
      </c>
      <c r="AR72" s="53">
        <f>AJ72+AO72+AV40</f>
        <v>3</v>
      </c>
      <c r="AS72" s="53" t="str">
        <f t="shared" si="69"/>
        <v/>
      </c>
      <c r="AT72" s="53" t="s">
        <v>459</v>
      </c>
      <c r="AU72" s="56"/>
      <c r="AV72" s="55"/>
      <c r="AW72" s="54"/>
      <c r="AX72" s="80"/>
      <c r="AY72" s="53" t="str">
        <f t="shared" si="70"/>
        <v/>
      </c>
      <c r="AZ72" s="53">
        <v>2</v>
      </c>
      <c r="BA72" s="53" t="str">
        <f t="shared" si="71"/>
        <v/>
      </c>
      <c r="BB72" s="53" t="s">
        <v>458</v>
      </c>
    </row>
    <row r="73" spans="2:54" ht="54" customHeight="1" x14ac:dyDescent="0.3">
      <c r="D73" s="52"/>
      <c r="E73" s="52"/>
      <c r="F73" s="52"/>
      <c r="G73" s="52" t="s">
        <v>456</v>
      </c>
      <c r="H73" s="52"/>
      <c r="I73" s="52"/>
      <c r="J73" s="51"/>
      <c r="K73" s="81" t="s">
        <v>457</v>
      </c>
      <c r="L73" s="81"/>
      <c r="M73" s="81"/>
      <c r="N73" s="81"/>
      <c r="O73" s="81"/>
      <c r="P73" s="81"/>
      <c r="Q73" s="81"/>
      <c r="R73" s="50"/>
      <c r="S73" s="81" t="s">
        <v>457</v>
      </c>
      <c r="T73" s="81"/>
      <c r="U73" s="81"/>
      <c r="V73" s="81"/>
      <c r="W73" s="81"/>
      <c r="X73" s="81"/>
      <c r="Y73" s="81"/>
      <c r="Z73" s="50"/>
      <c r="AA73" s="81" t="s">
        <v>457</v>
      </c>
      <c r="AB73" s="81"/>
      <c r="AC73" s="81"/>
      <c r="AD73" s="81"/>
      <c r="AE73" s="81"/>
      <c r="AF73" s="81"/>
      <c r="AG73" s="81"/>
      <c r="AH73" s="50"/>
      <c r="AI73" s="81" t="s">
        <v>457</v>
      </c>
      <c r="AJ73" s="81"/>
      <c r="AK73" s="81"/>
      <c r="AL73" s="81"/>
      <c r="AM73" s="81"/>
      <c r="AN73" s="81"/>
      <c r="AO73" s="81"/>
      <c r="AP73" s="50"/>
      <c r="AQ73" s="81" t="s">
        <v>457</v>
      </c>
      <c r="AR73" s="81"/>
      <c r="AS73" s="81"/>
      <c r="AT73" s="81"/>
      <c r="AU73" s="81"/>
      <c r="AV73" s="81"/>
      <c r="AW73" s="81"/>
      <c r="AX73" s="49"/>
      <c r="AY73" s="48"/>
      <c r="AZ73" s="48"/>
      <c r="BA73" s="48"/>
      <c r="BB73" s="48"/>
    </row>
    <row r="74" spans="2:54" s="1" customFormat="1" ht="31.2" x14ac:dyDescent="0.3">
      <c r="B74" s="3"/>
      <c r="D74" s="4"/>
      <c r="E74" s="4"/>
      <c r="F74" s="4"/>
      <c r="G74" s="4"/>
      <c r="H74" s="4"/>
      <c r="I74" s="4"/>
      <c r="J74" s="3"/>
      <c r="K74" s="13"/>
      <c r="L74" s="13"/>
      <c r="M74" s="13"/>
      <c r="N74" s="13"/>
      <c r="R74" s="2"/>
      <c r="S74" s="13"/>
      <c r="T74" s="13"/>
      <c r="U74" s="13"/>
      <c r="V74" s="13"/>
      <c r="Z74" s="2"/>
      <c r="AA74" s="13"/>
      <c r="AB74" s="13"/>
      <c r="AC74" s="13"/>
      <c r="AD74" s="13"/>
      <c r="AH74" s="2"/>
      <c r="AI74" s="13"/>
      <c r="AJ74" s="13"/>
      <c r="AK74" s="13"/>
      <c r="AL74" s="13"/>
      <c r="AP74" s="2"/>
      <c r="AQ74" s="13"/>
      <c r="AR74" s="13"/>
      <c r="AS74" s="13"/>
      <c r="AT74" s="13"/>
      <c r="AX74" s="2"/>
      <c r="AY74" s="13"/>
      <c r="AZ74" s="13"/>
      <c r="BA74" s="13" t="s">
        <v>456</v>
      </c>
      <c r="BB74" s="13"/>
    </row>
    <row r="75" spans="2:54" s="1" customFormat="1" ht="31.2" x14ac:dyDescent="0.3">
      <c r="B75" s="3"/>
      <c r="D75" s="4"/>
      <c r="E75" s="4"/>
      <c r="F75" s="4"/>
      <c r="G75" s="4"/>
      <c r="H75" s="4"/>
      <c r="I75" s="4"/>
      <c r="J75" s="3"/>
      <c r="R75" s="2"/>
      <c r="Z75" s="2"/>
      <c r="AH75" s="2"/>
      <c r="AP75" s="2"/>
      <c r="AX75" s="2"/>
    </row>
    <row r="76" spans="2:54" s="1" customFormat="1" ht="31.2" x14ac:dyDescent="0.3">
      <c r="B76" s="3"/>
      <c r="D76" s="4"/>
      <c r="E76" s="4"/>
      <c r="F76" s="4"/>
      <c r="G76" s="4"/>
      <c r="H76" s="4"/>
      <c r="I76" s="4"/>
      <c r="J76" s="3"/>
      <c r="R76" s="2"/>
      <c r="Z76" s="2"/>
      <c r="AH76" s="2"/>
      <c r="AP76" s="2"/>
      <c r="AX76" s="2"/>
    </row>
    <row r="77" spans="2:54" s="1" customFormat="1" ht="31.2" x14ac:dyDescent="0.3">
      <c r="B77" s="3"/>
      <c r="D77" s="4"/>
      <c r="E77" s="4"/>
      <c r="F77" s="4"/>
      <c r="G77" s="4"/>
      <c r="H77" s="4"/>
      <c r="I77" s="4"/>
      <c r="J77" s="3"/>
      <c r="K77" s="13"/>
      <c r="L77" s="13"/>
      <c r="M77" s="13"/>
      <c r="N77" s="13"/>
      <c r="R77" s="2"/>
      <c r="S77" s="13"/>
      <c r="T77" s="13"/>
      <c r="U77" s="13"/>
      <c r="V77" s="13"/>
      <c r="Z77" s="2"/>
      <c r="AA77" s="13"/>
      <c r="AB77" s="13"/>
      <c r="AC77" s="13"/>
      <c r="AD77" s="13"/>
      <c r="AH77" s="2"/>
      <c r="AI77" s="13"/>
      <c r="AJ77" s="13"/>
      <c r="AK77" s="13"/>
      <c r="AL77" s="13"/>
      <c r="AP77" s="2"/>
      <c r="AQ77" s="13"/>
      <c r="AR77" s="13"/>
      <c r="AS77" s="13"/>
      <c r="AT77" s="13"/>
      <c r="AX77" s="2"/>
      <c r="AY77" s="13"/>
      <c r="AZ77" s="13"/>
      <c r="BA77" s="13" t="s">
        <v>456</v>
      </c>
      <c r="BB77" s="13"/>
    </row>
    <row r="78" spans="2:54" s="1" customFormat="1" ht="31.2" x14ac:dyDescent="0.3">
      <c r="B78" s="3"/>
      <c r="D78" s="4"/>
      <c r="E78" s="4"/>
      <c r="F78" s="4"/>
      <c r="G78" s="4"/>
      <c r="H78" s="4"/>
      <c r="I78" s="4"/>
      <c r="J78" s="3"/>
      <c r="R78" s="2"/>
      <c r="Z78" s="2"/>
      <c r="AH78" s="2"/>
      <c r="AP78" s="2"/>
      <c r="AX78" s="2"/>
    </row>
    <row r="79" spans="2:54" s="1" customFormat="1" ht="31.2" x14ac:dyDescent="0.3">
      <c r="B79" s="3"/>
      <c r="D79" s="4"/>
      <c r="E79" s="4"/>
      <c r="F79" s="4"/>
      <c r="G79" s="4"/>
      <c r="H79" s="4"/>
      <c r="I79" s="4"/>
      <c r="J79" s="3"/>
      <c r="R79" s="2"/>
      <c r="Z79" s="2"/>
      <c r="AH79" s="2"/>
      <c r="AP79" s="2"/>
      <c r="AX79" s="2"/>
    </row>
    <row r="80" spans="2:54" s="1" customFormat="1" ht="31.2" x14ac:dyDescent="0.3">
      <c r="B80" s="3"/>
      <c r="D80" s="4"/>
      <c r="E80" s="4"/>
      <c r="F80" s="4"/>
      <c r="G80" s="4"/>
      <c r="H80" s="4"/>
      <c r="I80" s="4"/>
      <c r="J80" s="3"/>
      <c r="R80" s="2"/>
      <c r="Z80" s="2"/>
      <c r="AH80" s="2"/>
      <c r="AP80" s="2"/>
      <c r="AX80" s="2"/>
    </row>
    <row r="81" spans="2:54" s="1" customFormat="1" ht="31.2" x14ac:dyDescent="0.3">
      <c r="B81" s="3"/>
      <c r="D81" s="4"/>
      <c r="E81" s="4"/>
      <c r="F81" s="4"/>
      <c r="G81" s="4"/>
      <c r="H81" s="4"/>
      <c r="I81" s="4"/>
      <c r="J81" s="3"/>
      <c r="K81" s="13"/>
      <c r="L81" s="13"/>
      <c r="M81" s="13"/>
      <c r="N81" s="13"/>
      <c r="R81" s="2"/>
      <c r="S81" s="13"/>
      <c r="T81" s="13"/>
      <c r="U81" s="13"/>
      <c r="V81" s="13"/>
      <c r="Z81" s="2"/>
      <c r="AA81" s="13"/>
      <c r="AB81" s="13"/>
      <c r="AC81" s="13"/>
      <c r="AD81" s="13"/>
      <c r="AH81" s="2"/>
      <c r="AI81" s="13"/>
      <c r="AJ81" s="13"/>
      <c r="AK81" s="13"/>
      <c r="AL81" s="13"/>
      <c r="AP81" s="2"/>
      <c r="AQ81" s="13"/>
      <c r="AR81" s="13"/>
      <c r="AS81" s="13"/>
      <c r="AT81" s="13"/>
      <c r="AX81" s="2"/>
      <c r="AY81" s="13"/>
      <c r="AZ81" s="13"/>
      <c r="BA81" s="13" t="s">
        <v>456</v>
      </c>
      <c r="BB81" s="13"/>
    </row>
    <row r="82" spans="2:54" s="1" customFormat="1" ht="31.2" x14ac:dyDescent="0.3">
      <c r="B82" s="3"/>
      <c r="D82" s="4"/>
      <c r="E82" s="4"/>
      <c r="F82" s="4"/>
      <c r="G82" s="4"/>
      <c r="H82" s="4"/>
      <c r="I82" s="4"/>
      <c r="J82" s="3"/>
      <c r="R82" s="2"/>
      <c r="Z82" s="2"/>
      <c r="AH82" s="2"/>
      <c r="AP82" s="2"/>
      <c r="AX82" s="2"/>
    </row>
    <row r="83" spans="2:54" s="1" customFormat="1" ht="31.2" x14ac:dyDescent="0.3">
      <c r="B83" s="3"/>
      <c r="D83" s="4"/>
      <c r="E83" s="4"/>
      <c r="F83" s="4"/>
      <c r="G83" s="4"/>
      <c r="H83" s="4"/>
      <c r="I83" s="4"/>
      <c r="J83" s="3"/>
      <c r="R83" s="2"/>
      <c r="Z83" s="2"/>
      <c r="AH83" s="2"/>
      <c r="AP83" s="2"/>
      <c r="AX83" s="2"/>
    </row>
    <row r="84" spans="2:54" s="1" customFormat="1" ht="31.2" x14ac:dyDescent="0.3">
      <c r="B84" s="3"/>
      <c r="D84" s="4"/>
      <c r="E84" s="4"/>
      <c r="F84" s="4"/>
      <c r="G84" s="4"/>
      <c r="H84" s="4"/>
      <c r="I84" s="4"/>
      <c r="J84" s="3"/>
      <c r="K84" s="13"/>
      <c r="L84" s="13"/>
      <c r="M84" s="13"/>
      <c r="N84" s="13"/>
      <c r="R84" s="2"/>
      <c r="S84" s="13"/>
      <c r="T84" s="13"/>
      <c r="U84" s="13"/>
      <c r="V84" s="13"/>
      <c r="Z84" s="2"/>
      <c r="AA84" s="13"/>
      <c r="AB84" s="13"/>
      <c r="AC84" s="13"/>
      <c r="AD84" s="13"/>
      <c r="AH84" s="2"/>
      <c r="AI84" s="13"/>
      <c r="AJ84" s="13"/>
      <c r="AK84" s="13"/>
      <c r="AL84" s="13"/>
      <c r="AP84" s="2"/>
      <c r="AQ84" s="13"/>
      <c r="AR84" s="13"/>
      <c r="AS84" s="13"/>
      <c r="AT84" s="13"/>
      <c r="AX84" s="2"/>
      <c r="AY84" s="13"/>
      <c r="AZ84" s="13"/>
      <c r="BA84" s="13" t="s">
        <v>456</v>
      </c>
      <c r="BB84" s="13"/>
    </row>
    <row r="85" spans="2:54" s="1" customFormat="1" ht="31.2" x14ac:dyDescent="0.3">
      <c r="B85" s="3"/>
      <c r="D85" s="4"/>
      <c r="E85" s="4"/>
      <c r="F85" s="4"/>
      <c r="G85" s="4"/>
      <c r="H85" s="4"/>
      <c r="I85" s="4"/>
      <c r="J85" s="3"/>
      <c r="R85" s="2"/>
      <c r="Z85" s="2"/>
      <c r="AH85" s="2"/>
      <c r="AP85" s="2"/>
      <c r="AX85" s="2"/>
    </row>
    <row r="86" spans="2:54" s="1" customFormat="1" ht="31.2" x14ac:dyDescent="0.3">
      <c r="B86" s="3"/>
      <c r="D86" s="4"/>
      <c r="E86" s="4"/>
      <c r="F86" s="4"/>
      <c r="G86" s="4"/>
      <c r="H86" s="4"/>
      <c r="I86" s="4"/>
      <c r="J86" s="3"/>
      <c r="R86" s="2"/>
      <c r="Z86" s="2"/>
      <c r="AH86" s="2"/>
      <c r="AP86" s="2"/>
      <c r="AX86" s="2"/>
    </row>
    <row r="87" spans="2:54" s="1" customFormat="1" ht="31.2" x14ac:dyDescent="0.3">
      <c r="B87" s="3"/>
      <c r="D87" s="4"/>
      <c r="E87" s="4"/>
      <c r="F87" s="4"/>
      <c r="G87" s="4"/>
      <c r="H87" s="4"/>
      <c r="I87" s="4"/>
      <c r="J87" s="3"/>
      <c r="R87" s="2"/>
      <c r="Z87" s="2"/>
      <c r="AH87" s="2"/>
      <c r="AP87" s="2"/>
      <c r="AX87" s="2"/>
    </row>
    <row r="88" spans="2:54" s="1" customFormat="1" ht="31.2" x14ac:dyDescent="0.3">
      <c r="B88" s="3"/>
      <c r="D88" s="4"/>
      <c r="E88" s="4"/>
      <c r="F88" s="4"/>
      <c r="G88" s="4"/>
      <c r="H88" s="4"/>
      <c r="I88" s="4"/>
      <c r="J88" s="3"/>
      <c r="K88" s="13"/>
      <c r="L88" s="13"/>
      <c r="M88" s="13"/>
      <c r="N88" s="13"/>
      <c r="R88" s="2"/>
      <c r="S88" s="13"/>
      <c r="T88" s="13"/>
      <c r="U88" s="13"/>
      <c r="V88" s="13"/>
      <c r="Z88" s="2"/>
      <c r="AA88" s="13"/>
      <c r="AB88" s="13"/>
      <c r="AC88" s="13"/>
      <c r="AD88" s="13"/>
      <c r="AH88" s="2"/>
      <c r="AI88" s="13"/>
      <c r="AJ88" s="13"/>
      <c r="AK88" s="13"/>
      <c r="AL88" s="13"/>
      <c r="AP88" s="2"/>
      <c r="AQ88" s="13"/>
      <c r="AR88" s="13"/>
      <c r="AS88" s="13"/>
      <c r="AT88" s="13"/>
      <c r="AX88" s="2"/>
      <c r="AY88" s="13"/>
      <c r="AZ88" s="13"/>
      <c r="BA88" s="13" t="s">
        <v>456</v>
      </c>
      <c r="BB88" s="13"/>
    </row>
    <row r="89" spans="2:54" s="1" customFormat="1" ht="31.2" x14ac:dyDescent="0.3">
      <c r="B89" s="3"/>
      <c r="D89" s="4"/>
      <c r="E89" s="4"/>
      <c r="F89" s="4"/>
      <c r="G89" s="4"/>
      <c r="H89" s="4"/>
      <c r="I89" s="4"/>
      <c r="J89" s="3"/>
      <c r="R89" s="2"/>
      <c r="Z89" s="2"/>
      <c r="AH89" s="2"/>
      <c r="AP89" s="2"/>
      <c r="AX89" s="2"/>
    </row>
    <row r="90" spans="2:54" s="1" customFormat="1" ht="31.2" x14ac:dyDescent="0.3">
      <c r="B90" s="3"/>
      <c r="D90" s="4"/>
      <c r="E90" s="4"/>
      <c r="F90" s="4"/>
      <c r="G90" s="4"/>
      <c r="H90" s="4"/>
      <c r="I90" s="4"/>
      <c r="J90" s="3"/>
      <c r="R90" s="2"/>
      <c r="Z90" s="2"/>
      <c r="AH90" s="2"/>
      <c r="AP90" s="2"/>
      <c r="AX90" s="2"/>
    </row>
    <row r="91" spans="2:54" ht="31.2" x14ac:dyDescent="0.3"/>
    <row r="92" spans="2:54" ht="31.2" x14ac:dyDescent="0.3"/>
    <row r="93" spans="2:54" ht="31.2" x14ac:dyDescent="0.3"/>
    <row r="94" spans="2:54" ht="15" customHeight="1" x14ac:dyDescent="0.3">
      <c r="C94" s="45"/>
      <c r="D94" s="45"/>
      <c r="E94" s="45"/>
      <c r="F94" s="45"/>
      <c r="G94" s="47"/>
      <c r="H94" s="46"/>
      <c r="I94" s="31"/>
      <c r="J94" s="45"/>
      <c r="Q94" s="45"/>
      <c r="X94" s="45"/>
      <c r="AE94" s="45"/>
      <c r="AL94" s="45"/>
      <c r="AS94" s="45"/>
    </row>
    <row r="95" spans="2:54" ht="15" hidden="1" customHeight="1" x14ac:dyDescent="0.3">
      <c r="C95" t="s">
        <v>455</v>
      </c>
    </row>
    <row r="96" spans="2:54" ht="15" hidden="1" customHeight="1" x14ac:dyDescent="0.3">
      <c r="C96">
        <v>-1</v>
      </c>
    </row>
    <row r="97" spans="1:11" ht="15" hidden="1" customHeight="1" x14ac:dyDescent="0.3">
      <c r="C97">
        <v>0</v>
      </c>
    </row>
    <row r="98" spans="1:11" ht="15" hidden="1" customHeight="1" x14ac:dyDescent="0.3">
      <c r="C98">
        <v>1</v>
      </c>
    </row>
    <row r="99" spans="1:11" ht="15" hidden="1" customHeight="1" x14ac:dyDescent="0.3"/>
    <row r="100" spans="1:11" ht="15" hidden="1" customHeight="1" x14ac:dyDescent="0.3"/>
    <row r="101" spans="1:11" ht="31.2" hidden="1" x14ac:dyDescent="0.3"/>
    <row r="102" spans="1:11" ht="31.2" hidden="1" x14ac:dyDescent="0.3">
      <c r="H102" s="10"/>
      <c r="I102" s="10"/>
      <c r="J102" s="10"/>
    </row>
    <row r="103" spans="1:11" ht="31.2" hidden="1" x14ac:dyDescent="0.3">
      <c r="A103" s="22" t="s">
        <v>390</v>
      </c>
      <c r="B103" s="44" t="s">
        <v>409</v>
      </c>
      <c r="C103" s="43" t="s">
        <v>408</v>
      </c>
      <c r="D103" s="28"/>
      <c r="E103" s="28"/>
      <c r="F103" s="28"/>
      <c r="J103" s="31"/>
    </row>
    <row r="104" spans="1:11" ht="31.2" hidden="1" x14ac:dyDescent="0.3">
      <c r="A104" s="31"/>
      <c r="B104" s="19" t="s">
        <v>406</v>
      </c>
      <c r="C104" s="17"/>
      <c r="D104" s="13"/>
      <c r="E104" s="13"/>
      <c r="F104" s="13"/>
      <c r="J104" s="31"/>
    </row>
    <row r="105" spans="1:11" ht="31.2" hidden="1" x14ac:dyDescent="0.3">
      <c r="A105" s="31"/>
      <c r="B105" s="19" t="s">
        <v>404</v>
      </c>
      <c r="C105" s="17"/>
      <c r="D105" s="13"/>
      <c r="E105" s="13"/>
      <c r="F105" s="13"/>
      <c r="J105" s="31"/>
    </row>
    <row r="106" spans="1:11" ht="31.2" hidden="1" x14ac:dyDescent="0.3">
      <c r="A106" s="31"/>
      <c r="B106" s="19" t="s">
        <v>402</v>
      </c>
      <c r="C106" s="17"/>
      <c r="D106" s="13"/>
      <c r="E106" s="13"/>
      <c r="F106" s="13"/>
      <c r="J106" s="31"/>
    </row>
    <row r="107" spans="1:11" ht="31.2" hidden="1" x14ac:dyDescent="0.3">
      <c r="A107" s="31"/>
      <c r="B107" s="19" t="s">
        <v>400</v>
      </c>
      <c r="C107" s="33"/>
      <c r="D107" s="13"/>
      <c r="E107" s="13"/>
      <c r="F107" s="13"/>
      <c r="J107" s="31"/>
    </row>
    <row r="108" spans="1:11" ht="31.2" hidden="1" x14ac:dyDescent="0.3">
      <c r="A108" s="31"/>
      <c r="B108" s="26" t="s">
        <v>398</v>
      </c>
      <c r="C108" s="42"/>
      <c r="D108" s="13"/>
      <c r="E108" s="13"/>
      <c r="F108" s="13"/>
      <c r="J108" s="31"/>
    </row>
    <row r="109" spans="1:11" ht="31.2" hidden="1" x14ac:dyDescent="0.3">
      <c r="A109" s="31"/>
      <c r="B109" s="19" t="s">
        <v>396</v>
      </c>
      <c r="C109" s="17"/>
      <c r="D109" s="29"/>
      <c r="E109" s="29"/>
      <c r="F109" s="29"/>
      <c r="J109" s="31"/>
    </row>
    <row r="110" spans="1:11" ht="31.2" hidden="1" x14ac:dyDescent="0.3">
      <c r="A110" s="31"/>
      <c r="B110" s="19" t="s">
        <v>394</v>
      </c>
      <c r="C110" s="17"/>
      <c r="D110" s="13"/>
      <c r="E110" s="13"/>
      <c r="F110" s="13"/>
      <c r="J110" s="31"/>
    </row>
    <row r="111" spans="1:11" ht="31.2" hidden="1" x14ac:dyDescent="0.3">
      <c r="A111" s="31"/>
      <c r="B111" s="19" t="s">
        <v>392</v>
      </c>
      <c r="C111" s="17"/>
      <c r="D111" s="13"/>
      <c r="E111" s="13"/>
      <c r="F111" s="13"/>
      <c r="J111" s="13"/>
      <c r="K111" s="13"/>
    </row>
    <row r="112" spans="1:11" ht="31.2" hidden="1" x14ac:dyDescent="0.3">
      <c r="A112" s="13"/>
      <c r="B112" s="19"/>
      <c r="C112" s="33"/>
      <c r="D112" s="28"/>
      <c r="E112" s="28"/>
      <c r="F112" s="28"/>
    </row>
    <row r="113" spans="1:11" ht="31.2" hidden="1" x14ac:dyDescent="0.3">
      <c r="A113" s="22" t="s">
        <v>338</v>
      </c>
      <c r="B113" s="25" t="s">
        <v>409</v>
      </c>
      <c r="C113" s="24" t="s">
        <v>408</v>
      </c>
      <c r="D113" s="15"/>
      <c r="E113" s="15"/>
      <c r="F113" s="15"/>
      <c r="J113" s="40"/>
      <c r="K113" s="13"/>
    </row>
    <row r="114" spans="1:11" ht="31.2" hidden="1" x14ac:dyDescent="0.3">
      <c r="A114" s="31"/>
      <c r="B114" s="19" t="s">
        <v>348</v>
      </c>
      <c r="C114" s="17"/>
      <c r="D114" s="13"/>
      <c r="E114" s="13"/>
      <c r="F114" s="13"/>
      <c r="J114" s="31"/>
    </row>
    <row r="115" spans="1:11" ht="31.2" hidden="1" x14ac:dyDescent="0.3">
      <c r="A115" s="31"/>
      <c r="B115" s="19" t="s">
        <v>346</v>
      </c>
      <c r="C115" s="17"/>
      <c r="D115" s="13"/>
      <c r="E115" s="13"/>
      <c r="F115" s="13"/>
      <c r="J115" s="31"/>
    </row>
    <row r="116" spans="1:11" ht="31.2" hidden="1" x14ac:dyDescent="0.3">
      <c r="A116" s="31"/>
      <c r="B116" s="26" t="s">
        <v>344</v>
      </c>
      <c r="C116" s="17"/>
      <c r="D116" s="13"/>
      <c r="E116" s="13"/>
      <c r="F116" s="13"/>
      <c r="J116" s="31"/>
    </row>
    <row r="117" spans="1:11" ht="31.2" hidden="1" x14ac:dyDescent="0.3">
      <c r="A117" s="31"/>
      <c r="B117" s="19" t="s">
        <v>342</v>
      </c>
      <c r="C117" s="17"/>
      <c r="D117" s="13"/>
      <c r="E117" s="13"/>
      <c r="F117" s="13"/>
      <c r="J117" s="31"/>
    </row>
    <row r="118" spans="1:11" ht="31.2" hidden="1" x14ac:dyDescent="0.3">
      <c r="A118" s="31"/>
      <c r="B118" s="19" t="s">
        <v>340</v>
      </c>
      <c r="C118" s="17"/>
      <c r="D118" s="13"/>
      <c r="E118" s="13"/>
      <c r="F118" s="13"/>
      <c r="J118" s="31"/>
    </row>
    <row r="119" spans="1:11" ht="31.2" hidden="1" x14ac:dyDescent="0.3">
      <c r="A119" s="13"/>
      <c r="B119" s="19"/>
      <c r="C119" s="33"/>
      <c r="D119" s="28"/>
      <c r="E119" s="28"/>
      <c r="F119" s="28"/>
      <c r="J119" s="13"/>
      <c r="K119" s="13"/>
    </row>
    <row r="120" spans="1:11" ht="31.2" hidden="1" x14ac:dyDescent="0.3">
      <c r="A120" s="22" t="s">
        <v>349</v>
      </c>
      <c r="B120" s="25" t="s">
        <v>409</v>
      </c>
      <c r="C120" s="24" t="s">
        <v>408</v>
      </c>
      <c r="D120" s="15"/>
      <c r="E120" s="15"/>
      <c r="F120" s="15"/>
      <c r="J120" s="40"/>
      <c r="K120" s="13"/>
    </row>
    <row r="121" spans="1:11" ht="31.2" hidden="1" x14ac:dyDescent="0.3">
      <c r="A121" s="31"/>
      <c r="B121" s="19" t="s">
        <v>389</v>
      </c>
      <c r="C121" s="17"/>
      <c r="D121" s="13"/>
      <c r="E121" s="13"/>
      <c r="F121" s="13"/>
      <c r="J121" s="31"/>
    </row>
    <row r="122" spans="1:11" ht="31.2" hidden="1" x14ac:dyDescent="0.3">
      <c r="A122" s="31"/>
      <c r="B122" s="26" t="s">
        <v>387</v>
      </c>
      <c r="C122" s="17"/>
      <c r="D122" s="13"/>
      <c r="E122" s="13"/>
      <c r="F122" s="13"/>
      <c r="J122" s="31"/>
    </row>
    <row r="123" spans="1:11" ht="31.2" hidden="1" x14ac:dyDescent="0.3">
      <c r="A123" s="31"/>
      <c r="B123" s="26" t="s">
        <v>385</v>
      </c>
      <c r="C123" s="17"/>
      <c r="D123" s="13"/>
      <c r="E123" s="13"/>
      <c r="F123" s="13"/>
      <c r="J123" s="31"/>
    </row>
    <row r="124" spans="1:11" ht="31.2" hidden="1" x14ac:dyDescent="0.3">
      <c r="A124" s="31"/>
      <c r="B124" s="26" t="s">
        <v>383</v>
      </c>
      <c r="C124" s="17"/>
      <c r="D124" s="13"/>
      <c r="E124" s="13"/>
      <c r="F124" s="13"/>
      <c r="J124" s="31"/>
    </row>
    <row r="125" spans="1:11" ht="31.2" hidden="1" x14ac:dyDescent="0.3">
      <c r="A125" s="31"/>
      <c r="B125" s="26" t="s">
        <v>381</v>
      </c>
      <c r="C125" s="17"/>
      <c r="D125" s="13"/>
      <c r="E125" s="13"/>
      <c r="F125" s="13"/>
      <c r="J125" s="31"/>
    </row>
    <row r="126" spans="1:11" ht="31.2" hidden="1" x14ac:dyDescent="0.3">
      <c r="A126" s="31"/>
      <c r="B126" s="26" t="s">
        <v>379</v>
      </c>
      <c r="C126" s="17"/>
      <c r="D126" s="13"/>
      <c r="E126" s="13"/>
      <c r="F126" s="13"/>
      <c r="J126" s="31"/>
    </row>
    <row r="127" spans="1:11" ht="31.2" hidden="1" x14ac:dyDescent="0.3">
      <c r="A127" s="31"/>
      <c r="B127" s="26" t="s">
        <v>377</v>
      </c>
      <c r="C127" s="17"/>
      <c r="D127" s="13"/>
      <c r="E127" s="13"/>
      <c r="F127" s="13"/>
      <c r="J127" s="31"/>
    </row>
    <row r="128" spans="1:11" ht="31.2" hidden="1" x14ac:dyDescent="0.3">
      <c r="A128" s="31"/>
      <c r="B128" s="26" t="s">
        <v>375</v>
      </c>
      <c r="C128" s="17"/>
      <c r="D128" s="13"/>
      <c r="E128" s="13"/>
      <c r="F128" s="13"/>
      <c r="J128" s="31"/>
    </row>
    <row r="129" spans="1:11" ht="31.2" hidden="1" x14ac:dyDescent="0.3">
      <c r="A129" s="31"/>
      <c r="B129" s="26" t="s">
        <v>373</v>
      </c>
      <c r="C129" s="17"/>
      <c r="D129" s="13"/>
      <c r="E129" s="13"/>
      <c r="F129" s="13"/>
      <c r="J129" s="31"/>
    </row>
    <row r="130" spans="1:11" ht="31.2" hidden="1" x14ac:dyDescent="0.3">
      <c r="A130" s="31"/>
      <c r="B130" s="26" t="s">
        <v>371</v>
      </c>
      <c r="C130" s="17"/>
      <c r="D130" s="13"/>
      <c r="E130" s="13"/>
      <c r="F130" s="13"/>
      <c r="J130" s="31"/>
    </row>
    <row r="131" spans="1:11" ht="31.2" hidden="1" x14ac:dyDescent="0.3">
      <c r="A131" s="31"/>
      <c r="B131" s="19" t="s">
        <v>369</v>
      </c>
      <c r="C131" s="17"/>
      <c r="D131" s="13"/>
      <c r="E131" s="13"/>
      <c r="F131" s="13"/>
      <c r="J131" s="31"/>
    </row>
    <row r="132" spans="1:11" ht="31.2" hidden="1" x14ac:dyDescent="0.3">
      <c r="A132" s="31"/>
      <c r="B132" s="19" t="s">
        <v>367</v>
      </c>
      <c r="C132" s="17"/>
      <c r="D132" s="13"/>
      <c r="E132" s="13"/>
      <c r="F132" s="13"/>
      <c r="J132" s="31"/>
    </row>
    <row r="133" spans="1:11" ht="31.2" hidden="1" x14ac:dyDescent="0.3">
      <c r="A133" s="31"/>
      <c r="B133" s="19" t="s">
        <v>365</v>
      </c>
      <c r="C133" s="17"/>
      <c r="D133" s="13"/>
      <c r="E133" s="13"/>
      <c r="F133" s="13"/>
      <c r="J133" s="31"/>
    </row>
    <row r="134" spans="1:11" ht="31.2" hidden="1" x14ac:dyDescent="0.3">
      <c r="A134" s="31"/>
      <c r="B134" s="19" t="s">
        <v>363</v>
      </c>
      <c r="C134" s="17"/>
      <c r="D134" s="13"/>
      <c r="E134" s="13"/>
      <c r="F134" s="13"/>
      <c r="J134" s="31"/>
    </row>
    <row r="135" spans="1:11" ht="31.2" hidden="1" x14ac:dyDescent="0.3">
      <c r="A135" s="31"/>
      <c r="B135" s="19" t="s">
        <v>361</v>
      </c>
      <c r="C135" s="17"/>
      <c r="D135" s="13"/>
      <c r="E135" s="13"/>
      <c r="F135" s="13"/>
      <c r="J135" s="31"/>
    </row>
    <row r="136" spans="1:11" ht="31.2" hidden="1" x14ac:dyDescent="0.3">
      <c r="A136" s="31"/>
      <c r="B136" s="19" t="s">
        <v>359</v>
      </c>
      <c r="C136" s="33"/>
      <c r="D136" s="13"/>
      <c r="E136" s="13"/>
      <c r="F136" s="13"/>
      <c r="J136" s="31"/>
    </row>
    <row r="137" spans="1:11" ht="31.2" hidden="1" x14ac:dyDescent="0.3">
      <c r="A137" s="31"/>
      <c r="B137" s="19" t="s">
        <v>357</v>
      </c>
      <c r="C137" s="17"/>
      <c r="D137" s="13"/>
      <c r="E137" s="13"/>
      <c r="F137" s="13"/>
      <c r="J137" s="31"/>
    </row>
    <row r="138" spans="1:11" ht="31.2" hidden="1" x14ac:dyDescent="0.3">
      <c r="A138" s="31"/>
      <c r="B138" s="19" t="s">
        <v>355</v>
      </c>
      <c r="C138" s="17"/>
      <c r="D138" s="29"/>
      <c r="E138" s="29"/>
      <c r="F138" s="29"/>
      <c r="J138" s="31"/>
    </row>
    <row r="139" spans="1:11" ht="31.2" hidden="1" x14ac:dyDescent="0.3">
      <c r="A139" s="31"/>
      <c r="B139" s="19" t="s">
        <v>353</v>
      </c>
      <c r="C139" s="17"/>
      <c r="D139" s="13"/>
      <c r="E139" s="13"/>
      <c r="F139" s="13"/>
      <c r="J139" s="31"/>
    </row>
    <row r="140" spans="1:11" ht="31.2" hidden="1" x14ac:dyDescent="0.3">
      <c r="A140" s="31"/>
      <c r="B140" s="19" t="s">
        <v>351</v>
      </c>
      <c r="C140" s="17"/>
      <c r="D140" s="13"/>
      <c r="E140" s="13"/>
      <c r="F140" s="13"/>
      <c r="J140" s="31"/>
    </row>
    <row r="141" spans="1:11" ht="31.2" hidden="1" x14ac:dyDescent="0.3">
      <c r="A141" s="13"/>
      <c r="B141" s="19"/>
      <c r="C141" s="17"/>
      <c r="J141" s="13"/>
      <c r="K141" s="13"/>
    </row>
    <row r="142" spans="1:11" ht="31.2" hidden="1" x14ac:dyDescent="0.3">
      <c r="A142" s="22" t="s">
        <v>90</v>
      </c>
      <c r="B142" s="25" t="s">
        <v>409</v>
      </c>
      <c r="C142" s="24" t="s">
        <v>408</v>
      </c>
      <c r="D142" s="15"/>
      <c r="E142" s="25" t="s">
        <v>409</v>
      </c>
      <c r="F142" s="24" t="s">
        <v>408</v>
      </c>
      <c r="J142" s="40"/>
      <c r="K142" s="13"/>
    </row>
    <row r="143" spans="1:11" ht="31.2" hidden="1" x14ac:dyDescent="0.3">
      <c r="A143" s="31"/>
      <c r="B143" s="19" t="s">
        <v>110</v>
      </c>
      <c r="C143" s="17"/>
      <c r="D143" s="13"/>
      <c r="E143" s="19" t="s">
        <v>89</v>
      </c>
      <c r="F143" s="17"/>
      <c r="J143" s="31"/>
    </row>
    <row r="144" spans="1:11" ht="31.2" hidden="1" x14ac:dyDescent="0.3">
      <c r="A144" s="31"/>
      <c r="B144" s="26" t="s">
        <v>108</v>
      </c>
      <c r="C144" s="17"/>
      <c r="D144" s="13"/>
      <c r="E144" s="26" t="s">
        <v>87</v>
      </c>
      <c r="F144" s="17"/>
      <c r="J144" s="31"/>
    </row>
    <row r="145" spans="1:10" ht="31.2" hidden="1" x14ac:dyDescent="0.3">
      <c r="A145" s="31"/>
      <c r="B145" s="26" t="s">
        <v>106</v>
      </c>
      <c r="C145" s="17"/>
      <c r="D145" s="13"/>
      <c r="E145" s="26" t="s">
        <v>85</v>
      </c>
      <c r="F145" s="17"/>
      <c r="J145" s="31"/>
    </row>
    <row r="146" spans="1:10" ht="31.2" hidden="1" x14ac:dyDescent="0.3">
      <c r="A146" s="31"/>
      <c r="B146" s="26" t="s">
        <v>104</v>
      </c>
      <c r="C146" s="17"/>
      <c r="D146" s="13"/>
      <c r="E146" s="26" t="s">
        <v>83</v>
      </c>
      <c r="F146" s="17"/>
      <c r="J146" s="31"/>
    </row>
    <row r="147" spans="1:10" ht="31.2" hidden="1" x14ac:dyDescent="0.3">
      <c r="A147" s="31"/>
      <c r="B147" s="26" t="s">
        <v>102</v>
      </c>
      <c r="C147" s="17"/>
      <c r="D147" s="13"/>
      <c r="E147" s="26" t="s">
        <v>81</v>
      </c>
      <c r="F147" s="17"/>
      <c r="J147" s="31"/>
    </row>
    <row r="148" spans="1:10" ht="31.2" hidden="1" x14ac:dyDescent="0.3">
      <c r="A148" s="31"/>
      <c r="B148" s="26" t="s">
        <v>100</v>
      </c>
      <c r="C148" s="17"/>
      <c r="D148" s="13"/>
      <c r="E148" s="26" t="s">
        <v>79</v>
      </c>
      <c r="F148" s="17"/>
      <c r="J148" s="31"/>
    </row>
    <row r="149" spans="1:10" ht="31.2" hidden="1" x14ac:dyDescent="0.3">
      <c r="A149" s="31"/>
      <c r="B149" s="26" t="s">
        <v>98</v>
      </c>
      <c r="C149" s="17"/>
      <c r="D149" s="13"/>
      <c r="E149" s="19" t="s">
        <v>77</v>
      </c>
      <c r="F149" s="17"/>
      <c r="J149" s="31"/>
    </row>
    <row r="150" spans="1:10" ht="31.2" hidden="1" x14ac:dyDescent="0.3">
      <c r="A150" s="31"/>
      <c r="B150" s="19" t="s">
        <v>96</v>
      </c>
      <c r="C150" s="17"/>
      <c r="D150" s="13"/>
      <c r="E150" s="19" t="s">
        <v>75</v>
      </c>
      <c r="F150" s="17"/>
      <c r="J150" s="31"/>
    </row>
    <row r="151" spans="1:10" ht="31.2" hidden="1" x14ac:dyDescent="0.3">
      <c r="A151" s="31"/>
      <c r="B151" s="19" t="s">
        <v>94</v>
      </c>
      <c r="C151" s="17"/>
      <c r="D151" s="13"/>
      <c r="E151" s="19" t="s">
        <v>73</v>
      </c>
      <c r="F151" s="17"/>
      <c r="J151" s="31"/>
    </row>
    <row r="152" spans="1:10" ht="31.2" hidden="1" x14ac:dyDescent="0.3">
      <c r="A152" s="31"/>
      <c r="B152" s="19" t="s">
        <v>92</v>
      </c>
      <c r="C152" s="17"/>
      <c r="D152" s="13"/>
      <c r="E152" s="19" t="s">
        <v>71</v>
      </c>
      <c r="F152" s="17"/>
      <c r="J152" s="31"/>
    </row>
    <row r="153" spans="1:10" ht="31.2" hidden="1" x14ac:dyDescent="0.3">
      <c r="A153" s="13"/>
      <c r="B153" s="19"/>
      <c r="C153" s="17"/>
      <c r="D153" s="13"/>
      <c r="E153" s="32" t="s">
        <v>110</v>
      </c>
      <c r="F153" s="17"/>
      <c r="J153" s="13"/>
    </row>
    <row r="154" spans="1:10" ht="31.2" hidden="1" x14ac:dyDescent="0.3">
      <c r="A154" s="23" t="s">
        <v>69</v>
      </c>
      <c r="B154" s="25" t="s">
        <v>409</v>
      </c>
      <c r="C154" s="24" t="s">
        <v>408</v>
      </c>
      <c r="D154" s="15"/>
      <c r="E154" s="26" t="s">
        <v>108</v>
      </c>
      <c r="F154" s="35"/>
      <c r="J154" s="9"/>
    </row>
    <row r="155" spans="1:10" ht="31.2" hidden="1" x14ac:dyDescent="0.3">
      <c r="A155" s="31"/>
      <c r="B155" s="19" t="s">
        <v>89</v>
      </c>
      <c r="C155" s="17"/>
      <c r="D155" s="13"/>
      <c r="E155" s="26" t="s">
        <v>106</v>
      </c>
      <c r="F155" s="17"/>
      <c r="J155" s="31"/>
    </row>
    <row r="156" spans="1:10" ht="31.2" hidden="1" x14ac:dyDescent="0.3">
      <c r="A156" s="31"/>
      <c r="B156" s="26" t="s">
        <v>87</v>
      </c>
      <c r="C156" s="17"/>
      <c r="D156" s="13"/>
      <c r="E156" s="26" t="s">
        <v>104</v>
      </c>
      <c r="F156" s="17"/>
      <c r="J156" s="31"/>
    </row>
    <row r="157" spans="1:10" ht="31.2" hidden="1" x14ac:dyDescent="0.3">
      <c r="A157" s="31"/>
      <c r="B157" s="26" t="s">
        <v>85</v>
      </c>
      <c r="C157" s="17"/>
      <c r="D157" s="13"/>
      <c r="E157" s="26" t="s">
        <v>102</v>
      </c>
      <c r="F157" s="17"/>
      <c r="J157" s="31"/>
    </row>
    <row r="158" spans="1:10" ht="31.2" hidden="1" x14ac:dyDescent="0.3">
      <c r="A158" s="31"/>
      <c r="B158" s="26" t="s">
        <v>83</v>
      </c>
      <c r="C158" s="17"/>
      <c r="D158" s="13"/>
      <c r="E158" s="26" t="s">
        <v>100</v>
      </c>
      <c r="F158" s="17"/>
      <c r="J158" s="31"/>
    </row>
    <row r="159" spans="1:10" ht="31.2" hidden="1" x14ac:dyDescent="0.3">
      <c r="A159" s="31"/>
      <c r="B159" s="26" t="s">
        <v>81</v>
      </c>
      <c r="C159" s="17"/>
      <c r="D159" s="13"/>
      <c r="E159" s="26" t="s">
        <v>98</v>
      </c>
      <c r="F159" s="17"/>
      <c r="J159" s="31"/>
    </row>
    <row r="160" spans="1:10" ht="31.2" hidden="1" x14ac:dyDescent="0.3">
      <c r="A160" s="31"/>
      <c r="B160" s="26" t="s">
        <v>79</v>
      </c>
      <c r="C160" s="17"/>
      <c r="D160" s="13"/>
      <c r="E160" s="32" t="s">
        <v>96</v>
      </c>
      <c r="F160" s="17"/>
      <c r="J160" s="31"/>
    </row>
    <row r="161" spans="1:10" ht="31.2" hidden="1" x14ac:dyDescent="0.3">
      <c r="A161" s="31"/>
      <c r="B161" s="19" t="s">
        <v>77</v>
      </c>
      <c r="C161" s="17"/>
      <c r="D161" s="13"/>
      <c r="E161" s="32" t="s">
        <v>94</v>
      </c>
      <c r="F161" s="17"/>
      <c r="J161" s="31"/>
    </row>
    <row r="162" spans="1:10" ht="31.2" hidden="1" x14ac:dyDescent="0.3">
      <c r="A162" s="31"/>
      <c r="B162" s="19" t="s">
        <v>75</v>
      </c>
      <c r="C162" s="17"/>
      <c r="D162" s="13"/>
      <c r="E162" s="32" t="s">
        <v>92</v>
      </c>
      <c r="F162" s="17"/>
      <c r="J162" s="31"/>
    </row>
    <row r="163" spans="1:10" ht="31.2" hidden="1" x14ac:dyDescent="0.3">
      <c r="A163" s="31"/>
      <c r="B163" s="19" t="s">
        <v>73</v>
      </c>
      <c r="C163" s="17"/>
      <c r="D163" s="13"/>
      <c r="E163" s="32" t="s">
        <v>305</v>
      </c>
      <c r="F163" s="17"/>
      <c r="J163" s="31"/>
    </row>
    <row r="164" spans="1:10" ht="31.2" hidden="1" x14ac:dyDescent="0.3">
      <c r="A164" s="31"/>
      <c r="B164" s="19" t="s">
        <v>71</v>
      </c>
      <c r="C164" s="17"/>
      <c r="D164" s="13"/>
      <c r="E164" s="26" t="s">
        <v>303</v>
      </c>
      <c r="F164" s="17"/>
      <c r="J164" s="31"/>
    </row>
    <row r="165" spans="1:10" ht="31.2" hidden="1" x14ac:dyDescent="0.3">
      <c r="A165" s="13"/>
      <c r="B165" s="19"/>
      <c r="C165" s="17"/>
      <c r="D165" s="13"/>
      <c r="E165" s="26" t="s">
        <v>301</v>
      </c>
      <c r="F165" s="17"/>
      <c r="J165" s="13"/>
    </row>
    <row r="166" spans="1:10" ht="31.2" hidden="1" x14ac:dyDescent="0.3">
      <c r="A166" s="23" t="s">
        <v>48</v>
      </c>
      <c r="B166" s="25" t="s">
        <v>409</v>
      </c>
      <c r="C166" s="24" t="s">
        <v>408</v>
      </c>
      <c r="D166" s="15"/>
      <c r="E166" s="26" t="s">
        <v>299</v>
      </c>
      <c r="F166" s="35"/>
      <c r="J166" s="9"/>
    </row>
    <row r="167" spans="1:10" ht="31.2" hidden="1" x14ac:dyDescent="0.3">
      <c r="A167" s="31"/>
      <c r="B167" s="19" t="s">
        <v>68</v>
      </c>
      <c r="C167" s="17"/>
      <c r="D167" s="13"/>
      <c r="E167" s="26" t="s">
        <v>297</v>
      </c>
      <c r="F167" s="17"/>
      <c r="J167" s="31"/>
    </row>
    <row r="168" spans="1:10" ht="31.2" hidden="1" x14ac:dyDescent="0.3">
      <c r="A168" s="31"/>
      <c r="B168" s="26" t="s">
        <v>66</v>
      </c>
      <c r="C168" s="17"/>
      <c r="D168" s="13"/>
      <c r="E168" s="26" t="s">
        <v>295</v>
      </c>
      <c r="F168" s="17"/>
      <c r="J168" s="31"/>
    </row>
    <row r="169" spans="1:10" ht="31.2" hidden="1" x14ac:dyDescent="0.3">
      <c r="A169" s="31"/>
      <c r="B169" s="26" t="s">
        <v>64</v>
      </c>
      <c r="C169" s="17"/>
      <c r="D169" s="13"/>
      <c r="E169" s="32" t="s">
        <v>293</v>
      </c>
      <c r="F169" s="17"/>
      <c r="J169" s="31"/>
    </row>
    <row r="170" spans="1:10" ht="31.2" hidden="1" x14ac:dyDescent="0.3">
      <c r="A170" s="31"/>
      <c r="B170" s="26" t="s">
        <v>62</v>
      </c>
      <c r="C170" s="17"/>
      <c r="D170" s="13"/>
      <c r="E170" s="32" t="s">
        <v>291</v>
      </c>
      <c r="F170" s="17"/>
      <c r="J170" s="31"/>
    </row>
    <row r="171" spans="1:10" ht="31.2" hidden="1" x14ac:dyDescent="0.3">
      <c r="A171" s="31"/>
      <c r="B171" s="26" t="s">
        <v>60</v>
      </c>
      <c r="C171" s="17"/>
      <c r="D171" s="13"/>
      <c r="E171" s="32" t="s">
        <v>289</v>
      </c>
      <c r="F171" s="17"/>
      <c r="J171" s="31"/>
    </row>
    <row r="172" spans="1:10" ht="31.2" hidden="1" x14ac:dyDescent="0.3">
      <c r="A172" s="31"/>
      <c r="B172" s="26" t="s">
        <v>58</v>
      </c>
      <c r="C172" s="17"/>
      <c r="D172" s="13"/>
      <c r="E172" s="32" t="s">
        <v>287</v>
      </c>
      <c r="F172" s="17"/>
      <c r="J172" s="31"/>
    </row>
    <row r="173" spans="1:10" ht="31.2" hidden="1" x14ac:dyDescent="0.3">
      <c r="A173" s="31"/>
      <c r="B173" s="26" t="s">
        <v>56</v>
      </c>
      <c r="C173" s="17"/>
      <c r="D173" s="13"/>
      <c r="E173" s="32" t="s">
        <v>285</v>
      </c>
      <c r="F173" s="17"/>
      <c r="J173" s="31"/>
    </row>
    <row r="174" spans="1:10" ht="31.2" hidden="1" x14ac:dyDescent="0.3">
      <c r="A174" s="31"/>
      <c r="B174" s="19" t="s">
        <v>54</v>
      </c>
      <c r="C174" s="17"/>
      <c r="D174" s="13"/>
      <c r="E174" s="13"/>
      <c r="F174" s="13"/>
      <c r="J174" s="31"/>
    </row>
    <row r="175" spans="1:10" ht="31.2" hidden="1" x14ac:dyDescent="0.3">
      <c r="A175" s="31"/>
      <c r="B175" s="19" t="s">
        <v>52</v>
      </c>
      <c r="C175" s="17"/>
      <c r="D175" s="13"/>
      <c r="E175" s="13"/>
      <c r="F175" s="13"/>
      <c r="J175" s="31"/>
    </row>
    <row r="176" spans="1:10" ht="31.2" hidden="1" x14ac:dyDescent="0.3">
      <c r="A176" s="31"/>
      <c r="B176" s="19" t="s">
        <v>50</v>
      </c>
      <c r="C176" s="17"/>
      <c r="D176" s="13"/>
      <c r="E176" s="13"/>
      <c r="F176" s="13"/>
      <c r="J176" s="31"/>
    </row>
    <row r="177" spans="1:10" ht="31.2" hidden="1" x14ac:dyDescent="0.3">
      <c r="A177" s="31"/>
      <c r="B177" s="18"/>
      <c r="C177" s="17"/>
      <c r="D177" s="13"/>
      <c r="E177" s="13"/>
      <c r="F177" s="13"/>
      <c r="J177" s="31"/>
    </row>
    <row r="178" spans="1:10" ht="31.2" hidden="1" x14ac:dyDescent="0.3">
      <c r="A178" s="23" t="s">
        <v>160</v>
      </c>
      <c r="B178" s="25" t="s">
        <v>409</v>
      </c>
      <c r="C178" s="24" t="s">
        <v>408</v>
      </c>
      <c r="D178" s="15"/>
      <c r="E178" s="15"/>
      <c r="F178" s="15"/>
      <c r="J178" s="9"/>
    </row>
    <row r="179" spans="1:10" ht="31.2" hidden="1" x14ac:dyDescent="0.3">
      <c r="A179" s="31"/>
      <c r="B179" s="19" t="s">
        <v>172</v>
      </c>
      <c r="C179" s="17"/>
      <c r="D179" s="13"/>
      <c r="E179" s="13"/>
      <c r="F179" s="13"/>
      <c r="J179" s="31"/>
    </row>
    <row r="180" spans="1:10" ht="31.2" hidden="1" x14ac:dyDescent="0.3">
      <c r="A180" s="31"/>
      <c r="B180" s="19" t="s">
        <v>170</v>
      </c>
      <c r="C180" s="17"/>
      <c r="D180" s="13"/>
      <c r="E180" s="13"/>
      <c r="F180" s="13"/>
      <c r="J180" s="31"/>
    </row>
    <row r="181" spans="1:10" ht="31.2" hidden="1" x14ac:dyDescent="0.3">
      <c r="A181" s="31"/>
      <c r="B181" s="19" t="s">
        <v>168</v>
      </c>
      <c r="C181" s="17"/>
      <c r="D181" s="13"/>
      <c r="E181" s="13"/>
      <c r="F181" s="13"/>
      <c r="J181" s="31"/>
    </row>
    <row r="182" spans="1:10" ht="31.2" hidden="1" x14ac:dyDescent="0.3">
      <c r="A182" s="31"/>
      <c r="B182" s="26" t="s">
        <v>166</v>
      </c>
      <c r="C182" s="17"/>
      <c r="D182" s="13"/>
      <c r="E182" s="13"/>
      <c r="F182" s="13"/>
      <c r="J182" s="31"/>
    </row>
    <row r="183" spans="1:10" ht="31.2" hidden="1" x14ac:dyDescent="0.3">
      <c r="A183" s="31"/>
      <c r="B183" s="26" t="s">
        <v>164</v>
      </c>
      <c r="C183" s="17"/>
      <c r="D183" s="13"/>
      <c r="E183" s="13"/>
      <c r="F183" s="13"/>
      <c r="J183" s="31"/>
    </row>
    <row r="184" spans="1:10" ht="31.2" hidden="1" x14ac:dyDescent="0.3">
      <c r="A184" s="31"/>
      <c r="B184" s="26" t="s">
        <v>162</v>
      </c>
      <c r="C184" s="17"/>
      <c r="D184" s="13"/>
      <c r="E184" s="13"/>
      <c r="F184" s="13"/>
      <c r="J184" s="31"/>
    </row>
    <row r="185" spans="1:10" ht="31.2" hidden="1" x14ac:dyDescent="0.3">
      <c r="A185" s="31"/>
      <c r="B185" s="19" t="s">
        <v>159</v>
      </c>
      <c r="C185" s="17"/>
      <c r="D185" s="13"/>
      <c r="E185" s="13"/>
      <c r="F185" s="13"/>
      <c r="J185" s="31"/>
    </row>
    <row r="186" spans="1:10" ht="31.2" hidden="1" x14ac:dyDescent="0.3">
      <c r="A186" s="31"/>
      <c r="B186" s="19" t="s">
        <v>157</v>
      </c>
      <c r="C186" s="17"/>
      <c r="D186" s="13"/>
      <c r="E186" s="13"/>
      <c r="F186" s="13"/>
      <c r="J186" s="31"/>
    </row>
    <row r="187" spans="1:10" ht="31.2" hidden="1" x14ac:dyDescent="0.3">
      <c r="A187" s="31"/>
      <c r="B187" s="19" t="s">
        <v>155</v>
      </c>
      <c r="C187" s="17"/>
      <c r="D187" s="13"/>
      <c r="E187" s="13"/>
      <c r="F187" s="13"/>
      <c r="J187" s="31"/>
    </row>
    <row r="188" spans="1:10" ht="31.2" hidden="1" x14ac:dyDescent="0.3">
      <c r="A188" s="31"/>
      <c r="B188" s="19" t="s">
        <v>153</v>
      </c>
      <c r="C188" s="17"/>
      <c r="D188" s="13"/>
      <c r="E188" s="13"/>
      <c r="F188" s="13"/>
      <c r="J188" s="31"/>
    </row>
    <row r="189" spans="1:10" ht="31.2" hidden="1" x14ac:dyDescent="0.3">
      <c r="A189" s="13"/>
      <c r="B189" s="19"/>
      <c r="C189" s="17"/>
      <c r="D189" s="13"/>
      <c r="E189" s="13"/>
      <c r="F189" s="13"/>
      <c r="J189" s="13"/>
    </row>
    <row r="190" spans="1:10" ht="31.2" hidden="1" x14ac:dyDescent="0.3">
      <c r="A190" s="23" t="s">
        <v>0</v>
      </c>
      <c r="B190" s="25" t="s">
        <v>409</v>
      </c>
      <c r="C190" s="24" t="s">
        <v>408</v>
      </c>
      <c r="D190" s="15"/>
      <c r="E190" s="15"/>
      <c r="F190" s="15"/>
      <c r="J190" s="9"/>
    </row>
    <row r="191" spans="1:10" ht="31.2" hidden="1" x14ac:dyDescent="0.3">
      <c r="A191" s="31"/>
      <c r="B191" s="19" t="s">
        <v>14</v>
      </c>
      <c r="C191" s="17"/>
      <c r="D191" s="13"/>
      <c r="E191" s="13"/>
      <c r="F191" s="13"/>
      <c r="J191" s="31"/>
    </row>
    <row r="192" spans="1:10" ht="31.2" hidden="1" x14ac:dyDescent="0.3">
      <c r="A192" s="31"/>
      <c r="B192" s="19" t="s">
        <v>12</v>
      </c>
      <c r="C192" s="17"/>
      <c r="D192" s="13"/>
      <c r="E192" s="13"/>
      <c r="F192" s="13"/>
      <c r="J192" s="31"/>
    </row>
    <row r="193" spans="1:10" ht="31.2" hidden="1" x14ac:dyDescent="0.3">
      <c r="A193" s="31"/>
      <c r="B193" s="19" t="s">
        <v>10</v>
      </c>
      <c r="C193" s="17"/>
      <c r="D193" s="13"/>
      <c r="E193" s="13"/>
      <c r="F193" s="13"/>
      <c r="J193" s="31"/>
    </row>
    <row r="194" spans="1:10" ht="31.2" hidden="1" x14ac:dyDescent="0.3">
      <c r="A194" s="31"/>
      <c r="B194" s="19" t="s">
        <v>8</v>
      </c>
      <c r="C194" s="17"/>
      <c r="D194" s="13"/>
      <c r="E194" s="13"/>
      <c r="F194" s="13"/>
      <c r="J194" s="31"/>
    </row>
    <row r="195" spans="1:10" ht="31.2" hidden="1" x14ac:dyDescent="0.3">
      <c r="A195" s="31"/>
      <c r="B195" s="19" t="s">
        <v>6</v>
      </c>
      <c r="C195" s="17"/>
      <c r="D195" s="13"/>
      <c r="E195" s="13"/>
      <c r="F195" s="13"/>
      <c r="J195" s="31"/>
    </row>
    <row r="196" spans="1:10" ht="31.2" hidden="1" x14ac:dyDescent="0.3">
      <c r="A196" s="31"/>
      <c r="B196" s="19" t="s">
        <v>4</v>
      </c>
      <c r="C196" s="17"/>
      <c r="D196" s="13"/>
      <c r="E196" s="13"/>
      <c r="F196" s="13"/>
      <c r="J196" s="31"/>
    </row>
    <row r="197" spans="1:10" ht="31.2" hidden="1" x14ac:dyDescent="0.3">
      <c r="A197" s="31"/>
      <c r="B197" s="19" t="s">
        <v>2</v>
      </c>
      <c r="C197" s="17"/>
      <c r="D197" s="13"/>
      <c r="E197" s="13"/>
      <c r="F197" s="13"/>
      <c r="J197" s="31"/>
    </row>
    <row r="198" spans="1:10" ht="31.2" hidden="1" x14ac:dyDescent="0.3">
      <c r="A198" s="13"/>
      <c r="B198" s="19"/>
      <c r="C198" s="17"/>
      <c r="D198" s="13"/>
      <c r="E198" s="13"/>
      <c r="F198" s="13"/>
      <c r="J198" s="13"/>
    </row>
    <row r="199" spans="1:10" ht="31.2" hidden="1" x14ac:dyDescent="0.3">
      <c r="A199" s="22" t="s">
        <v>219</v>
      </c>
      <c r="B199" s="25" t="s">
        <v>409</v>
      </c>
      <c r="C199" s="24" t="s">
        <v>408</v>
      </c>
      <c r="D199" s="15"/>
      <c r="E199" s="25" t="s">
        <v>409</v>
      </c>
      <c r="F199" s="24" t="s">
        <v>408</v>
      </c>
      <c r="J199" s="40"/>
    </row>
    <row r="200" spans="1:10" ht="31.2" hidden="1" x14ac:dyDescent="0.3">
      <c r="A200" s="40"/>
      <c r="B200" s="19" t="s">
        <v>233</v>
      </c>
      <c r="C200" s="35"/>
      <c r="D200" s="15"/>
      <c r="E200" s="19" t="s">
        <v>233</v>
      </c>
      <c r="F200" s="35"/>
      <c r="J200" s="40"/>
    </row>
    <row r="201" spans="1:10" ht="31.2" hidden="1" x14ac:dyDescent="0.3">
      <c r="A201" s="40"/>
      <c r="B201" s="19" t="s">
        <v>231</v>
      </c>
      <c r="C201" s="35"/>
      <c r="D201" s="15"/>
      <c r="E201" s="19" t="s">
        <v>231</v>
      </c>
      <c r="F201" s="35"/>
      <c r="J201" s="40"/>
    </row>
    <row r="202" spans="1:10" ht="31.2" hidden="1" x14ac:dyDescent="0.3">
      <c r="A202" s="40"/>
      <c r="B202" s="19" t="s">
        <v>229</v>
      </c>
      <c r="C202" s="35"/>
      <c r="D202" s="15"/>
      <c r="E202" s="19" t="s">
        <v>229</v>
      </c>
      <c r="F202" s="35"/>
      <c r="J202" s="40"/>
    </row>
    <row r="203" spans="1:10" ht="31.2" hidden="1" x14ac:dyDescent="0.3">
      <c r="A203" s="40"/>
      <c r="B203" s="19" t="s">
        <v>227</v>
      </c>
      <c r="C203" s="35"/>
      <c r="D203" s="15"/>
      <c r="E203" s="19" t="s">
        <v>227</v>
      </c>
      <c r="F203" s="35"/>
      <c r="J203" s="40"/>
    </row>
    <row r="204" spans="1:10" ht="31.2" hidden="1" x14ac:dyDescent="0.3">
      <c r="A204" s="40"/>
      <c r="B204" s="19" t="s">
        <v>225</v>
      </c>
      <c r="C204" s="35"/>
      <c r="D204" s="15"/>
      <c r="E204" s="19" t="s">
        <v>225</v>
      </c>
      <c r="F204" s="35"/>
      <c r="J204" s="40"/>
    </row>
    <row r="205" spans="1:10" ht="31.2" hidden="1" x14ac:dyDescent="0.3">
      <c r="A205" s="40"/>
      <c r="B205" s="19" t="s">
        <v>223</v>
      </c>
      <c r="C205" s="35"/>
      <c r="D205" s="15"/>
      <c r="E205" s="19" t="s">
        <v>223</v>
      </c>
      <c r="F205" s="35"/>
      <c r="J205" s="40"/>
    </row>
    <row r="206" spans="1:10" ht="31.2" hidden="1" x14ac:dyDescent="0.3">
      <c r="A206" s="40"/>
      <c r="B206" s="19" t="s">
        <v>221</v>
      </c>
      <c r="C206" s="35"/>
      <c r="D206" s="15"/>
      <c r="E206" s="19" t="s">
        <v>221</v>
      </c>
      <c r="F206" s="35"/>
      <c r="J206" s="40"/>
    </row>
    <row r="207" spans="1:10" ht="31.2" hidden="1" x14ac:dyDescent="0.3">
      <c r="A207" s="40"/>
      <c r="B207" s="19" t="s">
        <v>218</v>
      </c>
      <c r="C207" s="35"/>
      <c r="D207" s="15"/>
      <c r="E207" s="19" t="s">
        <v>218</v>
      </c>
      <c r="F207" s="35"/>
      <c r="J207" s="40"/>
    </row>
    <row r="208" spans="1:10" ht="31.2" hidden="1" x14ac:dyDescent="0.3">
      <c r="A208" s="31"/>
      <c r="B208" s="19" t="s">
        <v>216</v>
      </c>
      <c r="C208" s="17"/>
      <c r="D208" s="13"/>
      <c r="E208" s="19" t="s">
        <v>216</v>
      </c>
      <c r="F208" s="17"/>
      <c r="J208" s="31"/>
    </row>
    <row r="209" spans="1:10" ht="31.2" hidden="1" x14ac:dyDescent="0.3">
      <c r="A209" s="31"/>
      <c r="B209" s="19" t="s">
        <v>214</v>
      </c>
      <c r="C209" s="17"/>
      <c r="D209" s="13"/>
      <c r="E209" s="19" t="s">
        <v>214</v>
      </c>
      <c r="F209" s="17"/>
      <c r="J209" s="31"/>
    </row>
    <row r="210" spans="1:10" ht="31.2" hidden="1" x14ac:dyDescent="0.3">
      <c r="A210" s="31"/>
      <c r="B210" s="19" t="s">
        <v>212</v>
      </c>
      <c r="C210" s="17"/>
      <c r="D210" s="13"/>
      <c r="E210" s="19" t="s">
        <v>212</v>
      </c>
      <c r="F210" s="17"/>
      <c r="J210" s="31"/>
    </row>
    <row r="211" spans="1:10" ht="31.2" hidden="1" x14ac:dyDescent="0.3">
      <c r="A211" s="31"/>
      <c r="B211" s="19" t="s">
        <v>210</v>
      </c>
      <c r="C211" s="17"/>
      <c r="D211" s="13"/>
      <c r="E211" s="19" t="s">
        <v>210</v>
      </c>
      <c r="F211" s="17"/>
      <c r="J211" s="31"/>
    </row>
    <row r="212" spans="1:10" ht="31.2" hidden="1" x14ac:dyDescent="0.3">
      <c r="A212" s="31"/>
      <c r="B212" s="19" t="s">
        <v>208</v>
      </c>
      <c r="C212" s="17"/>
      <c r="D212" s="13"/>
      <c r="E212" s="19" t="s">
        <v>208</v>
      </c>
      <c r="F212" s="17"/>
      <c r="J212" s="31"/>
    </row>
    <row r="213" spans="1:10" ht="31.2" hidden="1" x14ac:dyDescent="0.3">
      <c r="A213" s="31"/>
      <c r="B213" s="19" t="s">
        <v>206</v>
      </c>
      <c r="C213" s="17"/>
      <c r="D213" s="13"/>
      <c r="E213" s="19" t="s">
        <v>206</v>
      </c>
      <c r="F213" s="17"/>
      <c r="J213" s="31"/>
    </row>
    <row r="214" spans="1:10" ht="31.2" hidden="1" x14ac:dyDescent="0.3">
      <c r="A214" s="31"/>
      <c r="B214" s="19" t="s">
        <v>204</v>
      </c>
      <c r="C214" s="17"/>
      <c r="D214" s="13"/>
      <c r="E214" s="19" t="s">
        <v>204</v>
      </c>
      <c r="F214" s="17"/>
      <c r="J214" s="31"/>
    </row>
    <row r="215" spans="1:10" ht="31.2" hidden="1" x14ac:dyDescent="0.3">
      <c r="A215" s="31"/>
      <c r="B215" s="19" t="s">
        <v>202</v>
      </c>
      <c r="C215" s="17"/>
      <c r="D215" s="13"/>
      <c r="E215" s="19" t="s">
        <v>202</v>
      </c>
      <c r="F215" s="17"/>
      <c r="J215" s="31"/>
    </row>
    <row r="216" spans="1:10" ht="31.2" hidden="1" x14ac:dyDescent="0.3">
      <c r="A216" s="13"/>
      <c r="B216" s="19"/>
      <c r="C216" s="17"/>
      <c r="D216" s="13"/>
      <c r="E216" s="26" t="s">
        <v>47</v>
      </c>
      <c r="F216" s="17"/>
      <c r="J216" s="13"/>
    </row>
    <row r="217" spans="1:10" ht="31.2" hidden="1" x14ac:dyDescent="0.3">
      <c r="A217" s="23" t="s">
        <v>15</v>
      </c>
      <c r="B217" s="25" t="s">
        <v>409</v>
      </c>
      <c r="C217" s="24" t="s">
        <v>408</v>
      </c>
      <c r="D217" s="15"/>
      <c r="E217" s="26" t="s">
        <v>45</v>
      </c>
      <c r="F217" s="35"/>
      <c r="J217" s="9"/>
    </row>
    <row r="218" spans="1:10" ht="31.2" hidden="1" x14ac:dyDescent="0.3">
      <c r="A218" s="31"/>
      <c r="B218" s="19" t="s">
        <v>47</v>
      </c>
      <c r="C218" s="17"/>
      <c r="D218" s="13"/>
      <c r="E218" s="26" t="s">
        <v>43</v>
      </c>
      <c r="F218" s="17"/>
      <c r="J218" s="31"/>
    </row>
    <row r="219" spans="1:10" ht="31.2" hidden="1" x14ac:dyDescent="0.3">
      <c r="A219" s="31"/>
      <c r="B219" s="19" t="s">
        <v>45</v>
      </c>
      <c r="C219" s="33"/>
      <c r="D219" s="13"/>
      <c r="E219" s="26" t="s">
        <v>41</v>
      </c>
      <c r="F219" s="17"/>
      <c r="J219" s="31"/>
    </row>
    <row r="220" spans="1:10" ht="31.2" hidden="1" x14ac:dyDescent="0.3">
      <c r="A220" s="31"/>
      <c r="B220" s="26" t="s">
        <v>43</v>
      </c>
      <c r="C220" s="41"/>
      <c r="D220" s="13"/>
      <c r="E220" s="26" t="s">
        <v>39</v>
      </c>
      <c r="F220" s="17"/>
      <c r="J220" s="31"/>
    </row>
    <row r="221" spans="1:10" ht="31.2" hidden="1" x14ac:dyDescent="0.3">
      <c r="A221" s="31"/>
      <c r="B221" s="26" t="s">
        <v>41</v>
      </c>
      <c r="C221" s="41"/>
      <c r="D221" s="13"/>
      <c r="E221" s="26" t="s">
        <v>37</v>
      </c>
      <c r="F221" s="17"/>
      <c r="J221" s="31"/>
    </row>
    <row r="222" spans="1:10" ht="31.2" hidden="1" x14ac:dyDescent="0.3">
      <c r="A222" s="31"/>
      <c r="B222" s="26" t="s">
        <v>39</v>
      </c>
      <c r="C222" s="41"/>
      <c r="D222" s="13"/>
      <c r="E222" s="26" t="s">
        <v>35</v>
      </c>
      <c r="F222" s="17"/>
      <c r="J222" s="31"/>
    </row>
    <row r="223" spans="1:10" ht="31.2" hidden="1" x14ac:dyDescent="0.3">
      <c r="A223" s="31"/>
      <c r="B223" s="26" t="s">
        <v>37</v>
      </c>
      <c r="C223" s="41"/>
      <c r="D223" s="13"/>
      <c r="E223" s="26" t="s">
        <v>33</v>
      </c>
      <c r="F223" s="17"/>
      <c r="J223" s="31"/>
    </row>
    <row r="224" spans="1:10" ht="31.2" hidden="1" x14ac:dyDescent="0.3">
      <c r="A224" s="31"/>
      <c r="B224" s="19" t="s">
        <v>35</v>
      </c>
      <c r="C224" s="33"/>
      <c r="D224" s="13"/>
      <c r="E224" s="26" t="s">
        <v>31</v>
      </c>
      <c r="F224" s="17"/>
      <c r="J224" s="31"/>
    </row>
    <row r="225" spans="1:10" ht="31.2" hidden="1" x14ac:dyDescent="0.3">
      <c r="A225" s="31"/>
      <c r="B225" s="19" t="s">
        <v>33</v>
      </c>
      <c r="C225" s="33"/>
      <c r="D225" s="13"/>
      <c r="E225" s="26" t="s">
        <v>29</v>
      </c>
      <c r="F225" s="17"/>
      <c r="J225" s="31"/>
    </row>
    <row r="226" spans="1:10" ht="31.2" hidden="1" x14ac:dyDescent="0.3">
      <c r="A226" s="31"/>
      <c r="B226" s="19" t="s">
        <v>31</v>
      </c>
      <c r="C226" s="17"/>
      <c r="D226" s="13"/>
      <c r="E226" s="26" t="s">
        <v>27</v>
      </c>
      <c r="F226" s="17"/>
      <c r="J226" s="31"/>
    </row>
    <row r="227" spans="1:10" ht="31.2" hidden="1" x14ac:dyDescent="0.3">
      <c r="A227" s="31"/>
      <c r="B227" s="19" t="s">
        <v>29</v>
      </c>
      <c r="C227" s="17"/>
      <c r="D227" s="29"/>
      <c r="E227" s="26" t="s">
        <v>25</v>
      </c>
      <c r="F227" s="34"/>
      <c r="J227" s="31"/>
    </row>
    <row r="228" spans="1:10" ht="31.2" hidden="1" x14ac:dyDescent="0.3">
      <c r="A228" s="31"/>
      <c r="B228" s="19" t="s">
        <v>27</v>
      </c>
      <c r="C228" s="33"/>
      <c r="D228" s="29"/>
      <c r="E228" s="26" t="s">
        <v>23</v>
      </c>
      <c r="F228" s="34"/>
      <c r="J228" s="31"/>
    </row>
    <row r="229" spans="1:10" ht="31.2" hidden="1" x14ac:dyDescent="0.3">
      <c r="A229" s="31"/>
      <c r="B229" s="19" t="s">
        <v>25</v>
      </c>
      <c r="C229" s="17"/>
      <c r="D229" s="13"/>
      <c r="E229" s="26" t="s">
        <v>21</v>
      </c>
      <c r="F229" s="17"/>
      <c r="J229" s="31"/>
    </row>
    <row r="230" spans="1:10" ht="31.2" hidden="1" x14ac:dyDescent="0.3">
      <c r="A230" s="31"/>
      <c r="B230" s="19" t="s">
        <v>23</v>
      </c>
      <c r="C230" s="33"/>
      <c r="D230" s="29"/>
      <c r="E230" s="26" t="s">
        <v>19</v>
      </c>
      <c r="F230" s="34"/>
      <c r="J230" s="31"/>
    </row>
    <row r="231" spans="1:10" ht="31.2" hidden="1" x14ac:dyDescent="0.3">
      <c r="A231" s="31"/>
      <c r="B231" s="19" t="s">
        <v>21</v>
      </c>
      <c r="C231" s="17"/>
      <c r="D231" s="29"/>
      <c r="E231" s="26" t="s">
        <v>17</v>
      </c>
      <c r="F231" s="34"/>
      <c r="J231" s="31"/>
    </row>
    <row r="232" spans="1:10" ht="31.2" hidden="1" x14ac:dyDescent="0.3">
      <c r="A232" s="31"/>
      <c r="B232" s="19" t="s">
        <v>19</v>
      </c>
      <c r="C232" s="17"/>
      <c r="D232" s="13"/>
      <c r="E232" s="13"/>
      <c r="F232" s="13"/>
      <c r="J232" s="31"/>
    </row>
    <row r="233" spans="1:10" ht="31.2" hidden="1" x14ac:dyDescent="0.3">
      <c r="A233" s="31"/>
      <c r="B233" s="19" t="s">
        <v>17</v>
      </c>
      <c r="C233" s="17"/>
      <c r="D233" s="29"/>
      <c r="E233" s="29"/>
      <c r="F233" s="29"/>
      <c r="J233" s="31"/>
    </row>
    <row r="234" spans="1:10" ht="31.2" hidden="1" x14ac:dyDescent="0.3">
      <c r="A234" s="13"/>
      <c r="B234" s="19"/>
      <c r="C234" s="17"/>
      <c r="D234" s="13"/>
      <c r="E234" s="13"/>
      <c r="F234" s="13"/>
      <c r="J234" s="13"/>
    </row>
    <row r="235" spans="1:10" ht="31.2" hidden="1" x14ac:dyDescent="0.3">
      <c r="A235" s="22" t="s">
        <v>111</v>
      </c>
      <c r="B235" s="25" t="s">
        <v>409</v>
      </c>
      <c r="C235" s="24" t="s">
        <v>408</v>
      </c>
      <c r="D235" s="15"/>
      <c r="E235" s="15"/>
      <c r="F235" s="15"/>
      <c r="J235" s="40"/>
    </row>
    <row r="236" spans="1:10" ht="31.2" hidden="1" x14ac:dyDescent="0.3">
      <c r="A236" s="31"/>
      <c r="B236" s="19" t="s">
        <v>133</v>
      </c>
      <c r="C236" s="17"/>
      <c r="D236" s="13"/>
      <c r="E236" s="13"/>
      <c r="F236" s="13"/>
      <c r="J236" s="31"/>
    </row>
    <row r="237" spans="1:10" ht="31.2" hidden="1" x14ac:dyDescent="0.3">
      <c r="A237" s="31"/>
      <c r="B237" s="26" t="s">
        <v>131</v>
      </c>
      <c r="C237" s="17"/>
      <c r="D237" s="13"/>
      <c r="E237" s="13"/>
      <c r="F237" s="13"/>
      <c r="J237" s="31"/>
    </row>
    <row r="238" spans="1:10" ht="31.2" hidden="1" x14ac:dyDescent="0.3">
      <c r="A238" s="31"/>
      <c r="B238" s="26" t="s">
        <v>129</v>
      </c>
      <c r="C238" s="17"/>
      <c r="D238" s="13"/>
      <c r="E238" s="13"/>
      <c r="F238" s="13"/>
      <c r="J238" s="31"/>
    </row>
    <row r="239" spans="1:10" ht="31.2" hidden="1" x14ac:dyDescent="0.3">
      <c r="A239" s="31"/>
      <c r="B239" s="26" t="s">
        <v>127</v>
      </c>
      <c r="C239" s="17"/>
      <c r="D239" s="13"/>
      <c r="E239" s="13"/>
      <c r="F239" s="13"/>
      <c r="J239" s="31"/>
    </row>
    <row r="240" spans="1:10" ht="31.2" hidden="1" x14ac:dyDescent="0.3">
      <c r="A240" s="31"/>
      <c r="B240" s="26" t="s">
        <v>125</v>
      </c>
      <c r="C240" s="17"/>
      <c r="D240" s="13"/>
      <c r="E240" s="13"/>
      <c r="F240" s="13"/>
      <c r="J240" s="31"/>
    </row>
    <row r="241" spans="1:10" ht="31.2" hidden="1" x14ac:dyDescent="0.3">
      <c r="A241" s="31"/>
      <c r="B241" s="19" t="s">
        <v>123</v>
      </c>
      <c r="C241" s="17"/>
      <c r="D241" s="13"/>
      <c r="E241" s="13"/>
      <c r="F241" s="13"/>
      <c r="J241" s="31"/>
    </row>
    <row r="242" spans="1:10" ht="31.2" hidden="1" x14ac:dyDescent="0.3">
      <c r="A242" s="31"/>
      <c r="B242" s="19" t="s">
        <v>121</v>
      </c>
      <c r="C242" s="17"/>
      <c r="D242" s="13"/>
      <c r="E242" s="13"/>
      <c r="F242" s="13"/>
      <c r="J242" s="31"/>
    </row>
    <row r="243" spans="1:10" ht="31.2" hidden="1" x14ac:dyDescent="0.3">
      <c r="A243" s="31"/>
      <c r="B243" s="19" t="s">
        <v>119</v>
      </c>
      <c r="C243" s="17"/>
      <c r="D243" s="13"/>
      <c r="E243" s="13"/>
      <c r="F243" s="13"/>
      <c r="J243" s="31"/>
    </row>
    <row r="244" spans="1:10" ht="31.2" hidden="1" x14ac:dyDescent="0.3">
      <c r="A244" s="31"/>
      <c r="B244" s="19" t="s">
        <v>117</v>
      </c>
      <c r="C244" s="17"/>
      <c r="D244" s="13"/>
      <c r="E244" s="13"/>
      <c r="F244" s="13"/>
      <c r="J244" s="31"/>
    </row>
    <row r="245" spans="1:10" ht="31.2" hidden="1" x14ac:dyDescent="0.3">
      <c r="A245" s="31"/>
      <c r="B245" s="19" t="s">
        <v>115</v>
      </c>
      <c r="C245" s="17"/>
      <c r="D245" s="13"/>
      <c r="E245" s="13"/>
      <c r="F245" s="13"/>
      <c r="J245" s="31"/>
    </row>
    <row r="246" spans="1:10" ht="31.2" hidden="1" x14ac:dyDescent="0.3">
      <c r="A246" s="31"/>
      <c r="B246" s="19" t="s">
        <v>113</v>
      </c>
      <c r="C246" s="17"/>
      <c r="D246" s="13"/>
      <c r="E246" s="13"/>
      <c r="F246" s="13"/>
      <c r="J246" s="31"/>
    </row>
    <row r="247" spans="1:10" ht="31.2" hidden="1" x14ac:dyDescent="0.3">
      <c r="A247" s="31"/>
      <c r="B247" s="18"/>
      <c r="C247" s="17"/>
      <c r="D247" s="13"/>
      <c r="E247" s="13"/>
      <c r="F247" s="13"/>
      <c r="J247" s="31"/>
    </row>
    <row r="248" spans="1:10" ht="31.2" hidden="1" x14ac:dyDescent="0.3">
      <c r="A248" s="23" t="s">
        <v>254</v>
      </c>
      <c r="B248" s="25" t="s">
        <v>409</v>
      </c>
      <c r="C248" s="24" t="s">
        <v>408</v>
      </c>
      <c r="D248" s="15"/>
      <c r="E248" s="15"/>
      <c r="F248" s="15"/>
      <c r="J248" s="9"/>
    </row>
    <row r="249" spans="1:10" ht="31.2" hidden="1" x14ac:dyDescent="0.3">
      <c r="A249" s="31"/>
      <c r="B249" s="19" t="s">
        <v>282</v>
      </c>
      <c r="C249" s="17"/>
      <c r="D249" s="13"/>
      <c r="E249" s="39" t="s">
        <v>409</v>
      </c>
      <c r="F249" s="38" t="s">
        <v>408</v>
      </c>
      <c r="J249" s="31"/>
    </row>
    <row r="250" spans="1:10" ht="31.2" hidden="1" x14ac:dyDescent="0.3">
      <c r="A250" s="31"/>
      <c r="B250" s="26" t="s">
        <v>280</v>
      </c>
      <c r="C250" s="17"/>
      <c r="D250" s="13"/>
      <c r="E250" s="36" t="s">
        <v>282</v>
      </c>
      <c r="F250" s="13"/>
      <c r="J250" s="31"/>
    </row>
    <row r="251" spans="1:10" ht="31.2" hidden="1" x14ac:dyDescent="0.3">
      <c r="A251" s="31"/>
      <c r="B251" s="26" t="s">
        <v>278</v>
      </c>
      <c r="C251" s="17"/>
      <c r="D251" s="13"/>
      <c r="E251" s="37" t="s">
        <v>278</v>
      </c>
      <c r="F251" s="13"/>
      <c r="J251" s="31"/>
    </row>
    <row r="252" spans="1:10" ht="31.2" hidden="1" x14ac:dyDescent="0.3">
      <c r="A252" s="31"/>
      <c r="B252" s="26" t="s">
        <v>276</v>
      </c>
      <c r="C252" s="17"/>
      <c r="D252" s="13"/>
      <c r="E252" s="36" t="s">
        <v>264</v>
      </c>
      <c r="F252" s="13"/>
      <c r="J252" s="31"/>
    </row>
    <row r="253" spans="1:10" ht="31.2" hidden="1" x14ac:dyDescent="0.3">
      <c r="A253" s="31"/>
      <c r="B253" s="26" t="s">
        <v>274</v>
      </c>
      <c r="C253" s="17"/>
      <c r="D253" s="13"/>
      <c r="E253" s="36" t="s">
        <v>262</v>
      </c>
      <c r="F253" s="13"/>
      <c r="J253" s="31"/>
    </row>
    <row r="254" spans="1:10" ht="31.2" hidden="1" x14ac:dyDescent="0.3">
      <c r="A254" s="31"/>
      <c r="B254" s="26" t="s">
        <v>272</v>
      </c>
      <c r="C254" s="17"/>
      <c r="D254" s="13"/>
      <c r="E254" s="13"/>
      <c r="F254" s="13"/>
      <c r="J254" s="31"/>
    </row>
    <row r="255" spans="1:10" ht="31.2" hidden="1" x14ac:dyDescent="0.3">
      <c r="A255" s="31"/>
      <c r="B255" s="26" t="s">
        <v>270</v>
      </c>
      <c r="C255" s="17"/>
      <c r="D255" s="13"/>
      <c r="E255" s="13"/>
      <c r="F255" s="13"/>
      <c r="J255" s="31"/>
    </row>
    <row r="256" spans="1:10" ht="31.2" hidden="1" x14ac:dyDescent="0.3">
      <c r="A256" s="31"/>
      <c r="B256" s="19" t="s">
        <v>268</v>
      </c>
      <c r="C256" s="17"/>
      <c r="D256" s="13"/>
      <c r="E256" s="13"/>
      <c r="F256" s="13"/>
      <c r="J256" s="31"/>
    </row>
    <row r="257" spans="1:10" ht="31.2" hidden="1" x14ac:dyDescent="0.3">
      <c r="A257" s="31"/>
      <c r="B257" s="19" t="s">
        <v>266</v>
      </c>
      <c r="C257" s="17"/>
      <c r="D257" s="13"/>
      <c r="E257" s="13"/>
      <c r="F257" s="13"/>
      <c r="J257" s="31"/>
    </row>
    <row r="258" spans="1:10" ht="31.2" hidden="1" x14ac:dyDescent="0.3">
      <c r="A258" s="31"/>
      <c r="B258" s="19" t="s">
        <v>264</v>
      </c>
      <c r="C258" s="17"/>
      <c r="D258" s="13"/>
      <c r="E258" s="13"/>
      <c r="F258" s="13"/>
      <c r="J258" s="31"/>
    </row>
    <row r="259" spans="1:10" ht="31.2" hidden="1" x14ac:dyDescent="0.3">
      <c r="A259" s="31"/>
      <c r="B259" s="19" t="s">
        <v>262</v>
      </c>
      <c r="C259" s="17"/>
      <c r="D259" s="13"/>
      <c r="E259" s="13"/>
      <c r="F259" s="13"/>
      <c r="J259" s="31"/>
    </row>
    <row r="260" spans="1:10" ht="31.2" hidden="1" x14ac:dyDescent="0.3">
      <c r="A260" s="31"/>
      <c r="B260" s="19" t="s">
        <v>260</v>
      </c>
      <c r="C260" s="17"/>
      <c r="D260" s="13"/>
      <c r="E260" s="13"/>
      <c r="F260" s="13"/>
      <c r="J260" s="31"/>
    </row>
    <row r="261" spans="1:10" ht="31.2" hidden="1" x14ac:dyDescent="0.3">
      <c r="A261" s="31"/>
      <c r="B261" s="19" t="s">
        <v>258</v>
      </c>
      <c r="C261" s="17"/>
      <c r="D261" s="13"/>
      <c r="E261" s="13"/>
      <c r="F261" s="13"/>
      <c r="J261" s="31"/>
    </row>
    <row r="262" spans="1:10" ht="31.2" hidden="1" x14ac:dyDescent="0.3">
      <c r="A262" s="31"/>
      <c r="B262" s="19" t="s">
        <v>256</v>
      </c>
      <c r="C262" s="17"/>
      <c r="D262" s="13"/>
      <c r="E262" s="13"/>
      <c r="F262" s="13"/>
      <c r="J262" s="31"/>
    </row>
    <row r="263" spans="1:10" ht="31.2" hidden="1" x14ac:dyDescent="0.3">
      <c r="A263" s="13"/>
      <c r="B263" s="19"/>
      <c r="C263" s="17"/>
      <c r="D263" s="13"/>
      <c r="E263" s="13"/>
      <c r="F263" s="13"/>
      <c r="J263" s="13"/>
    </row>
    <row r="264" spans="1:10" ht="31.2" hidden="1" x14ac:dyDescent="0.3">
      <c r="A264" s="23" t="s">
        <v>241</v>
      </c>
      <c r="B264" s="25" t="s">
        <v>409</v>
      </c>
      <c r="C264" s="24" t="s">
        <v>408</v>
      </c>
      <c r="D264" s="15"/>
      <c r="E264" s="25" t="s">
        <v>409</v>
      </c>
      <c r="F264" s="24" t="s">
        <v>408</v>
      </c>
      <c r="J264" s="9"/>
    </row>
    <row r="265" spans="1:10" ht="31.2" hidden="1" x14ac:dyDescent="0.3">
      <c r="A265" s="31"/>
      <c r="B265" s="19" t="s">
        <v>253</v>
      </c>
      <c r="C265" s="17"/>
      <c r="D265" s="13"/>
      <c r="E265" s="19" t="s">
        <v>253</v>
      </c>
      <c r="F265" s="17"/>
      <c r="J265" s="31"/>
    </row>
    <row r="266" spans="1:10" ht="31.2" hidden="1" x14ac:dyDescent="0.3">
      <c r="A266" s="31"/>
      <c r="B266" s="26" t="s">
        <v>251</v>
      </c>
      <c r="C266" s="17"/>
      <c r="D266" s="13"/>
      <c r="E266" s="26" t="s">
        <v>251</v>
      </c>
      <c r="F266" s="17"/>
      <c r="J266" s="31"/>
    </row>
    <row r="267" spans="1:10" ht="31.2" hidden="1" x14ac:dyDescent="0.3">
      <c r="A267" s="31"/>
      <c r="B267" s="26" t="s">
        <v>249</v>
      </c>
      <c r="C267" s="17"/>
      <c r="D267" s="13"/>
      <c r="E267" s="26" t="s">
        <v>249</v>
      </c>
      <c r="F267" s="17"/>
      <c r="J267" s="31"/>
    </row>
    <row r="268" spans="1:10" ht="31.2" hidden="1" x14ac:dyDescent="0.3">
      <c r="A268" s="31"/>
      <c r="B268" s="19" t="s">
        <v>247</v>
      </c>
      <c r="C268" s="17"/>
      <c r="D268" s="13"/>
      <c r="E268" s="19" t="s">
        <v>247</v>
      </c>
      <c r="F268" s="17"/>
      <c r="J268" s="31"/>
    </row>
    <row r="269" spans="1:10" ht="31.2" hidden="1" x14ac:dyDescent="0.3">
      <c r="A269" s="31"/>
      <c r="B269" s="19" t="s">
        <v>245</v>
      </c>
      <c r="C269" s="17"/>
      <c r="D269" s="13"/>
      <c r="E269" s="19" t="s">
        <v>245</v>
      </c>
      <c r="F269" s="17"/>
      <c r="J269" s="31"/>
    </row>
    <row r="270" spans="1:10" ht="31.2" hidden="1" x14ac:dyDescent="0.3">
      <c r="A270" s="31"/>
      <c r="B270" s="19" t="s">
        <v>243</v>
      </c>
      <c r="C270" s="17"/>
      <c r="D270" s="13"/>
      <c r="E270" s="19" t="s">
        <v>243</v>
      </c>
      <c r="F270" s="17"/>
      <c r="J270" s="31"/>
    </row>
    <row r="271" spans="1:10" ht="31.2" hidden="1" x14ac:dyDescent="0.3">
      <c r="A271" s="31"/>
      <c r="B271" s="19"/>
      <c r="C271" s="17"/>
      <c r="D271" s="13"/>
      <c r="E271" s="32" t="s">
        <v>240</v>
      </c>
      <c r="F271" s="17"/>
      <c r="J271" s="31"/>
    </row>
    <row r="272" spans="1:10" ht="31.2" hidden="1" x14ac:dyDescent="0.3">
      <c r="A272" s="23" t="s">
        <v>234</v>
      </c>
      <c r="B272" s="25" t="s">
        <v>409</v>
      </c>
      <c r="C272" s="24" t="s">
        <v>408</v>
      </c>
      <c r="D272" s="15"/>
      <c r="E272" s="32" t="s">
        <v>238</v>
      </c>
      <c r="F272" s="35"/>
      <c r="J272" s="9"/>
    </row>
    <row r="273" spans="1:10" ht="31.2" hidden="1" x14ac:dyDescent="0.3">
      <c r="A273" s="31"/>
      <c r="B273" s="19" t="s">
        <v>240</v>
      </c>
      <c r="C273" s="17"/>
      <c r="D273" s="13"/>
      <c r="E273" s="32" t="s">
        <v>236</v>
      </c>
      <c r="F273" s="17"/>
      <c r="J273" s="31"/>
    </row>
    <row r="274" spans="1:10" ht="31.2" hidden="1" x14ac:dyDescent="0.3">
      <c r="A274" s="31"/>
      <c r="B274" s="19" t="s">
        <v>238</v>
      </c>
      <c r="C274" s="17"/>
      <c r="D274" s="13"/>
      <c r="E274" s="13"/>
      <c r="F274" s="13"/>
      <c r="J274" s="31"/>
    </row>
    <row r="275" spans="1:10" ht="31.2" hidden="1" x14ac:dyDescent="0.3">
      <c r="A275" s="31"/>
      <c r="B275" s="19" t="s">
        <v>236</v>
      </c>
      <c r="C275" s="17"/>
      <c r="D275" s="13"/>
      <c r="E275" s="13"/>
      <c r="F275" s="13"/>
      <c r="J275" s="31"/>
    </row>
    <row r="276" spans="1:10" ht="31.2" hidden="1" x14ac:dyDescent="0.3">
      <c r="A276" s="13"/>
      <c r="B276" s="19"/>
      <c r="C276" s="17"/>
      <c r="D276" s="13"/>
      <c r="E276" s="13"/>
      <c r="F276" s="13"/>
      <c r="J276" s="13"/>
    </row>
    <row r="277" spans="1:10" ht="31.2" hidden="1" x14ac:dyDescent="0.3">
      <c r="A277" s="23" t="s">
        <v>315</v>
      </c>
      <c r="B277" s="25" t="s">
        <v>409</v>
      </c>
      <c r="C277" s="24" t="s">
        <v>408</v>
      </c>
      <c r="D277" s="15"/>
      <c r="E277" s="15"/>
      <c r="F277" s="15"/>
      <c r="J277" s="9"/>
    </row>
    <row r="278" spans="1:10" ht="31.2" hidden="1" x14ac:dyDescent="0.3">
      <c r="A278" s="31"/>
      <c r="B278" s="19" t="s">
        <v>337</v>
      </c>
      <c r="C278" s="17"/>
      <c r="D278" s="13"/>
      <c r="E278" s="13"/>
      <c r="F278" s="13"/>
      <c r="J278" s="31"/>
    </row>
    <row r="279" spans="1:10" ht="31.2" hidden="1" x14ac:dyDescent="0.3">
      <c r="A279" s="31"/>
      <c r="B279" s="19" t="s">
        <v>335</v>
      </c>
      <c r="C279" s="17"/>
      <c r="D279" s="13"/>
      <c r="E279" s="13"/>
      <c r="F279" s="13"/>
      <c r="J279" s="31"/>
    </row>
    <row r="280" spans="1:10" ht="31.2" hidden="1" x14ac:dyDescent="0.3">
      <c r="A280" s="31"/>
      <c r="B280" s="26" t="s">
        <v>333</v>
      </c>
      <c r="C280" s="17"/>
      <c r="D280" s="13"/>
      <c r="E280" s="13"/>
      <c r="F280" s="13"/>
      <c r="J280" s="31"/>
    </row>
    <row r="281" spans="1:10" ht="31.2" hidden="1" x14ac:dyDescent="0.3">
      <c r="A281" s="31"/>
      <c r="B281" s="26" t="s">
        <v>331</v>
      </c>
      <c r="C281" s="17"/>
      <c r="D281" s="13"/>
      <c r="E281" s="13"/>
      <c r="F281" s="13"/>
      <c r="J281" s="31"/>
    </row>
    <row r="282" spans="1:10" ht="31.2" hidden="1" x14ac:dyDescent="0.3">
      <c r="A282" s="31"/>
      <c r="B282" s="26" t="s">
        <v>329</v>
      </c>
      <c r="C282" s="17"/>
      <c r="D282" s="13"/>
      <c r="E282" s="13"/>
      <c r="F282" s="13"/>
      <c r="J282" s="31"/>
    </row>
    <row r="283" spans="1:10" ht="31.2" hidden="1" x14ac:dyDescent="0.3">
      <c r="A283" s="31"/>
      <c r="B283" s="19" t="s">
        <v>327</v>
      </c>
      <c r="C283" s="17"/>
      <c r="D283" s="13"/>
      <c r="E283" s="13"/>
      <c r="F283" s="13"/>
      <c r="J283" s="31"/>
    </row>
    <row r="284" spans="1:10" ht="31.2" hidden="1" x14ac:dyDescent="0.3">
      <c r="A284" s="31"/>
      <c r="B284" s="19" t="s">
        <v>325</v>
      </c>
      <c r="C284" s="17"/>
      <c r="D284" s="13"/>
      <c r="E284" s="13"/>
      <c r="F284" s="13"/>
      <c r="J284" s="31"/>
    </row>
    <row r="285" spans="1:10" ht="31.2" hidden="1" x14ac:dyDescent="0.3">
      <c r="A285" s="31"/>
      <c r="B285" s="26" t="s">
        <v>323</v>
      </c>
      <c r="C285" s="17"/>
      <c r="D285" s="13"/>
      <c r="E285" s="13"/>
      <c r="F285" s="13"/>
      <c r="J285" s="31"/>
    </row>
    <row r="286" spans="1:10" ht="31.2" hidden="1" x14ac:dyDescent="0.3">
      <c r="A286" s="31"/>
      <c r="B286" s="19" t="s">
        <v>321</v>
      </c>
      <c r="C286" s="17"/>
      <c r="D286" s="13"/>
      <c r="E286" s="13"/>
      <c r="F286" s="13"/>
      <c r="J286" s="31"/>
    </row>
    <row r="287" spans="1:10" ht="31.2" hidden="1" x14ac:dyDescent="0.3">
      <c r="A287" s="31"/>
      <c r="B287" s="19" t="s">
        <v>319</v>
      </c>
      <c r="C287" s="17"/>
      <c r="D287" s="13"/>
      <c r="E287" s="13"/>
      <c r="F287" s="13"/>
      <c r="J287" s="31"/>
    </row>
    <row r="288" spans="1:10" ht="31.2" hidden="1" x14ac:dyDescent="0.3">
      <c r="A288" s="31"/>
      <c r="B288" s="19" t="s">
        <v>317</v>
      </c>
      <c r="C288" s="17"/>
      <c r="D288" s="13"/>
      <c r="E288" s="13"/>
      <c r="F288" s="13"/>
      <c r="J288" s="31"/>
    </row>
    <row r="289" spans="1:10" ht="31.2" hidden="1" x14ac:dyDescent="0.3">
      <c r="A289" s="13"/>
      <c r="B289" s="19"/>
      <c r="C289" s="17"/>
      <c r="D289" s="13"/>
      <c r="E289" s="13"/>
      <c r="F289" s="13"/>
      <c r="J289" s="13"/>
    </row>
    <row r="290" spans="1:10" ht="31.2" hidden="1" x14ac:dyDescent="0.3">
      <c r="A290" s="23" t="s">
        <v>173</v>
      </c>
      <c r="B290" s="25" t="s">
        <v>409</v>
      </c>
      <c r="C290" s="24" t="s">
        <v>408</v>
      </c>
      <c r="D290" s="15"/>
      <c r="E290" s="25" t="s">
        <v>409</v>
      </c>
      <c r="F290" s="24" t="s">
        <v>408</v>
      </c>
      <c r="J290" s="9"/>
    </row>
    <row r="291" spans="1:10" ht="31.2" hidden="1" x14ac:dyDescent="0.3">
      <c r="A291" s="31"/>
      <c r="B291" s="19" t="s">
        <v>199</v>
      </c>
      <c r="C291" s="17"/>
      <c r="D291" s="13"/>
      <c r="E291" s="19" t="s">
        <v>199</v>
      </c>
      <c r="F291" s="17"/>
      <c r="J291" s="31"/>
    </row>
    <row r="292" spans="1:10" ht="31.2" hidden="1" x14ac:dyDescent="0.3">
      <c r="A292" s="31"/>
      <c r="B292" s="26" t="s">
        <v>197</v>
      </c>
      <c r="C292" s="17"/>
      <c r="D292" s="13"/>
      <c r="E292" s="26" t="s">
        <v>197</v>
      </c>
      <c r="F292" s="17"/>
      <c r="J292" s="31"/>
    </row>
    <row r="293" spans="1:10" ht="31.2" hidden="1" x14ac:dyDescent="0.3">
      <c r="A293" s="31"/>
      <c r="B293" s="26" t="s">
        <v>195</v>
      </c>
      <c r="C293" s="17"/>
      <c r="D293" s="13"/>
      <c r="E293" s="26" t="s">
        <v>195</v>
      </c>
      <c r="F293" s="17"/>
      <c r="J293" s="31"/>
    </row>
    <row r="294" spans="1:10" ht="31.2" hidden="1" x14ac:dyDescent="0.3">
      <c r="A294" s="31"/>
      <c r="B294" s="26" t="s">
        <v>193</v>
      </c>
      <c r="C294" s="17"/>
      <c r="D294" s="13"/>
      <c r="E294" s="26" t="s">
        <v>193</v>
      </c>
      <c r="F294" s="17"/>
      <c r="J294" s="31"/>
    </row>
    <row r="295" spans="1:10" ht="31.2" hidden="1" x14ac:dyDescent="0.3">
      <c r="A295" s="31"/>
      <c r="B295" s="26" t="s">
        <v>191</v>
      </c>
      <c r="C295" s="17"/>
      <c r="D295" s="13"/>
      <c r="E295" s="26" t="s">
        <v>191</v>
      </c>
      <c r="F295" s="17"/>
      <c r="J295" s="31"/>
    </row>
    <row r="296" spans="1:10" ht="31.2" hidden="1" x14ac:dyDescent="0.3">
      <c r="A296" s="31"/>
      <c r="B296" s="26" t="s">
        <v>189</v>
      </c>
      <c r="C296" s="17"/>
      <c r="D296" s="13"/>
      <c r="E296" s="26" t="s">
        <v>189</v>
      </c>
      <c r="F296" s="17"/>
      <c r="J296" s="31"/>
    </row>
    <row r="297" spans="1:10" ht="31.2" hidden="1" x14ac:dyDescent="0.3">
      <c r="A297" s="31"/>
      <c r="B297" s="19" t="s">
        <v>187</v>
      </c>
      <c r="C297" s="17"/>
      <c r="D297" s="13"/>
      <c r="E297" s="19" t="s">
        <v>187</v>
      </c>
      <c r="F297" s="17"/>
      <c r="J297" s="31"/>
    </row>
    <row r="298" spans="1:10" ht="31.2" hidden="1" x14ac:dyDescent="0.3">
      <c r="A298" s="31"/>
      <c r="B298" s="19" t="s">
        <v>185</v>
      </c>
      <c r="C298" s="17"/>
      <c r="D298" s="13"/>
      <c r="E298" s="19" t="s">
        <v>185</v>
      </c>
      <c r="F298" s="17"/>
      <c r="J298" s="31"/>
    </row>
    <row r="299" spans="1:10" ht="31.2" hidden="1" x14ac:dyDescent="0.3">
      <c r="A299" s="31"/>
      <c r="B299" s="26" t="s">
        <v>183</v>
      </c>
      <c r="C299" s="17"/>
      <c r="D299" s="13"/>
      <c r="E299" s="26" t="s">
        <v>183</v>
      </c>
      <c r="F299" s="17"/>
      <c r="J299" s="31"/>
    </row>
    <row r="300" spans="1:10" ht="31.2" hidden="1" x14ac:dyDescent="0.3">
      <c r="A300" s="31"/>
      <c r="B300" s="19" t="s">
        <v>181</v>
      </c>
      <c r="C300" s="30"/>
      <c r="D300" s="13"/>
      <c r="E300" s="19" t="s">
        <v>181</v>
      </c>
      <c r="F300" s="30"/>
      <c r="J300" s="31"/>
    </row>
    <row r="301" spans="1:10" ht="31.2" hidden="1" x14ac:dyDescent="0.3">
      <c r="A301" s="31"/>
      <c r="B301" s="19" t="s">
        <v>179</v>
      </c>
      <c r="C301" s="17"/>
      <c r="D301" s="31"/>
      <c r="E301" s="19" t="s">
        <v>179</v>
      </c>
      <c r="F301" s="17"/>
      <c r="J301" s="31"/>
    </row>
    <row r="302" spans="1:10" ht="31.2" hidden="1" x14ac:dyDescent="0.3">
      <c r="A302" s="31"/>
      <c r="B302" s="19" t="s">
        <v>177</v>
      </c>
      <c r="C302" s="17"/>
      <c r="D302" s="13"/>
      <c r="E302" s="19" t="s">
        <v>177</v>
      </c>
      <c r="F302" s="17"/>
      <c r="J302" s="31"/>
    </row>
    <row r="303" spans="1:10" ht="31.2" hidden="1" x14ac:dyDescent="0.3">
      <c r="A303" s="31"/>
      <c r="B303" s="19" t="s">
        <v>175</v>
      </c>
      <c r="C303" s="17"/>
      <c r="D303" s="13"/>
      <c r="E303" s="19" t="s">
        <v>175</v>
      </c>
      <c r="F303" s="17"/>
      <c r="J303" s="31"/>
    </row>
    <row r="304" spans="1:10" ht="31.2" hidden="1" x14ac:dyDescent="0.3">
      <c r="A304" s="13"/>
      <c r="B304" s="19"/>
      <c r="C304" s="17"/>
      <c r="D304" s="13"/>
      <c r="E304" s="32" t="s">
        <v>150</v>
      </c>
      <c r="F304" s="17"/>
      <c r="J304" s="13"/>
    </row>
    <row r="305" spans="1:10" ht="31.2" hidden="1" x14ac:dyDescent="0.3">
      <c r="A305" s="23" t="s">
        <v>134</v>
      </c>
      <c r="B305" s="25" t="s">
        <v>409</v>
      </c>
      <c r="C305" s="24" t="s">
        <v>408</v>
      </c>
      <c r="D305" s="15"/>
      <c r="E305" s="32" t="s">
        <v>148</v>
      </c>
      <c r="F305" s="35"/>
      <c r="J305" s="9"/>
    </row>
    <row r="306" spans="1:10" ht="31.2" hidden="1" x14ac:dyDescent="0.3">
      <c r="A306" s="31"/>
      <c r="B306" s="19" t="s">
        <v>150</v>
      </c>
      <c r="C306" s="17"/>
      <c r="D306" s="29"/>
      <c r="E306" s="26" t="s">
        <v>146</v>
      </c>
      <c r="F306" s="34"/>
      <c r="J306" s="31"/>
    </row>
    <row r="307" spans="1:10" ht="31.2" hidden="1" x14ac:dyDescent="0.3">
      <c r="A307" s="31"/>
      <c r="B307" s="19" t="s">
        <v>148</v>
      </c>
      <c r="C307" s="17"/>
      <c r="D307" s="13"/>
      <c r="E307" s="26" t="s">
        <v>144</v>
      </c>
      <c r="F307" s="17"/>
      <c r="J307" s="31"/>
    </row>
    <row r="308" spans="1:10" ht="31.2" hidden="1" x14ac:dyDescent="0.3">
      <c r="A308" s="31"/>
      <c r="B308" s="26" t="s">
        <v>146</v>
      </c>
      <c r="C308" s="17"/>
      <c r="D308" s="13"/>
      <c r="E308" s="32" t="s">
        <v>142</v>
      </c>
      <c r="F308" s="17"/>
      <c r="J308" s="31"/>
    </row>
    <row r="309" spans="1:10" ht="31.2" hidden="1" x14ac:dyDescent="0.3">
      <c r="A309" s="31"/>
      <c r="B309" s="26" t="s">
        <v>144</v>
      </c>
      <c r="C309" s="17"/>
      <c r="D309" s="13"/>
      <c r="E309" s="32" t="s">
        <v>140</v>
      </c>
      <c r="F309" s="17"/>
      <c r="J309" s="31"/>
    </row>
    <row r="310" spans="1:10" ht="31.2" hidden="1" x14ac:dyDescent="0.3">
      <c r="A310" s="31"/>
      <c r="B310" s="19" t="s">
        <v>142</v>
      </c>
      <c r="C310" s="30"/>
      <c r="D310" s="13"/>
      <c r="E310" s="32" t="s">
        <v>138</v>
      </c>
      <c r="F310" s="17"/>
      <c r="J310" s="31"/>
    </row>
    <row r="311" spans="1:10" ht="31.2" hidden="1" x14ac:dyDescent="0.3">
      <c r="A311" s="31"/>
      <c r="B311" s="19" t="s">
        <v>140</v>
      </c>
      <c r="C311" s="33"/>
      <c r="D311" s="13"/>
      <c r="E311" s="32" t="s">
        <v>136</v>
      </c>
      <c r="F311" s="17"/>
      <c r="J311" s="31"/>
    </row>
    <row r="312" spans="1:10" ht="31.2" hidden="1" x14ac:dyDescent="0.3">
      <c r="A312" s="31"/>
      <c r="B312" s="19" t="s">
        <v>138</v>
      </c>
      <c r="C312" s="17"/>
      <c r="D312" s="13"/>
      <c r="E312" s="13"/>
      <c r="F312" s="13"/>
      <c r="J312" s="31"/>
    </row>
    <row r="313" spans="1:10" ht="31.2" hidden="1" x14ac:dyDescent="0.3">
      <c r="A313" s="31"/>
      <c r="B313" s="19" t="s">
        <v>136</v>
      </c>
      <c r="C313" s="17"/>
      <c r="D313" s="31"/>
      <c r="E313" s="31"/>
      <c r="F313" s="31"/>
      <c r="J313" s="31"/>
    </row>
    <row r="314" spans="1:10" ht="31.2" hidden="1" x14ac:dyDescent="0.3">
      <c r="A314" s="31"/>
      <c r="B314" s="18"/>
      <c r="C314" s="17"/>
      <c r="D314" s="13"/>
      <c r="E314" s="13"/>
      <c r="F314" s="13"/>
      <c r="J314" s="31"/>
    </row>
    <row r="315" spans="1:10" ht="31.2" hidden="1" x14ac:dyDescent="0.3">
      <c r="A315" s="23" t="s">
        <v>283</v>
      </c>
      <c r="B315" s="25" t="s">
        <v>409</v>
      </c>
      <c r="C315" s="24" t="s">
        <v>408</v>
      </c>
      <c r="D315" s="15"/>
      <c r="E315" s="15"/>
      <c r="F315" s="15"/>
      <c r="J315" s="9"/>
    </row>
    <row r="316" spans="1:10" ht="31.2" hidden="1" x14ac:dyDescent="0.3">
      <c r="A316" s="31"/>
      <c r="B316" s="19" t="s">
        <v>305</v>
      </c>
      <c r="C316" s="17"/>
      <c r="D316" s="13"/>
      <c r="E316" s="13"/>
      <c r="F316" s="13"/>
      <c r="J316" s="31"/>
    </row>
    <row r="317" spans="1:10" ht="31.2" hidden="1" x14ac:dyDescent="0.3">
      <c r="A317" s="31"/>
      <c r="B317" s="26" t="s">
        <v>303</v>
      </c>
      <c r="C317" s="17"/>
      <c r="D317" s="13"/>
      <c r="E317" s="13"/>
      <c r="F317" s="13"/>
      <c r="J317" s="31"/>
    </row>
    <row r="318" spans="1:10" ht="31.2" hidden="1" x14ac:dyDescent="0.3">
      <c r="A318" s="31"/>
      <c r="B318" s="26" t="s">
        <v>301</v>
      </c>
      <c r="C318" s="17"/>
      <c r="D318" s="13"/>
      <c r="E318" s="13"/>
      <c r="F318" s="13"/>
      <c r="J318" s="31"/>
    </row>
    <row r="319" spans="1:10" ht="31.2" hidden="1" x14ac:dyDescent="0.3">
      <c r="A319" s="31"/>
      <c r="B319" s="26" t="s">
        <v>299</v>
      </c>
      <c r="C319" s="17"/>
      <c r="D319" s="13"/>
      <c r="E319" s="13"/>
      <c r="F319" s="13"/>
      <c r="J319" s="31"/>
    </row>
    <row r="320" spans="1:10" ht="31.2" hidden="1" x14ac:dyDescent="0.3">
      <c r="A320" s="31"/>
      <c r="B320" s="26" t="s">
        <v>297</v>
      </c>
      <c r="C320" s="17"/>
      <c r="D320" s="13"/>
      <c r="E320" s="13"/>
      <c r="F320" s="13"/>
      <c r="J320" s="31"/>
    </row>
    <row r="321" spans="1:11" ht="31.2" hidden="1" x14ac:dyDescent="0.3">
      <c r="A321" s="31"/>
      <c r="B321" s="26" t="s">
        <v>295</v>
      </c>
      <c r="C321" s="17"/>
      <c r="D321" s="13"/>
      <c r="E321" s="13"/>
      <c r="F321" s="13"/>
      <c r="J321" s="31"/>
    </row>
    <row r="322" spans="1:11" ht="31.2" hidden="1" x14ac:dyDescent="0.3">
      <c r="A322" s="31"/>
      <c r="B322" s="19" t="s">
        <v>293</v>
      </c>
      <c r="C322" s="17"/>
      <c r="D322" s="13"/>
      <c r="E322" s="13"/>
      <c r="F322" s="13"/>
      <c r="J322" s="31"/>
    </row>
    <row r="323" spans="1:11" ht="31.2" hidden="1" x14ac:dyDescent="0.3">
      <c r="A323" s="31"/>
      <c r="B323" s="19" t="s">
        <v>291</v>
      </c>
      <c r="C323" s="17"/>
      <c r="D323" s="13"/>
      <c r="E323" s="13"/>
      <c r="F323" s="13"/>
      <c r="J323" s="31"/>
    </row>
    <row r="324" spans="1:11" ht="31.2" hidden="1" x14ac:dyDescent="0.3">
      <c r="A324" s="31"/>
      <c r="B324" s="19" t="s">
        <v>289</v>
      </c>
      <c r="C324" s="30"/>
      <c r="D324" s="13"/>
      <c r="E324" s="13"/>
      <c r="F324" s="13"/>
      <c r="J324" s="31"/>
    </row>
    <row r="325" spans="1:11" ht="31.2" hidden="1" x14ac:dyDescent="0.3">
      <c r="A325" s="31"/>
      <c r="B325" s="19" t="s">
        <v>287</v>
      </c>
      <c r="C325" s="17"/>
      <c r="D325" s="31"/>
      <c r="E325" s="31"/>
      <c r="F325" s="31"/>
      <c r="J325" s="31"/>
    </row>
    <row r="326" spans="1:11" ht="31.2" hidden="1" x14ac:dyDescent="0.3">
      <c r="A326" s="31"/>
      <c r="B326" s="19" t="s">
        <v>285</v>
      </c>
      <c r="C326" s="17"/>
      <c r="D326" s="13"/>
      <c r="E326" s="13"/>
      <c r="F326" s="13"/>
      <c r="J326" s="31"/>
    </row>
    <row r="327" spans="1:11" ht="31.2" hidden="1" x14ac:dyDescent="0.3">
      <c r="B327" s="19"/>
      <c r="C327" s="17"/>
    </row>
    <row r="328" spans="1:11" ht="31.2" hidden="1" x14ac:dyDescent="0.3">
      <c r="B328" s="19"/>
      <c r="C328" s="17"/>
    </row>
    <row r="329" spans="1:11" ht="31.2" hidden="1" x14ac:dyDescent="0.3">
      <c r="A329" s="23" t="s">
        <v>413</v>
      </c>
      <c r="B329" s="25" t="s">
        <v>409</v>
      </c>
      <c r="C329" s="24" t="s">
        <v>408</v>
      </c>
      <c r="D329" s="15"/>
      <c r="E329" s="15"/>
      <c r="F329" s="15"/>
    </row>
    <row r="330" spans="1:11" ht="31.2" hidden="1" x14ac:dyDescent="0.3">
      <c r="B330" s="19" t="s">
        <v>172</v>
      </c>
      <c r="C330" s="17"/>
      <c r="D330" s="13"/>
      <c r="E330" s="13"/>
      <c r="F330" s="13"/>
      <c r="K330" s="14"/>
    </row>
    <row r="331" spans="1:11" ht="31.2" hidden="1" x14ac:dyDescent="0.3">
      <c r="B331" s="19" t="s">
        <v>14</v>
      </c>
      <c r="C331" s="17"/>
      <c r="D331" s="13"/>
      <c r="E331" s="13"/>
      <c r="F331" s="13"/>
      <c r="K331" s="14"/>
    </row>
    <row r="332" spans="1:11" ht="31.2" hidden="1" x14ac:dyDescent="0.3">
      <c r="B332" s="19" t="s">
        <v>170</v>
      </c>
      <c r="C332" s="17"/>
      <c r="D332" s="13"/>
      <c r="E332" s="13"/>
      <c r="F332" s="13"/>
      <c r="K332" s="14"/>
    </row>
    <row r="333" spans="1:11" ht="31.2" hidden="1" x14ac:dyDescent="0.3">
      <c r="B333" s="19" t="s">
        <v>12</v>
      </c>
      <c r="C333" s="17"/>
      <c r="D333" s="13"/>
      <c r="E333" s="13"/>
      <c r="F333" s="13"/>
      <c r="K333" s="14"/>
    </row>
    <row r="334" spans="1:11" ht="31.2" hidden="1" x14ac:dyDescent="0.3">
      <c r="B334" s="19" t="s">
        <v>10</v>
      </c>
      <c r="C334" s="17"/>
      <c r="D334" s="13"/>
      <c r="E334" s="13"/>
      <c r="F334" s="13"/>
      <c r="K334" s="14"/>
    </row>
    <row r="335" spans="1:11" ht="31.2" hidden="1" x14ac:dyDescent="0.3">
      <c r="B335" s="26" t="s">
        <v>159</v>
      </c>
      <c r="C335" s="17"/>
      <c r="D335" s="13"/>
      <c r="E335" s="13"/>
      <c r="F335" s="13"/>
      <c r="K335" s="14"/>
    </row>
    <row r="336" spans="1:11" ht="31.2" hidden="1" x14ac:dyDescent="0.3">
      <c r="B336" s="26" t="s">
        <v>157</v>
      </c>
      <c r="C336" s="17"/>
      <c r="D336" s="13"/>
      <c r="E336" s="13"/>
      <c r="F336" s="13"/>
      <c r="K336" s="14"/>
    </row>
    <row r="337" spans="1:13" ht="31.2" hidden="1" x14ac:dyDescent="0.3">
      <c r="B337" s="19" t="s">
        <v>168</v>
      </c>
      <c r="C337" s="17"/>
      <c r="D337" s="13"/>
      <c r="E337" s="13"/>
      <c r="F337" s="13"/>
      <c r="K337" s="14"/>
    </row>
    <row r="338" spans="1:13" ht="31.2" hidden="1" x14ac:dyDescent="0.3">
      <c r="B338" s="19" t="s">
        <v>166</v>
      </c>
      <c r="C338" s="17"/>
      <c r="D338" s="13"/>
      <c r="E338" s="13"/>
      <c r="F338" s="13"/>
      <c r="K338" s="14"/>
    </row>
    <row r="339" spans="1:13" ht="31.2" hidden="1" x14ac:dyDescent="0.3">
      <c r="B339" s="26" t="s">
        <v>164</v>
      </c>
      <c r="C339" s="17"/>
      <c r="D339" s="13"/>
      <c r="E339" s="13"/>
      <c r="F339" s="13"/>
      <c r="K339" s="14"/>
      <c r="M339" s="13"/>
    </row>
    <row r="340" spans="1:13" ht="31.2" hidden="1" x14ac:dyDescent="0.3">
      <c r="B340" s="19" t="s">
        <v>8</v>
      </c>
      <c r="C340" s="17"/>
      <c r="D340" s="13"/>
      <c r="E340" s="13"/>
      <c r="F340" s="13"/>
      <c r="K340" s="13"/>
      <c r="M340" s="13"/>
    </row>
    <row r="341" spans="1:13" ht="31.2" hidden="1" x14ac:dyDescent="0.3">
      <c r="B341" s="26" t="s">
        <v>162</v>
      </c>
      <c r="C341" s="17"/>
      <c r="D341" s="13"/>
      <c r="E341" s="13"/>
      <c r="F341" s="13"/>
      <c r="K341" s="14"/>
    </row>
    <row r="342" spans="1:13" ht="31.2" hidden="1" x14ac:dyDescent="0.3">
      <c r="B342" s="26" t="s">
        <v>155</v>
      </c>
      <c r="C342" s="17"/>
      <c r="D342" s="13"/>
      <c r="E342" s="13"/>
      <c r="F342" s="13"/>
      <c r="K342" s="13"/>
      <c r="M342" s="13"/>
    </row>
    <row r="343" spans="1:13" ht="31.2" hidden="1" x14ac:dyDescent="0.3">
      <c r="B343" s="19" t="s">
        <v>6</v>
      </c>
      <c r="C343" s="17"/>
      <c r="D343" s="13"/>
      <c r="E343" s="13"/>
      <c r="F343" s="13"/>
      <c r="K343" s="13"/>
      <c r="M343" s="13"/>
    </row>
    <row r="344" spans="1:13" ht="31.2" hidden="1" x14ac:dyDescent="0.3">
      <c r="B344" s="26" t="s">
        <v>153</v>
      </c>
      <c r="C344" s="17"/>
      <c r="D344" s="13"/>
      <c r="E344" s="13"/>
      <c r="F344" s="13"/>
      <c r="K344" s="14"/>
    </row>
    <row r="345" spans="1:13" ht="31.2" hidden="1" x14ac:dyDescent="0.3">
      <c r="B345" s="19" t="s">
        <v>4</v>
      </c>
      <c r="C345" s="17"/>
      <c r="D345" s="13"/>
      <c r="E345" s="13"/>
      <c r="F345" s="13"/>
      <c r="K345" s="14"/>
    </row>
    <row r="346" spans="1:13" ht="31.2" hidden="1" x14ac:dyDescent="0.3">
      <c r="B346" s="19" t="s">
        <v>2</v>
      </c>
      <c r="C346" s="17"/>
      <c r="D346" s="13"/>
      <c r="E346" s="13"/>
      <c r="F346" s="13"/>
      <c r="K346" s="14"/>
    </row>
    <row r="347" spans="1:13" ht="31.2" hidden="1" x14ac:dyDescent="0.3">
      <c r="B347" s="19"/>
      <c r="C347" s="17"/>
      <c r="D347" s="13"/>
      <c r="E347" s="13"/>
      <c r="F347" s="13"/>
      <c r="K347" s="14"/>
    </row>
    <row r="348" spans="1:13" ht="31.2" hidden="1" x14ac:dyDescent="0.3">
      <c r="B348" s="25" t="s">
        <v>409</v>
      </c>
      <c r="C348" s="24" t="s">
        <v>408</v>
      </c>
      <c r="D348" s="15"/>
      <c r="E348" s="15"/>
      <c r="F348" s="15"/>
      <c r="K348" s="14"/>
    </row>
    <row r="349" spans="1:13" ht="31.2" hidden="1" x14ac:dyDescent="0.3">
      <c r="A349" s="23" t="s">
        <v>422</v>
      </c>
      <c r="B349" s="19" t="s">
        <v>305</v>
      </c>
      <c r="C349" s="17"/>
      <c r="D349" s="29"/>
      <c r="E349" s="29"/>
      <c r="F349" s="29"/>
      <c r="K349" s="14"/>
    </row>
    <row r="350" spans="1:13" s="9" customFormat="1" ht="14.4" hidden="1" x14ac:dyDescent="0.3">
      <c r="B350" s="19" t="s">
        <v>303</v>
      </c>
      <c r="C350" s="17"/>
      <c r="D350" s="29"/>
      <c r="E350" s="29"/>
      <c r="F350" s="29"/>
      <c r="K350" s="14"/>
    </row>
    <row r="351" spans="1:13" s="9" customFormat="1" ht="14.4" hidden="1" x14ac:dyDescent="0.3">
      <c r="B351" s="19" t="s">
        <v>301</v>
      </c>
      <c r="C351" s="17"/>
      <c r="D351" s="29"/>
      <c r="E351" s="29"/>
      <c r="F351" s="29"/>
      <c r="K351" s="14"/>
    </row>
    <row r="352" spans="1:13" s="9" customFormat="1" ht="14.4" hidden="1" x14ac:dyDescent="0.3">
      <c r="B352" s="19" t="s">
        <v>299</v>
      </c>
      <c r="C352" s="17"/>
      <c r="D352" s="29"/>
      <c r="E352" s="29"/>
      <c r="F352" s="29"/>
      <c r="K352" s="14"/>
    </row>
    <row r="353" spans="2:13" s="9" customFormat="1" ht="14.4" hidden="1" x14ac:dyDescent="0.3">
      <c r="B353" s="19" t="s">
        <v>297</v>
      </c>
      <c r="C353" s="17"/>
      <c r="D353" s="29"/>
      <c r="E353" s="29"/>
      <c r="F353" s="29"/>
      <c r="G353" s="14"/>
      <c r="K353" s="14"/>
    </row>
    <row r="354" spans="2:13" s="9" customFormat="1" ht="14.4" hidden="1" x14ac:dyDescent="0.3">
      <c r="B354" s="19" t="s">
        <v>150</v>
      </c>
      <c r="C354" s="17"/>
      <c r="D354" s="29"/>
      <c r="E354" s="29"/>
      <c r="F354" s="29"/>
      <c r="K354" s="14"/>
    </row>
    <row r="355" spans="2:13" s="9" customFormat="1" ht="14.4" hidden="1" x14ac:dyDescent="0.3">
      <c r="B355" s="19" t="s">
        <v>148</v>
      </c>
      <c r="C355" s="17"/>
      <c r="D355" s="29"/>
      <c r="E355" s="29"/>
      <c r="F355" s="29"/>
      <c r="G355" s="14"/>
      <c r="K355" s="14"/>
    </row>
    <row r="356" spans="2:13" s="9" customFormat="1" ht="14.4" hidden="1" x14ac:dyDescent="0.3">
      <c r="B356" s="19" t="s">
        <v>146</v>
      </c>
      <c r="C356" s="17"/>
      <c r="D356" s="29"/>
      <c r="E356" s="29"/>
      <c r="F356" s="29"/>
      <c r="G356" s="14"/>
      <c r="K356" s="14"/>
    </row>
    <row r="357" spans="2:13" s="9" customFormat="1" ht="14.4" hidden="1" x14ac:dyDescent="0.3">
      <c r="B357" s="19" t="s">
        <v>144</v>
      </c>
      <c r="C357" s="30"/>
      <c r="D357" s="29"/>
      <c r="E357" s="29"/>
      <c r="F357" s="29"/>
      <c r="K357" s="14"/>
    </row>
    <row r="358" spans="2:13" s="9" customFormat="1" ht="14.4" hidden="1" x14ac:dyDescent="0.3">
      <c r="B358" s="19" t="s">
        <v>142</v>
      </c>
      <c r="C358" s="30"/>
      <c r="D358" s="29"/>
      <c r="E358" s="29"/>
      <c r="F358" s="29"/>
      <c r="G358" s="14"/>
      <c r="K358" s="14"/>
    </row>
    <row r="359" spans="2:13" s="9" customFormat="1" ht="14.4" hidden="1" x14ac:dyDescent="0.3">
      <c r="B359" s="19" t="s">
        <v>140</v>
      </c>
      <c r="C359" s="17"/>
      <c r="D359" s="29"/>
      <c r="E359" s="29"/>
      <c r="F359" s="29"/>
      <c r="K359" s="14"/>
    </row>
    <row r="360" spans="2:13" s="9" customFormat="1" ht="14.4" hidden="1" x14ac:dyDescent="0.3">
      <c r="B360" s="19" t="s">
        <v>295</v>
      </c>
      <c r="C360" s="17"/>
      <c r="D360" s="29"/>
      <c r="E360" s="29"/>
      <c r="F360" s="29"/>
      <c r="G360" s="14"/>
      <c r="K360" s="14"/>
    </row>
    <row r="361" spans="2:13" ht="31.2" hidden="1" x14ac:dyDescent="0.3">
      <c r="B361" s="19" t="s">
        <v>293</v>
      </c>
      <c r="C361" s="17"/>
      <c r="D361" s="13"/>
      <c r="E361" s="13"/>
      <c r="F361" s="13"/>
      <c r="K361" s="14"/>
    </row>
    <row r="362" spans="2:13" ht="31.2" hidden="1" x14ac:dyDescent="0.3">
      <c r="B362" s="19" t="s">
        <v>291</v>
      </c>
      <c r="C362" s="17"/>
      <c r="D362" s="13"/>
      <c r="E362" s="13"/>
      <c r="F362" s="13"/>
      <c r="K362" s="14"/>
    </row>
    <row r="363" spans="2:13" ht="31.2" hidden="1" x14ac:dyDescent="0.3">
      <c r="B363" s="19" t="s">
        <v>138</v>
      </c>
      <c r="C363" s="17"/>
      <c r="D363" s="13"/>
      <c r="E363" s="13"/>
      <c r="F363" s="13"/>
      <c r="G363" s="28"/>
      <c r="K363" s="14"/>
    </row>
    <row r="364" spans="2:13" ht="31.2" hidden="1" x14ac:dyDescent="0.3">
      <c r="B364" s="19" t="s">
        <v>136</v>
      </c>
      <c r="C364" s="17"/>
      <c r="D364" s="13"/>
      <c r="E364" s="13"/>
      <c r="F364" s="13"/>
      <c r="G364" s="15"/>
      <c r="K364" s="14"/>
    </row>
    <row r="365" spans="2:13" ht="31.2" hidden="1" x14ac:dyDescent="0.3">
      <c r="B365" s="19" t="s">
        <v>289</v>
      </c>
      <c r="C365" s="17"/>
      <c r="D365" s="13"/>
      <c r="E365" s="13"/>
      <c r="F365" s="13"/>
      <c r="G365" s="28"/>
      <c r="K365" s="27"/>
    </row>
    <row r="366" spans="2:13" ht="31.2" hidden="1" x14ac:dyDescent="0.3">
      <c r="B366" s="19" t="s">
        <v>287</v>
      </c>
      <c r="C366" s="17"/>
      <c r="D366" s="13"/>
      <c r="E366" s="13"/>
      <c r="F366" s="13"/>
      <c r="G366" s="15"/>
      <c r="K366" s="14"/>
      <c r="M366" s="13"/>
    </row>
    <row r="367" spans="2:13" ht="31.2" hidden="1" x14ac:dyDescent="0.3">
      <c r="B367" s="19" t="s">
        <v>285</v>
      </c>
      <c r="C367" s="17"/>
      <c r="D367" s="13"/>
      <c r="E367" s="13"/>
      <c r="F367" s="13"/>
      <c r="K367" s="13"/>
      <c r="M367" s="13"/>
    </row>
    <row r="368" spans="2:13" ht="31.2" hidden="1" x14ac:dyDescent="0.3">
      <c r="B368" s="19"/>
      <c r="C368" s="17"/>
      <c r="D368" s="13"/>
      <c r="E368" s="13"/>
      <c r="F368" s="13"/>
      <c r="G368" s="13"/>
      <c r="K368" s="14"/>
    </row>
    <row r="369" spans="1:11" ht="31.2" hidden="1" x14ac:dyDescent="0.3">
      <c r="B369" s="25" t="s">
        <v>409</v>
      </c>
      <c r="C369" s="24" t="s">
        <v>408</v>
      </c>
      <c r="D369" s="15"/>
      <c r="E369" s="15"/>
      <c r="F369" s="15"/>
      <c r="G369" s="15"/>
      <c r="K369" s="27"/>
    </row>
    <row r="370" spans="1:11" ht="31.2" hidden="1" x14ac:dyDescent="0.3">
      <c r="A370" s="9" t="s">
        <v>444</v>
      </c>
      <c r="B370" s="19" t="s">
        <v>172</v>
      </c>
      <c r="C370" s="17"/>
      <c r="D370" s="13"/>
      <c r="E370" s="13"/>
      <c r="F370" s="13"/>
      <c r="G370" s="13"/>
      <c r="K370" s="14"/>
    </row>
    <row r="371" spans="1:11" s="9" customFormat="1" ht="14.4" hidden="1" x14ac:dyDescent="0.3">
      <c r="B371" s="19" t="s">
        <v>14</v>
      </c>
      <c r="C371" s="17"/>
      <c r="D371" s="13"/>
      <c r="E371" s="13"/>
      <c r="F371" s="13"/>
      <c r="G371" s="13"/>
      <c r="K371" s="14"/>
    </row>
    <row r="372" spans="1:11" s="9" customFormat="1" ht="14.4" hidden="1" x14ac:dyDescent="0.3">
      <c r="B372" s="19" t="s">
        <v>170</v>
      </c>
      <c r="C372" s="17"/>
      <c r="D372" s="13"/>
      <c r="E372" s="13"/>
      <c r="F372" s="13"/>
      <c r="G372" s="13"/>
      <c r="K372" s="14"/>
    </row>
    <row r="373" spans="1:11" s="9" customFormat="1" ht="14.4" hidden="1" x14ac:dyDescent="0.3">
      <c r="B373" s="19" t="s">
        <v>337</v>
      </c>
      <c r="C373" s="17"/>
      <c r="D373" s="13"/>
      <c r="E373" s="13"/>
      <c r="F373" s="13"/>
      <c r="G373" s="13"/>
      <c r="K373" s="14"/>
    </row>
    <row r="374" spans="1:11" s="9" customFormat="1" ht="14.4" hidden="1" x14ac:dyDescent="0.3">
      <c r="B374" s="19" t="s">
        <v>335</v>
      </c>
      <c r="C374" s="17"/>
      <c r="D374" s="13"/>
      <c r="E374" s="13"/>
      <c r="F374" s="13"/>
      <c r="G374" s="13"/>
      <c r="K374" s="14"/>
    </row>
    <row r="375" spans="1:11" s="9" customFormat="1" ht="14.4" hidden="1" x14ac:dyDescent="0.3">
      <c r="B375" s="19" t="s">
        <v>12</v>
      </c>
      <c r="C375" s="17"/>
      <c r="D375" s="13"/>
      <c r="E375" s="13"/>
      <c r="F375" s="13"/>
      <c r="G375" s="13"/>
      <c r="K375" s="14"/>
    </row>
    <row r="376" spans="1:11" s="9" customFormat="1" ht="14.4" hidden="1" x14ac:dyDescent="0.3">
      <c r="B376" s="19" t="s">
        <v>10</v>
      </c>
      <c r="C376" s="17"/>
      <c r="D376" s="13"/>
      <c r="E376" s="13"/>
      <c r="F376" s="13"/>
      <c r="G376" s="13"/>
    </row>
    <row r="377" spans="1:11" s="9" customFormat="1" ht="14.4" hidden="1" x14ac:dyDescent="0.3">
      <c r="B377" s="26" t="s">
        <v>159</v>
      </c>
      <c r="C377" s="17"/>
      <c r="D377" s="13"/>
      <c r="E377" s="13"/>
      <c r="F377" s="13"/>
      <c r="G377" s="13"/>
    </row>
    <row r="378" spans="1:11" s="9" customFormat="1" ht="14.4" hidden="1" x14ac:dyDescent="0.3">
      <c r="B378" s="26" t="s">
        <v>157</v>
      </c>
      <c r="C378" s="17"/>
      <c r="D378" s="13"/>
      <c r="E378" s="13"/>
      <c r="F378" s="13"/>
      <c r="G378" s="13"/>
      <c r="K378" s="14"/>
    </row>
    <row r="379" spans="1:11" s="9" customFormat="1" ht="14.4" hidden="1" x14ac:dyDescent="0.3">
      <c r="B379" s="19" t="s">
        <v>168</v>
      </c>
      <c r="C379" s="17"/>
      <c r="D379" s="13"/>
      <c r="E379" s="13"/>
      <c r="F379" s="13"/>
      <c r="G379" s="13"/>
      <c r="K379" s="14"/>
    </row>
    <row r="380" spans="1:11" s="9" customFormat="1" ht="14.4" hidden="1" x14ac:dyDescent="0.3">
      <c r="B380" s="19" t="s">
        <v>333</v>
      </c>
      <c r="C380" s="17"/>
      <c r="D380" s="13"/>
      <c r="E380" s="13"/>
      <c r="F380" s="13"/>
      <c r="G380" s="13"/>
      <c r="K380" s="14"/>
    </row>
    <row r="381" spans="1:11" s="9" customFormat="1" ht="14.4" hidden="1" x14ac:dyDescent="0.3">
      <c r="B381" s="19" t="s">
        <v>331</v>
      </c>
      <c r="C381" s="17"/>
      <c r="D381" s="13"/>
      <c r="E381" s="13"/>
      <c r="F381" s="13"/>
      <c r="G381" s="13"/>
      <c r="K381" s="14"/>
    </row>
    <row r="382" spans="1:11" s="9" customFormat="1" ht="14.4" hidden="1" x14ac:dyDescent="0.3">
      <c r="B382" s="19" t="s">
        <v>166</v>
      </c>
      <c r="C382" s="17"/>
      <c r="D382" s="13"/>
      <c r="E382" s="13"/>
      <c r="F382" s="13"/>
      <c r="G382" s="13"/>
      <c r="K382" s="14"/>
    </row>
    <row r="383" spans="1:11" s="9" customFormat="1" ht="14.4" hidden="1" x14ac:dyDescent="0.3">
      <c r="B383" s="26" t="s">
        <v>164</v>
      </c>
      <c r="C383" s="17"/>
      <c r="D383" s="13"/>
      <c r="E383" s="13"/>
      <c r="F383" s="13"/>
      <c r="G383" s="13"/>
      <c r="K383" s="14"/>
    </row>
    <row r="384" spans="1:11" ht="31.2" hidden="1" x14ac:dyDescent="0.3">
      <c r="B384" s="19" t="s">
        <v>8</v>
      </c>
      <c r="C384" s="17"/>
      <c r="D384" s="13"/>
      <c r="E384" s="13"/>
      <c r="F384" s="13"/>
      <c r="G384" s="15"/>
      <c r="K384" s="14"/>
    </row>
    <row r="385" spans="1:11" ht="31.2" hidden="1" x14ac:dyDescent="0.3">
      <c r="B385" s="19" t="s">
        <v>329</v>
      </c>
      <c r="C385" s="17"/>
      <c r="D385" s="13"/>
      <c r="E385" s="13"/>
      <c r="F385" s="13"/>
      <c r="G385" s="13"/>
      <c r="K385" s="14"/>
    </row>
    <row r="386" spans="1:11" ht="31.2" hidden="1" x14ac:dyDescent="0.3">
      <c r="B386" s="19" t="s">
        <v>327</v>
      </c>
      <c r="C386" s="17"/>
      <c r="D386" s="13"/>
      <c r="E386" s="13"/>
      <c r="F386" s="13"/>
      <c r="G386" s="15"/>
      <c r="K386" s="14"/>
    </row>
    <row r="387" spans="1:11" ht="31.2" hidden="1" x14ac:dyDescent="0.3">
      <c r="B387" s="19" t="s">
        <v>325</v>
      </c>
      <c r="C387" s="17"/>
      <c r="D387" s="13"/>
      <c r="E387" s="13"/>
      <c r="F387" s="13"/>
      <c r="G387" s="13"/>
      <c r="K387" s="14"/>
    </row>
    <row r="388" spans="1:11" ht="31.2" hidden="1" x14ac:dyDescent="0.3">
      <c r="B388" s="19" t="s">
        <v>323</v>
      </c>
      <c r="C388" s="17"/>
      <c r="D388" s="13"/>
      <c r="E388" s="13"/>
      <c r="F388" s="13"/>
      <c r="G388" s="15"/>
      <c r="K388" s="14"/>
    </row>
    <row r="389" spans="1:11" ht="31.2" hidden="1" x14ac:dyDescent="0.3">
      <c r="B389" s="19" t="s">
        <v>321</v>
      </c>
      <c r="C389" s="17"/>
      <c r="D389" s="13"/>
      <c r="E389" s="13"/>
      <c r="F389" s="13"/>
      <c r="G389" s="13"/>
      <c r="K389" s="14"/>
    </row>
    <row r="390" spans="1:11" ht="31.2" hidden="1" x14ac:dyDescent="0.3">
      <c r="B390" s="26" t="s">
        <v>162</v>
      </c>
      <c r="C390" s="17"/>
      <c r="D390" s="13"/>
      <c r="E390" s="13"/>
      <c r="F390" s="13"/>
      <c r="G390" s="15"/>
    </row>
    <row r="391" spans="1:11" ht="31.2" hidden="1" x14ac:dyDescent="0.3">
      <c r="B391" s="26" t="s">
        <v>155</v>
      </c>
      <c r="C391" s="17"/>
      <c r="D391" s="13"/>
      <c r="E391" s="13"/>
      <c r="F391" s="13"/>
      <c r="G391" s="13"/>
    </row>
    <row r="392" spans="1:11" ht="31.2" hidden="1" x14ac:dyDescent="0.3">
      <c r="B392" s="19" t="s">
        <v>319</v>
      </c>
      <c r="C392" s="17"/>
      <c r="D392" s="13"/>
      <c r="E392" s="13"/>
      <c r="F392" s="13"/>
      <c r="G392" s="15"/>
      <c r="K392" s="14"/>
    </row>
    <row r="393" spans="1:11" ht="31.2" hidden="1" x14ac:dyDescent="0.3">
      <c r="B393" s="19" t="s">
        <v>6</v>
      </c>
      <c r="C393" s="17"/>
      <c r="D393" s="13"/>
      <c r="E393" s="13"/>
      <c r="F393" s="13"/>
      <c r="G393" s="13"/>
      <c r="K393" s="14"/>
    </row>
    <row r="394" spans="1:11" ht="31.2" hidden="1" x14ac:dyDescent="0.3">
      <c r="B394" s="26" t="s">
        <v>153</v>
      </c>
      <c r="C394" s="17"/>
      <c r="D394" s="13"/>
      <c r="E394" s="13"/>
      <c r="F394" s="13"/>
      <c r="G394" s="15"/>
      <c r="K394" s="14"/>
    </row>
    <row r="395" spans="1:11" ht="31.2" hidden="1" x14ac:dyDescent="0.3">
      <c r="B395" s="19" t="s">
        <v>317</v>
      </c>
      <c r="C395" s="17"/>
      <c r="D395" s="13"/>
      <c r="E395" s="13"/>
      <c r="F395" s="13"/>
      <c r="G395" s="13"/>
      <c r="K395" s="14"/>
    </row>
    <row r="396" spans="1:11" ht="31.2" hidden="1" x14ac:dyDescent="0.3">
      <c r="B396" s="19" t="s">
        <v>4</v>
      </c>
      <c r="C396" s="17"/>
      <c r="D396" s="13"/>
      <c r="E396" s="13"/>
      <c r="F396" s="13"/>
      <c r="G396" s="15"/>
      <c r="K396" s="14"/>
    </row>
    <row r="397" spans="1:11" ht="31.2" hidden="1" x14ac:dyDescent="0.3">
      <c r="B397" s="19" t="s">
        <v>2</v>
      </c>
      <c r="C397" s="17"/>
      <c r="D397" s="13"/>
      <c r="E397" s="13"/>
      <c r="F397" s="13"/>
      <c r="G397" s="13"/>
      <c r="K397" s="14"/>
    </row>
    <row r="398" spans="1:11" ht="31.2" hidden="1" x14ac:dyDescent="0.3">
      <c r="B398" s="18"/>
      <c r="C398" s="17"/>
      <c r="D398" s="13"/>
      <c r="E398" s="13"/>
      <c r="F398" s="13"/>
      <c r="G398" s="15"/>
      <c r="K398" s="14"/>
    </row>
    <row r="399" spans="1:11" ht="31.2" hidden="1" x14ac:dyDescent="0.3">
      <c r="B399" s="25" t="s">
        <v>409</v>
      </c>
      <c r="C399" s="24" t="s">
        <v>408</v>
      </c>
      <c r="D399" s="15"/>
      <c r="E399" s="15"/>
      <c r="F399" s="15"/>
      <c r="G399" s="13"/>
      <c r="K399" s="14"/>
    </row>
    <row r="400" spans="1:11" ht="31.2" hidden="1" x14ac:dyDescent="0.3">
      <c r="A400" s="23" t="s">
        <v>454</v>
      </c>
      <c r="B400" s="19" t="s">
        <v>110</v>
      </c>
      <c r="C400" s="17"/>
      <c r="D400" s="13"/>
      <c r="E400" s="13"/>
      <c r="F400" s="13"/>
      <c r="G400" s="15"/>
      <c r="K400" s="13"/>
    </row>
    <row r="401" spans="1:13" ht="31.2" hidden="1" x14ac:dyDescent="0.3">
      <c r="A401" s="9"/>
      <c r="B401" s="19" t="s">
        <v>89</v>
      </c>
      <c r="C401" s="17"/>
      <c r="D401" s="13"/>
      <c r="E401" s="13"/>
      <c r="F401" s="13"/>
      <c r="G401" s="15"/>
      <c r="K401" s="13"/>
    </row>
    <row r="402" spans="1:13" ht="31.2" hidden="1" x14ac:dyDescent="0.3">
      <c r="A402" s="9"/>
      <c r="B402" s="19" t="s">
        <v>108</v>
      </c>
      <c r="C402" s="17"/>
      <c r="D402" s="13"/>
      <c r="E402" s="13"/>
      <c r="F402" s="13"/>
      <c r="G402" s="15"/>
      <c r="K402" s="13"/>
    </row>
    <row r="403" spans="1:13" ht="31.2" hidden="1" x14ac:dyDescent="0.3">
      <c r="A403" s="9"/>
      <c r="B403" s="19" t="s">
        <v>87</v>
      </c>
      <c r="C403" s="17"/>
      <c r="D403" s="13"/>
      <c r="E403" s="13"/>
      <c r="F403" s="13"/>
      <c r="G403" s="15"/>
      <c r="K403" s="13"/>
    </row>
    <row r="404" spans="1:13" ht="31.2" hidden="1" x14ac:dyDescent="0.3">
      <c r="A404" s="9"/>
      <c r="B404" s="19" t="s">
        <v>85</v>
      </c>
      <c r="C404" s="17"/>
      <c r="D404" s="13"/>
      <c r="E404" s="13"/>
      <c r="F404" s="13"/>
      <c r="G404" s="15"/>
      <c r="K404" s="13"/>
    </row>
    <row r="405" spans="1:13" ht="31.2" hidden="1" x14ac:dyDescent="0.3">
      <c r="A405" s="9"/>
      <c r="B405" s="19" t="s">
        <v>106</v>
      </c>
      <c r="C405" s="17"/>
      <c r="D405" s="13"/>
      <c r="E405" s="13"/>
      <c r="F405" s="13"/>
      <c r="G405" s="15"/>
      <c r="K405" s="13"/>
    </row>
    <row r="406" spans="1:13" ht="31.2" hidden="1" x14ac:dyDescent="0.3">
      <c r="A406" s="9"/>
      <c r="B406" s="19" t="s">
        <v>104</v>
      </c>
      <c r="C406" s="17"/>
      <c r="D406" s="13"/>
      <c r="E406" s="13"/>
      <c r="F406" s="13"/>
      <c r="G406" s="15"/>
      <c r="K406" s="13"/>
    </row>
    <row r="407" spans="1:13" ht="31.2" hidden="1" x14ac:dyDescent="0.3">
      <c r="A407" s="9"/>
      <c r="B407" s="19" t="s">
        <v>83</v>
      </c>
      <c r="C407" s="17"/>
      <c r="D407" s="13"/>
      <c r="E407" s="13"/>
      <c r="F407" s="13"/>
      <c r="G407" s="15"/>
      <c r="K407" s="13"/>
    </row>
    <row r="408" spans="1:13" ht="31.2" hidden="1" x14ac:dyDescent="0.3">
      <c r="A408" s="9"/>
      <c r="B408" s="19" t="s">
        <v>102</v>
      </c>
      <c r="C408" s="17"/>
      <c r="D408" s="13"/>
      <c r="E408" s="13"/>
      <c r="F408" s="13"/>
      <c r="G408" s="15"/>
      <c r="K408" s="13"/>
    </row>
    <row r="409" spans="1:13" ht="31.2" hidden="1" x14ac:dyDescent="0.3">
      <c r="A409" s="9"/>
      <c r="B409" s="19" t="s">
        <v>100</v>
      </c>
      <c r="C409" s="17"/>
      <c r="D409" s="13"/>
      <c r="E409" s="13"/>
      <c r="F409" s="13"/>
      <c r="G409" s="15"/>
      <c r="K409" s="13"/>
    </row>
    <row r="410" spans="1:13" ht="31.2" hidden="1" x14ac:dyDescent="0.3">
      <c r="A410" s="9"/>
      <c r="B410" s="19" t="s">
        <v>81</v>
      </c>
      <c r="C410" s="17"/>
      <c r="D410" s="13"/>
      <c r="E410" s="13"/>
      <c r="F410" s="13"/>
      <c r="G410" s="15"/>
      <c r="K410" s="13"/>
    </row>
    <row r="411" spans="1:13" ht="31.2" hidden="1" x14ac:dyDescent="0.3">
      <c r="A411" s="9"/>
      <c r="B411" s="19" t="s">
        <v>79</v>
      </c>
      <c r="C411" s="17"/>
      <c r="D411" s="13"/>
      <c r="E411" s="13"/>
      <c r="F411" s="13"/>
      <c r="G411" s="15"/>
      <c r="K411" s="13"/>
    </row>
    <row r="412" spans="1:13" ht="31.2" hidden="1" x14ac:dyDescent="0.3">
      <c r="B412" s="19" t="s">
        <v>98</v>
      </c>
      <c r="C412" s="17"/>
      <c r="D412" s="13"/>
      <c r="E412" s="13"/>
      <c r="F412" s="13"/>
      <c r="G412" s="13"/>
      <c r="K412" s="14"/>
    </row>
    <row r="413" spans="1:13" ht="31.2" hidden="1" x14ac:dyDescent="0.3">
      <c r="B413" s="19" t="s">
        <v>96</v>
      </c>
      <c r="C413" s="17"/>
      <c r="D413" s="13"/>
      <c r="E413" s="13"/>
      <c r="F413" s="13"/>
      <c r="G413" s="15"/>
      <c r="K413" s="14"/>
    </row>
    <row r="414" spans="1:13" ht="31.2" hidden="1" x14ac:dyDescent="0.3">
      <c r="B414" s="19" t="s">
        <v>94</v>
      </c>
      <c r="C414" s="17"/>
      <c r="D414" s="13"/>
      <c r="E414" s="13"/>
      <c r="F414" s="13"/>
      <c r="K414" s="14"/>
    </row>
    <row r="415" spans="1:13" ht="31.2" hidden="1" x14ac:dyDescent="0.3">
      <c r="B415" s="19" t="s">
        <v>77</v>
      </c>
      <c r="C415" s="17"/>
      <c r="D415" s="13"/>
      <c r="E415" s="13"/>
      <c r="F415" s="13"/>
      <c r="K415" s="14"/>
    </row>
    <row r="416" spans="1:13" ht="31.2" hidden="1" x14ac:dyDescent="0.3">
      <c r="B416" s="19" t="s">
        <v>92</v>
      </c>
      <c r="C416" s="17"/>
      <c r="D416" s="13"/>
      <c r="E416" s="13"/>
      <c r="F416" s="13"/>
      <c r="G416" s="15"/>
      <c r="K416" s="13"/>
      <c r="M416" s="13"/>
    </row>
    <row r="417" spans="1:13" ht="31.2" hidden="1" x14ac:dyDescent="0.3">
      <c r="B417" s="19" t="s">
        <v>75</v>
      </c>
      <c r="C417" s="17"/>
      <c r="D417" s="13"/>
      <c r="E417" s="13"/>
      <c r="F417" s="13"/>
      <c r="G417" s="15"/>
      <c r="K417" s="14"/>
      <c r="M417" s="13"/>
    </row>
    <row r="418" spans="1:13" ht="31.2" hidden="1" x14ac:dyDescent="0.3">
      <c r="B418" s="19" t="s">
        <v>73</v>
      </c>
      <c r="C418" s="17"/>
      <c r="D418" s="13"/>
      <c r="E418" s="13"/>
      <c r="F418" s="13"/>
      <c r="G418" s="15"/>
      <c r="K418" s="14"/>
    </row>
    <row r="419" spans="1:13" ht="31.2" hidden="1" x14ac:dyDescent="0.3">
      <c r="B419" s="19" t="s">
        <v>71</v>
      </c>
      <c r="C419" s="17"/>
      <c r="D419" s="13"/>
      <c r="E419" s="13"/>
      <c r="F419" s="13"/>
      <c r="G419" s="15"/>
      <c r="K419" s="14"/>
    </row>
    <row r="420" spans="1:13" ht="31.2" hidden="1" x14ac:dyDescent="0.3">
      <c r="B420" s="18"/>
      <c r="C420" s="17"/>
      <c r="D420" s="13"/>
      <c r="E420" s="13"/>
      <c r="F420" s="13"/>
      <c r="G420" s="15"/>
      <c r="K420" s="14"/>
    </row>
    <row r="421" spans="1:13" ht="31.2" hidden="1" x14ac:dyDescent="0.3">
      <c r="A421" s="22" t="s">
        <v>306</v>
      </c>
      <c r="B421" s="21" t="s">
        <v>409</v>
      </c>
      <c r="C421" s="20" t="s">
        <v>408</v>
      </c>
      <c r="D421" s="13"/>
      <c r="E421" s="13"/>
      <c r="F421" s="13"/>
      <c r="G421" s="15"/>
      <c r="K421" s="14"/>
    </row>
    <row r="422" spans="1:13" ht="31.2" hidden="1" x14ac:dyDescent="0.3">
      <c r="B422" s="19" t="s">
        <v>314</v>
      </c>
      <c r="C422" s="17"/>
      <c r="D422" s="13"/>
      <c r="E422" s="13"/>
      <c r="F422" s="13"/>
      <c r="G422" s="15"/>
      <c r="K422" s="14"/>
    </row>
    <row r="423" spans="1:13" ht="31.2" hidden="1" x14ac:dyDescent="0.3">
      <c r="B423" s="18" t="s">
        <v>312</v>
      </c>
      <c r="C423" s="17"/>
      <c r="D423" s="13"/>
      <c r="E423" s="13"/>
      <c r="F423" s="13"/>
      <c r="G423" s="15"/>
      <c r="K423" s="14"/>
    </row>
    <row r="424" spans="1:13" ht="31.2" hidden="1" x14ac:dyDescent="0.3">
      <c r="B424" s="18" t="s">
        <v>310</v>
      </c>
      <c r="C424" s="17"/>
      <c r="D424" s="13"/>
      <c r="E424" s="13"/>
      <c r="F424" s="13"/>
      <c r="G424" s="15"/>
      <c r="K424" s="14"/>
    </row>
    <row r="425" spans="1:13" ht="31.2" hidden="1" x14ac:dyDescent="0.3">
      <c r="B425" s="18" t="s">
        <v>308</v>
      </c>
      <c r="C425" s="17"/>
      <c r="D425" s="13"/>
      <c r="E425" s="13"/>
      <c r="F425" s="13"/>
      <c r="G425" s="15"/>
      <c r="K425" s="14"/>
    </row>
    <row r="426" spans="1:13" ht="31.2" hidden="1" x14ac:dyDescent="0.3">
      <c r="B426" s="16"/>
      <c r="C426" s="13"/>
      <c r="D426" s="13"/>
      <c r="E426" s="13"/>
      <c r="F426" s="13"/>
      <c r="G426" s="15"/>
      <c r="K426" s="14"/>
    </row>
    <row r="427" spans="1:13" ht="31.2" hidden="1" x14ac:dyDescent="0.3"/>
    <row r="428" spans="1:13" ht="31.2" hidden="1" x14ac:dyDescent="0.3">
      <c r="B428" t="s">
        <v>407</v>
      </c>
      <c r="C428" t="s">
        <v>453</v>
      </c>
      <c r="D428" t="s">
        <v>452</v>
      </c>
      <c r="E428" t="s">
        <v>451</v>
      </c>
    </row>
    <row r="429" spans="1:13" ht="31.2" hidden="1" x14ac:dyDescent="0.3">
      <c r="B429" t="s">
        <v>450</v>
      </c>
      <c r="C429" s="13" t="s">
        <v>449</v>
      </c>
      <c r="D429" s="13" t="str">
        <f>CONCATENATE(Table_Name54104154[[#This Row],[Table name]],"[Exercise]")</f>
        <v>Back_M6[Exercise]</v>
      </c>
      <c r="E429" s="13" t="str">
        <f>CONCATENATE(Table_Name54104154[[#This Row],[Table name]],"[Link]")</f>
        <v>Back_M6[Link]</v>
      </c>
    </row>
    <row r="430" spans="1:13" ht="31.2" hidden="1" x14ac:dyDescent="0.3">
      <c r="B430" t="s">
        <v>349</v>
      </c>
      <c r="C430" s="13" t="s">
        <v>448</v>
      </c>
      <c r="D430" s="13" t="str">
        <f>CONCATENATE(Table_Name54104154[[#This Row],[Table name]],"[Exercise]")</f>
        <v>Biceps_M6[Exercise]</v>
      </c>
      <c r="E430" s="13" t="str">
        <f>CONCATENATE(Table_Name54104154[[#This Row],[Table name]],"[Link]")</f>
        <v>Biceps_M6[Link]</v>
      </c>
    </row>
    <row r="431" spans="1:13" ht="31.2" hidden="1" x14ac:dyDescent="0.3">
      <c r="B431" t="s">
        <v>338</v>
      </c>
      <c r="C431" s="13" t="s">
        <v>447</v>
      </c>
      <c r="D431" s="13" t="str">
        <f>CONCATENATE(Table_Name54104154[[#This Row],[Table name]],"[Exercise]")</f>
        <v>Calves_M6[Exercise]</v>
      </c>
      <c r="E431" s="13" t="str">
        <f>CONCATENATE(Table_Name54104154[[#This Row],[Table name]],"[Link]")</f>
        <v>Calves_M6[Link]</v>
      </c>
    </row>
    <row r="432" spans="1:13" ht="31.2" hidden="1" x14ac:dyDescent="0.3">
      <c r="B432" t="s">
        <v>446</v>
      </c>
      <c r="C432" s="13" t="s">
        <v>445</v>
      </c>
      <c r="D432" s="13" t="str">
        <f>CONCATENATE(Table_Name54104154[[#This Row],[Table name]],"[Exercise]")</f>
        <v>Chest_Compound_M6[Exercise]</v>
      </c>
      <c r="E432" s="13" t="str">
        <f>CONCATENATE(Table_Name54104154[[#This Row],[Table name]],"[Link]")</f>
        <v>Chest_Compound_M6[Link]</v>
      </c>
    </row>
    <row r="433" spans="2:5" ht="31.2" hidden="1" x14ac:dyDescent="0.3">
      <c r="B433" t="s">
        <v>444</v>
      </c>
      <c r="C433" s="13" t="s">
        <v>443</v>
      </c>
      <c r="D433" s="13" t="str">
        <f>CONCATENATE(Table_Name54104154[[#This Row],[Table name]],"[Exercise]")</f>
        <v>Chest_Isolation_or_Triceps_M6[Exercise]</v>
      </c>
      <c r="E433" s="13" t="str">
        <f>CONCATENATE(Table_Name54104154[[#This Row],[Table name]],"[Link]")</f>
        <v>Chest_Isolation_or_Triceps_M6[Link]</v>
      </c>
    </row>
    <row r="434" spans="2:5" ht="31.2" hidden="1" x14ac:dyDescent="0.3">
      <c r="B434" t="s">
        <v>442</v>
      </c>
      <c r="C434" s="13" t="s">
        <v>441</v>
      </c>
      <c r="D434" s="13" t="str">
        <f>CONCATENATE(Table_Name54104154[[#This Row],[Table name]],"[Exercise]")</f>
        <v>Chest_Isolation_M6[Exercise]</v>
      </c>
      <c r="E434" s="13" t="str">
        <f>CONCATENATE(Table_Name54104154[[#This Row],[Table name]],"[Link]")</f>
        <v>Chest_Isolation_M6[Link]</v>
      </c>
    </row>
    <row r="435" spans="2:5" ht="31.2" hidden="1" x14ac:dyDescent="0.3">
      <c r="B435" t="s">
        <v>440</v>
      </c>
      <c r="C435" s="13" t="s">
        <v>439</v>
      </c>
      <c r="D435" s="13" t="str">
        <f>CONCATENATE(Table_Name54104154[[#This Row],[Table name]],"[Exercise]")</f>
        <v>Abs_M6[Exercise]</v>
      </c>
      <c r="E435" s="13" t="str">
        <f>CONCATENATE(Table_Name54104154[[#This Row],[Table name]],"[Link]")</f>
        <v>Abs_M6[Link]</v>
      </c>
    </row>
    <row r="436" spans="2:5" ht="31.2" hidden="1" x14ac:dyDescent="0.3">
      <c r="B436" t="s">
        <v>438</v>
      </c>
      <c r="C436" s="13" t="s">
        <v>437</v>
      </c>
      <c r="D436" s="13" t="str">
        <f>CONCATENATE(Table_Name54104154[[#This Row],[Table name]],"[Exercise]")</f>
        <v>Forearms_M6[Exercise]</v>
      </c>
      <c r="E436" s="13" t="str">
        <f>CONCATENATE(Table_Name54104154[[#This Row],[Table name]],"[Link]")</f>
        <v>Forearms_M6[Link]</v>
      </c>
    </row>
    <row r="437" spans="2:5" ht="31.2" hidden="1" x14ac:dyDescent="0.3">
      <c r="B437" t="s">
        <v>436</v>
      </c>
      <c r="C437" s="13" t="s">
        <v>435</v>
      </c>
      <c r="D437" s="13" t="str">
        <f>CONCATENATE(Table_Name54104154[[#This Row],[Table name]],"[Exercise]")</f>
        <v>Traps_M6[Exercise]</v>
      </c>
      <c r="E437" s="13" t="str">
        <f>CONCATENATE(Table_Name54104154[[#This Row],[Table name]],"[Link]")</f>
        <v>Traps_M6[Link]</v>
      </c>
    </row>
    <row r="438" spans="2:5" ht="31.2" hidden="1" x14ac:dyDescent="0.3">
      <c r="B438" t="s">
        <v>283</v>
      </c>
      <c r="C438" s="13" t="s">
        <v>434</v>
      </c>
      <c r="D438" s="13" t="str">
        <f>CONCATENATE(Table_Name54104154[[#This Row],[Table name]],"[Exercise]")</f>
        <v>Front_Delts_M6[Exercise]</v>
      </c>
      <c r="E438" s="13" t="str">
        <f>CONCATENATE(Table_Name54104154[[#This Row],[Table name]],"[Link]")</f>
        <v>Front_Delts_M6[Link]</v>
      </c>
    </row>
    <row r="439" spans="2:5" ht="31.2" hidden="1" x14ac:dyDescent="0.3">
      <c r="B439" t="s">
        <v>433</v>
      </c>
      <c r="C439" s="13" t="s">
        <v>432</v>
      </c>
      <c r="D439" s="13" t="str">
        <f>CONCATENATE(Table_Name54104154[[#This Row],[Table name]],"[Exercise]")</f>
        <v>Glute_Iso_M6[Exercise]</v>
      </c>
      <c r="E439" s="13" t="str">
        <f>CONCATENATE(Table_Name54104154[[#This Row],[Table name]],"[Link]")</f>
        <v>Glute_Iso_M6[Link]</v>
      </c>
    </row>
    <row r="440" spans="2:5" ht="31.2" hidden="1" x14ac:dyDescent="0.3">
      <c r="B440" t="s">
        <v>254</v>
      </c>
      <c r="C440" s="13" t="s">
        <v>431</v>
      </c>
      <c r="D440" s="13" t="str">
        <f>CONCATENATE(Table_Name54104154[[#This Row],[Table name]],"[Exercise]")</f>
        <v>Glutes_M6[Exercise]</v>
      </c>
      <c r="E440" s="13" t="str">
        <f>CONCATENATE(Table_Name54104154[[#This Row],[Table name]],"[Link]")</f>
        <v>Glutes_M6[Link]</v>
      </c>
    </row>
    <row r="441" spans="2:5" ht="31.2" hidden="1" x14ac:dyDescent="0.3">
      <c r="B441" t="s">
        <v>430</v>
      </c>
      <c r="C441" s="13" t="s">
        <v>429</v>
      </c>
      <c r="D441" s="13" t="str">
        <f>CONCATENATE(Table_Name54104154[[#This Row],[Table name]],"[Exercise]")</f>
        <v>Hamstrings_M6[Exercise]</v>
      </c>
      <c r="E441" s="13" t="str">
        <f>CONCATENATE(Table_Name54104154[[#This Row],[Table name]],"[Link]")</f>
        <v>Hamstrings_M6[Link]</v>
      </c>
    </row>
    <row r="442" spans="2:5" ht="31.2" hidden="1" x14ac:dyDescent="0.3">
      <c r="B442" t="s">
        <v>241</v>
      </c>
      <c r="C442" s="13" t="s">
        <v>428</v>
      </c>
      <c r="D442" s="13" t="str">
        <f>CONCATENATE(Table_Name54104154[[#This Row],[Table name]],"[Exercise]")</f>
        <v>Hamstrings_Hip_Hinge_M6[Exercise]</v>
      </c>
      <c r="E442" s="13" t="str">
        <f>CONCATENATE(Table_Name54104154[[#This Row],[Table name]],"[Link]")</f>
        <v>Hamstrings_Hip_Hinge_M6[Link]</v>
      </c>
    </row>
    <row r="443" spans="2:5" ht="31.2" hidden="1" x14ac:dyDescent="0.3">
      <c r="B443" t="s">
        <v>234</v>
      </c>
      <c r="C443" s="13" t="s">
        <v>427</v>
      </c>
      <c r="D443" s="13" t="str">
        <f>CONCATENATE(Table_Name54104154[[#This Row],[Table name]],"[Exercise]")</f>
        <v>Hamstrings_Isolation_M6[Exercise]</v>
      </c>
      <c r="E443" s="13" t="str">
        <f>CONCATENATE(Table_Name54104154[[#This Row],[Table name]],"[Link]")</f>
        <v>Hamstrings_Isolation_M6[Link]</v>
      </c>
    </row>
    <row r="444" spans="2:5" ht="31.2" hidden="1" x14ac:dyDescent="0.3">
      <c r="B444" t="s">
        <v>200</v>
      </c>
      <c r="C444" s="13" t="s">
        <v>426</v>
      </c>
      <c r="D444" s="13" t="str">
        <f>CONCATENATE(Table_Name54104154[[#This Row],[Table name]],"[Exercise]")</f>
        <v>Horizonal_Back_M6[Exercise]</v>
      </c>
      <c r="E444" s="13" t="str">
        <f>CONCATENATE(Table_Name54104154[[#This Row],[Table name]],"[Link]")</f>
        <v>Horizonal_Back_M6[Link]</v>
      </c>
    </row>
    <row r="445" spans="2:5" ht="31.2" hidden="1" x14ac:dyDescent="0.3">
      <c r="B445" t="s">
        <v>173</v>
      </c>
      <c r="C445" s="13" t="s">
        <v>425</v>
      </c>
      <c r="D445" s="13" t="str">
        <f>CONCATENATE(Table_Name54104154[[#This Row],[Table name]],"[Exercise]")</f>
        <v>Horizontal_Push_M6[Exercise]</v>
      </c>
      <c r="E445" s="13" t="str">
        <f>CONCATENATE(Table_Name54104154[[#This Row],[Table name]],"[Link]")</f>
        <v>Horizontal_Push_M6[Link]</v>
      </c>
    </row>
    <row r="446" spans="2:5" ht="31.2" hidden="1" x14ac:dyDescent="0.3">
      <c r="B446" t="s">
        <v>160</v>
      </c>
      <c r="C446" s="13" t="s">
        <v>424</v>
      </c>
      <c r="D446" s="13" t="str">
        <f>CONCATENATE(Table_Name54104154[[#This Row],[Table name]],"[Exercise]")</f>
        <v>Horizontal_Triceps_M6[Exercise]</v>
      </c>
      <c r="E446" s="13" t="str">
        <f>CONCATENATE(Table_Name54104154[[#This Row],[Table name]],"[Link]")</f>
        <v>Horizontal_Triceps_M6[Link]</v>
      </c>
    </row>
    <row r="447" spans="2:5" ht="31.2" hidden="1" x14ac:dyDescent="0.3">
      <c r="B447" t="s">
        <v>134</v>
      </c>
      <c r="C447" s="13" t="s">
        <v>423</v>
      </c>
      <c r="D447" s="13" t="str">
        <f>CONCATENATE(Table_Name54104154[[#This Row],[Table name]],"[Exercise]")</f>
        <v>Incline_Push_M6[Exercise]</v>
      </c>
      <c r="E447" s="13" t="str">
        <f>CONCATENATE(Table_Name54104154[[#This Row],[Table name]],"[Link]")</f>
        <v>Incline_Push_M6[Link]</v>
      </c>
    </row>
    <row r="448" spans="2:5" ht="31.2" hidden="1" x14ac:dyDescent="0.3">
      <c r="B448" t="s">
        <v>422</v>
      </c>
      <c r="C448" s="13" t="s">
        <v>421</v>
      </c>
      <c r="D448" s="13" t="str">
        <f>CONCATENATE(Table_Name54104154[[#This Row],[Table name]],"[Exercise]")</f>
        <v>Incline_Push_or_Front_Delts_M6[Exercise]</v>
      </c>
      <c r="E448" s="13" t="str">
        <f>CONCATENATE(Table_Name54104154[[#This Row],[Table name]],"[Link]")</f>
        <v>Incline_Push_or_Front_Delts_M6[Link]</v>
      </c>
    </row>
    <row r="449" spans="2:5" ht="31.2" hidden="1" x14ac:dyDescent="0.3">
      <c r="B449" t="s">
        <v>111</v>
      </c>
      <c r="C449" s="13" t="s">
        <v>420</v>
      </c>
      <c r="D449" s="13" t="str">
        <f>CONCATENATE(Table_Name54104154[[#This Row],[Table name]],"[Exercise]")</f>
        <v>Quads_M6[Exercise]</v>
      </c>
      <c r="E449" s="13" t="str">
        <f>CONCATENATE(Table_Name54104154[[#This Row],[Table name]],"[Link]")</f>
        <v>Quads_M6[Link]</v>
      </c>
    </row>
    <row r="450" spans="2:5" ht="31.2" hidden="1" x14ac:dyDescent="0.3">
      <c r="B450" t="s">
        <v>90</v>
      </c>
      <c r="C450" s="13" t="s">
        <v>419</v>
      </c>
      <c r="D450" s="13" t="str">
        <f>CONCATENATE(Table_Name54104154[[#This Row],[Table name]],"[Exercise]")</f>
        <v>Rear_Delts_M6[Exercise]</v>
      </c>
      <c r="E450" s="13" t="str">
        <f>CONCATENATE(Table_Name54104154[[#This Row],[Table name]],"[Link]")</f>
        <v>Rear_Delts_M6[Link]</v>
      </c>
    </row>
    <row r="451" spans="2:5" ht="31.2" hidden="1" x14ac:dyDescent="0.3">
      <c r="B451" t="s">
        <v>418</v>
      </c>
      <c r="C451" s="13" t="s">
        <v>417</v>
      </c>
      <c r="D451" s="13" t="str">
        <f>CONCATENATE(Table_Name54104154[[#This Row],[Table name]],"[Exercise]")</f>
        <v>Rear_or_Side_Delts_M6[Exercise]</v>
      </c>
      <c r="E451" s="13" t="str">
        <f>CONCATENATE(Table_Name54104154[[#This Row],[Table name]],"[Link]")</f>
        <v>Rear_or_Side_Delts_M6[Link]</v>
      </c>
    </row>
    <row r="452" spans="2:5" ht="31.2" hidden="1" x14ac:dyDescent="0.3">
      <c r="B452" t="s">
        <v>416</v>
      </c>
      <c r="C452" s="13" t="s">
        <v>415</v>
      </c>
      <c r="D452" s="13" t="str">
        <f>CONCATENATE(Table_Name54104154[[#This Row],[Table name]],"[Exercise]")</f>
        <v>Shoulders_M6[Exercise]</v>
      </c>
      <c r="E452" s="13" t="str">
        <f>CONCATENATE(Table_Name54104154[[#This Row],[Table name]],"[Link]")</f>
        <v>Shoulders_M6[Link]</v>
      </c>
    </row>
    <row r="453" spans="2:5" ht="31.2" hidden="1" x14ac:dyDescent="0.3">
      <c r="B453" t="s">
        <v>69</v>
      </c>
      <c r="C453" s="13" t="s">
        <v>414</v>
      </c>
      <c r="D453" s="13" t="str">
        <f>CONCATENATE(Table_Name54104154[[#This Row],[Table name]],"[Exercise]")</f>
        <v>Side_Delts_M6[Exercise]</v>
      </c>
      <c r="E453" s="13" t="str">
        <f>CONCATENATE(Table_Name54104154[[#This Row],[Table name]],"[Link]")</f>
        <v>Side_Delts_M6[Link]</v>
      </c>
    </row>
    <row r="454" spans="2:5" ht="31.2" hidden="1" x14ac:dyDescent="0.3">
      <c r="B454" t="s">
        <v>413</v>
      </c>
      <c r="C454" s="13" t="s">
        <v>412</v>
      </c>
      <c r="D454" s="13" t="str">
        <f>CONCATENATE(Table_Name54104154[[#This Row],[Table name]],"[Exercise]")</f>
        <v>Triceps_M6[Exercise]</v>
      </c>
      <c r="E454" s="13" t="str">
        <f>CONCATENATE(Table_Name54104154[[#This Row],[Table name]],"[Link]")</f>
        <v>Triceps_M6[Link]</v>
      </c>
    </row>
    <row r="455" spans="2:5" ht="31.2" hidden="1" x14ac:dyDescent="0.3">
      <c r="B455" t="s">
        <v>15</v>
      </c>
      <c r="C455" s="13" t="s">
        <v>411</v>
      </c>
      <c r="D455" s="13" t="str">
        <f>CONCATENATE(Table_Name54104154[[#This Row],[Table name]],"[Exercise]")</f>
        <v>Vertical_Back_M6[Exercise]</v>
      </c>
      <c r="E455" s="13" t="str">
        <f>CONCATENATE(Table_Name54104154[[#This Row],[Table name]],"[Link]")</f>
        <v>Vertical_Back_M6[Link]</v>
      </c>
    </row>
    <row r="456" spans="2:5" ht="31.2" hidden="1" x14ac:dyDescent="0.3">
      <c r="B456" t="s">
        <v>0</v>
      </c>
      <c r="C456" s="13" t="s">
        <v>410</v>
      </c>
      <c r="D456" s="13" t="str">
        <f>CONCATENATE(Table_Name54104154[[#This Row],[Table name]],"[Exercise]")</f>
        <v>Vertical_Triceps_M6[Exercise]</v>
      </c>
      <c r="E456" s="13" t="str">
        <f>CONCATENATE(Table_Name54104154[[#This Row],[Table name]],"[Link]")</f>
        <v>Vertical_Triceps_M6[Link]</v>
      </c>
    </row>
    <row r="457" spans="2:5" ht="31.2" hidden="1" x14ac:dyDescent="0.3"/>
    <row r="458" spans="2:5" ht="31.2" hidden="1" x14ac:dyDescent="0.3">
      <c r="B458" s="11" t="s">
        <v>409</v>
      </c>
      <c r="C458" s="12" t="s">
        <v>408</v>
      </c>
      <c r="D458" s="11" t="s">
        <v>407</v>
      </c>
      <c r="E458" s="10"/>
    </row>
    <row r="459" spans="2:5" ht="31.2" hidden="1" x14ac:dyDescent="0.3">
      <c r="B459" s="6" t="s">
        <v>406</v>
      </c>
      <c r="C459" s="5" t="s">
        <v>405</v>
      </c>
      <c r="D459" s="5" t="s">
        <v>390</v>
      </c>
    </row>
    <row r="460" spans="2:5" ht="31.2" hidden="1" x14ac:dyDescent="0.3">
      <c r="B460" s="6" t="s">
        <v>404</v>
      </c>
      <c r="C460" s="5" t="s">
        <v>403</v>
      </c>
      <c r="D460" s="5" t="s">
        <v>390</v>
      </c>
    </row>
    <row r="461" spans="2:5" ht="31.2" hidden="1" x14ac:dyDescent="0.3">
      <c r="B461" s="6" t="s">
        <v>402</v>
      </c>
      <c r="C461" s="5" t="s">
        <v>401</v>
      </c>
      <c r="D461" s="5" t="s">
        <v>390</v>
      </c>
    </row>
    <row r="462" spans="2:5" ht="31.2" hidden="1" x14ac:dyDescent="0.3">
      <c r="B462" s="6" t="s">
        <v>400</v>
      </c>
      <c r="C462" s="5" t="s">
        <v>399</v>
      </c>
      <c r="D462" s="5" t="s">
        <v>390</v>
      </c>
    </row>
    <row r="463" spans="2:5" ht="31.2" hidden="1" x14ac:dyDescent="0.3">
      <c r="B463" s="7" t="s">
        <v>398</v>
      </c>
      <c r="C463" s="5" t="s">
        <v>397</v>
      </c>
      <c r="D463" s="5" t="s">
        <v>390</v>
      </c>
    </row>
    <row r="464" spans="2:5" ht="31.2" hidden="1" x14ac:dyDescent="0.3">
      <c r="B464" s="6" t="s">
        <v>396</v>
      </c>
      <c r="C464" s="5" t="s">
        <v>395</v>
      </c>
      <c r="D464" s="5" t="s">
        <v>390</v>
      </c>
    </row>
    <row r="465" spans="2:4" ht="31.2" hidden="1" x14ac:dyDescent="0.3">
      <c r="B465" s="6" t="s">
        <v>394</v>
      </c>
      <c r="C465" s="5" t="s">
        <v>393</v>
      </c>
      <c r="D465" s="5" t="s">
        <v>390</v>
      </c>
    </row>
    <row r="466" spans="2:4" ht="31.2" hidden="1" x14ac:dyDescent="0.3">
      <c r="B466" s="6" t="s">
        <v>392</v>
      </c>
      <c r="C466" s="5" t="s">
        <v>391</v>
      </c>
      <c r="D466" s="5" t="s">
        <v>390</v>
      </c>
    </row>
    <row r="467" spans="2:4" ht="31.2" hidden="1" x14ac:dyDescent="0.3">
      <c r="B467" s="6" t="s">
        <v>389</v>
      </c>
      <c r="C467" t="s">
        <v>388</v>
      </c>
      <c r="D467" s="5" t="s">
        <v>349</v>
      </c>
    </row>
    <row r="468" spans="2:4" ht="31.2" hidden="1" x14ac:dyDescent="0.3">
      <c r="B468" s="6" t="s">
        <v>387</v>
      </c>
      <c r="C468" s="5" t="s">
        <v>386</v>
      </c>
      <c r="D468" s="5" t="s">
        <v>349</v>
      </c>
    </row>
    <row r="469" spans="2:4" ht="31.2" hidden="1" x14ac:dyDescent="0.3">
      <c r="B469" s="6" t="s">
        <v>385</v>
      </c>
      <c r="C469" s="5" t="s">
        <v>384</v>
      </c>
      <c r="D469" s="5" t="s">
        <v>349</v>
      </c>
    </row>
    <row r="470" spans="2:4" ht="31.2" hidden="1" x14ac:dyDescent="0.3">
      <c r="B470" s="6" t="s">
        <v>383</v>
      </c>
      <c r="C470" s="5" t="s">
        <v>382</v>
      </c>
      <c r="D470" s="5" t="s">
        <v>349</v>
      </c>
    </row>
    <row r="471" spans="2:4" ht="31.2" hidden="1" x14ac:dyDescent="0.3">
      <c r="B471" s="6" t="s">
        <v>381</v>
      </c>
      <c r="C471" t="s">
        <v>380</v>
      </c>
      <c r="D471" s="5" t="s">
        <v>349</v>
      </c>
    </row>
    <row r="472" spans="2:4" ht="31.2" hidden="1" x14ac:dyDescent="0.3">
      <c r="B472" s="6" t="s">
        <v>379</v>
      </c>
      <c r="C472" s="5" t="s">
        <v>378</v>
      </c>
      <c r="D472" s="5" t="s">
        <v>349</v>
      </c>
    </row>
    <row r="473" spans="2:4" ht="31.2" hidden="1" x14ac:dyDescent="0.3">
      <c r="B473" s="6" t="s">
        <v>377</v>
      </c>
      <c r="C473" s="5" t="s">
        <v>376</v>
      </c>
      <c r="D473" s="5" t="s">
        <v>349</v>
      </c>
    </row>
    <row r="474" spans="2:4" ht="31.2" hidden="1" x14ac:dyDescent="0.3">
      <c r="B474" s="6" t="s">
        <v>375</v>
      </c>
      <c r="C474" t="s">
        <v>374</v>
      </c>
      <c r="D474" s="5" t="s">
        <v>349</v>
      </c>
    </row>
    <row r="475" spans="2:4" ht="14.7" hidden="1" customHeight="1" x14ac:dyDescent="0.3">
      <c r="B475" s="6" t="s">
        <v>373</v>
      </c>
      <c r="C475" t="s">
        <v>372</v>
      </c>
      <c r="D475" s="5" t="s">
        <v>349</v>
      </c>
    </row>
    <row r="476" spans="2:4" ht="31.2" hidden="1" x14ac:dyDescent="0.3">
      <c r="B476" s="6" t="s">
        <v>371</v>
      </c>
      <c r="C476" s="5" t="s">
        <v>370</v>
      </c>
      <c r="D476" s="5" t="s">
        <v>349</v>
      </c>
    </row>
    <row r="477" spans="2:4" ht="31.2" hidden="1" x14ac:dyDescent="0.3">
      <c r="B477" s="7" t="s">
        <v>369</v>
      </c>
      <c r="C477" s="5" t="s">
        <v>368</v>
      </c>
      <c r="D477" s="5" t="s">
        <v>349</v>
      </c>
    </row>
    <row r="478" spans="2:4" ht="31.2" hidden="1" x14ac:dyDescent="0.3">
      <c r="B478" s="6" t="s">
        <v>367</v>
      </c>
      <c r="C478" s="5" t="s">
        <v>366</v>
      </c>
      <c r="D478" s="5" t="s">
        <v>349</v>
      </c>
    </row>
    <row r="479" spans="2:4" ht="31.2" hidden="1" x14ac:dyDescent="0.3">
      <c r="B479" s="6" t="s">
        <v>365</v>
      </c>
      <c r="C479" s="5" t="s">
        <v>364</v>
      </c>
      <c r="D479" s="5" t="s">
        <v>349</v>
      </c>
    </row>
    <row r="480" spans="2:4" ht="31.2" hidden="1" x14ac:dyDescent="0.3">
      <c r="B480" s="6" t="s">
        <v>363</v>
      </c>
      <c r="C480" s="5" t="s">
        <v>362</v>
      </c>
      <c r="D480" s="5" t="s">
        <v>349</v>
      </c>
    </row>
    <row r="481" spans="2:4" ht="31.2" hidden="1" x14ac:dyDescent="0.3">
      <c r="B481" s="6" t="s">
        <v>361</v>
      </c>
      <c r="C481" s="5" t="s">
        <v>360</v>
      </c>
      <c r="D481" s="5" t="s">
        <v>349</v>
      </c>
    </row>
    <row r="482" spans="2:4" ht="31.2" hidden="1" x14ac:dyDescent="0.3">
      <c r="B482" s="6" t="s">
        <v>359</v>
      </c>
      <c r="C482" s="5" t="s">
        <v>358</v>
      </c>
      <c r="D482" s="5" t="s">
        <v>349</v>
      </c>
    </row>
    <row r="483" spans="2:4" ht="31.2" hidden="1" x14ac:dyDescent="0.3">
      <c r="B483" s="6" t="s">
        <v>357</v>
      </c>
      <c r="C483" t="s">
        <v>356</v>
      </c>
      <c r="D483" s="5" t="s">
        <v>349</v>
      </c>
    </row>
    <row r="484" spans="2:4" ht="31.2" hidden="1" x14ac:dyDescent="0.3">
      <c r="B484" s="6" t="s">
        <v>355</v>
      </c>
      <c r="C484" s="5" t="s">
        <v>354</v>
      </c>
      <c r="D484" s="5" t="s">
        <v>349</v>
      </c>
    </row>
    <row r="485" spans="2:4" ht="31.2" hidden="1" x14ac:dyDescent="0.3">
      <c r="B485" s="6" t="s">
        <v>353</v>
      </c>
      <c r="C485" s="5" t="s">
        <v>352</v>
      </c>
      <c r="D485" s="5" t="s">
        <v>349</v>
      </c>
    </row>
    <row r="486" spans="2:4" ht="31.2" hidden="1" x14ac:dyDescent="0.3">
      <c r="B486" s="6" t="s">
        <v>351</v>
      </c>
      <c r="C486" s="5" t="s">
        <v>350</v>
      </c>
      <c r="D486" s="5" t="s">
        <v>349</v>
      </c>
    </row>
    <row r="487" spans="2:4" ht="31.2" hidden="1" x14ac:dyDescent="0.3">
      <c r="B487" s="6" t="s">
        <v>348</v>
      </c>
      <c r="C487" s="5" t="s">
        <v>347</v>
      </c>
      <c r="D487" s="5" t="s">
        <v>338</v>
      </c>
    </row>
    <row r="488" spans="2:4" ht="31.2" hidden="1" x14ac:dyDescent="0.3">
      <c r="B488" s="6" t="s">
        <v>346</v>
      </c>
      <c r="C488" s="5" t="s">
        <v>345</v>
      </c>
      <c r="D488" s="5" t="s">
        <v>338</v>
      </c>
    </row>
    <row r="489" spans="2:4" ht="31.2" hidden="1" x14ac:dyDescent="0.3">
      <c r="B489" s="6" t="s">
        <v>344</v>
      </c>
      <c r="C489" s="5" t="s">
        <v>343</v>
      </c>
      <c r="D489" s="5" t="s">
        <v>338</v>
      </c>
    </row>
    <row r="490" spans="2:4" ht="31.2" hidden="1" x14ac:dyDescent="0.3">
      <c r="B490" s="6" t="s">
        <v>342</v>
      </c>
      <c r="C490" s="5" t="s">
        <v>341</v>
      </c>
      <c r="D490" s="5" t="s">
        <v>338</v>
      </c>
    </row>
    <row r="491" spans="2:4" ht="31.2" hidden="1" x14ac:dyDescent="0.3">
      <c r="B491" s="6" t="s">
        <v>340</v>
      </c>
      <c r="C491" s="5" t="s">
        <v>339</v>
      </c>
      <c r="D491" s="5" t="s">
        <v>338</v>
      </c>
    </row>
    <row r="492" spans="2:4" ht="31.2" hidden="1" x14ac:dyDescent="0.3">
      <c r="B492" s="6" t="s">
        <v>337</v>
      </c>
      <c r="C492" s="5" t="s">
        <v>336</v>
      </c>
      <c r="D492" s="5" t="s">
        <v>315</v>
      </c>
    </row>
    <row r="493" spans="2:4" ht="31.2" hidden="1" x14ac:dyDescent="0.3">
      <c r="B493" s="6" t="s">
        <v>335</v>
      </c>
      <c r="C493" s="5" t="s">
        <v>334</v>
      </c>
      <c r="D493" s="5" t="s">
        <v>315</v>
      </c>
    </row>
    <row r="494" spans="2:4" ht="31.2" hidden="1" x14ac:dyDescent="0.3">
      <c r="B494" s="6" t="s">
        <v>333</v>
      </c>
      <c r="C494" s="5" t="s">
        <v>332</v>
      </c>
      <c r="D494" s="5" t="s">
        <v>315</v>
      </c>
    </row>
    <row r="495" spans="2:4" ht="31.2" hidden="1" x14ac:dyDescent="0.3">
      <c r="B495" s="6" t="s">
        <v>331</v>
      </c>
      <c r="C495" s="5" t="s">
        <v>330</v>
      </c>
      <c r="D495" s="5" t="s">
        <v>315</v>
      </c>
    </row>
    <row r="496" spans="2:4" ht="31.2" hidden="1" x14ac:dyDescent="0.3">
      <c r="B496" s="6" t="s">
        <v>329</v>
      </c>
      <c r="C496" s="5" t="s">
        <v>328</v>
      </c>
      <c r="D496" s="5" t="s">
        <v>315</v>
      </c>
    </row>
    <row r="497" spans="2:4" ht="31.2" hidden="1" x14ac:dyDescent="0.3">
      <c r="B497" s="6" t="s">
        <v>327</v>
      </c>
      <c r="C497" t="s">
        <v>326</v>
      </c>
      <c r="D497" s="5" t="s">
        <v>315</v>
      </c>
    </row>
    <row r="498" spans="2:4" ht="31.2" hidden="1" x14ac:dyDescent="0.3">
      <c r="B498" s="6" t="s">
        <v>325</v>
      </c>
      <c r="C498" s="5" t="s">
        <v>324</v>
      </c>
      <c r="D498" s="5" t="s">
        <v>315</v>
      </c>
    </row>
    <row r="499" spans="2:4" ht="14.7" hidden="1" customHeight="1" x14ac:dyDescent="0.3">
      <c r="B499" s="6" t="s">
        <v>323</v>
      </c>
      <c r="C499" s="5" t="s">
        <v>322</v>
      </c>
      <c r="D499" s="5" t="s">
        <v>315</v>
      </c>
    </row>
    <row r="500" spans="2:4" ht="31.2" hidden="1" x14ac:dyDescent="0.3">
      <c r="B500" s="6" t="s">
        <v>321</v>
      </c>
      <c r="C500" s="5" t="s">
        <v>320</v>
      </c>
      <c r="D500" s="5" t="s">
        <v>315</v>
      </c>
    </row>
    <row r="501" spans="2:4" ht="31.2" hidden="1" x14ac:dyDescent="0.3">
      <c r="B501" s="6" t="s">
        <v>319</v>
      </c>
      <c r="C501" s="5" t="s">
        <v>318</v>
      </c>
      <c r="D501" s="5" t="s">
        <v>315</v>
      </c>
    </row>
    <row r="502" spans="2:4" ht="31.2" hidden="1" x14ac:dyDescent="0.3">
      <c r="B502" s="6" t="s">
        <v>317</v>
      </c>
      <c r="C502" s="5" t="s">
        <v>316</v>
      </c>
      <c r="D502" s="5" t="s">
        <v>315</v>
      </c>
    </row>
    <row r="503" spans="2:4" ht="31.2" hidden="1" x14ac:dyDescent="0.3">
      <c r="B503" s="6" t="s">
        <v>314</v>
      </c>
      <c r="C503" s="5" t="s">
        <v>313</v>
      </c>
      <c r="D503" s="5" t="s">
        <v>306</v>
      </c>
    </row>
    <row r="504" spans="2:4" ht="31.2" hidden="1" x14ac:dyDescent="0.3">
      <c r="B504" s="6" t="s">
        <v>312</v>
      </c>
      <c r="C504" s="5" t="s">
        <v>311</v>
      </c>
      <c r="D504" s="5" t="s">
        <v>306</v>
      </c>
    </row>
    <row r="505" spans="2:4" ht="31.2" hidden="1" x14ac:dyDescent="0.3">
      <c r="B505" s="6" t="s">
        <v>310</v>
      </c>
      <c r="C505" s="5" t="s">
        <v>309</v>
      </c>
      <c r="D505" s="5" t="s">
        <v>306</v>
      </c>
    </row>
    <row r="506" spans="2:4" ht="31.2" hidden="1" x14ac:dyDescent="0.3">
      <c r="B506" s="6" t="s">
        <v>308</v>
      </c>
      <c r="C506" s="5" t="s">
        <v>307</v>
      </c>
      <c r="D506" s="5" t="s">
        <v>306</v>
      </c>
    </row>
    <row r="507" spans="2:4" ht="14.7" hidden="1" customHeight="1" x14ac:dyDescent="0.3">
      <c r="B507" s="6" t="s">
        <v>305</v>
      </c>
      <c r="C507" s="5" t="s">
        <v>304</v>
      </c>
      <c r="D507" s="5" t="s">
        <v>283</v>
      </c>
    </row>
    <row r="508" spans="2:4" ht="31.2" hidden="1" x14ac:dyDescent="0.3">
      <c r="B508" s="6" t="s">
        <v>303</v>
      </c>
      <c r="C508" s="5" t="s">
        <v>302</v>
      </c>
      <c r="D508" s="5" t="s">
        <v>283</v>
      </c>
    </row>
    <row r="509" spans="2:4" ht="31.2" hidden="1" x14ac:dyDescent="0.3">
      <c r="B509" s="6" t="s">
        <v>301</v>
      </c>
      <c r="C509" s="5" t="s">
        <v>300</v>
      </c>
      <c r="D509" s="5" t="s">
        <v>283</v>
      </c>
    </row>
    <row r="510" spans="2:4" ht="31.2" hidden="1" x14ac:dyDescent="0.3">
      <c r="B510" s="6" t="s">
        <v>299</v>
      </c>
      <c r="C510" s="5" t="s">
        <v>298</v>
      </c>
      <c r="D510" s="5" t="s">
        <v>283</v>
      </c>
    </row>
    <row r="511" spans="2:4" ht="31.2" hidden="1" x14ac:dyDescent="0.3">
      <c r="B511" s="6" t="s">
        <v>297</v>
      </c>
      <c r="C511" s="5" t="s">
        <v>296</v>
      </c>
      <c r="D511" s="5" t="s">
        <v>283</v>
      </c>
    </row>
    <row r="512" spans="2:4" ht="31.2" hidden="1" x14ac:dyDescent="0.3">
      <c r="B512" s="6" t="s">
        <v>295</v>
      </c>
      <c r="C512" s="5" t="s">
        <v>294</v>
      </c>
      <c r="D512" s="5" t="s">
        <v>283</v>
      </c>
    </row>
    <row r="513" spans="2:4" ht="31.2" hidden="1" x14ac:dyDescent="0.3">
      <c r="B513" s="6" t="s">
        <v>293</v>
      </c>
      <c r="C513" s="5" t="s">
        <v>292</v>
      </c>
      <c r="D513" s="5" t="s">
        <v>283</v>
      </c>
    </row>
    <row r="514" spans="2:4" ht="31.2" hidden="1" x14ac:dyDescent="0.3">
      <c r="B514" s="6" t="s">
        <v>291</v>
      </c>
      <c r="C514" s="5" t="s">
        <v>290</v>
      </c>
      <c r="D514" s="5" t="s">
        <v>283</v>
      </c>
    </row>
    <row r="515" spans="2:4" ht="31.2" hidden="1" x14ac:dyDescent="0.3">
      <c r="B515" s="6" t="s">
        <v>289</v>
      </c>
      <c r="C515" s="5" t="s">
        <v>288</v>
      </c>
      <c r="D515" s="5" t="s">
        <v>283</v>
      </c>
    </row>
    <row r="516" spans="2:4" ht="31.2" hidden="1" x14ac:dyDescent="0.3">
      <c r="B516" s="6" t="s">
        <v>287</v>
      </c>
      <c r="C516" s="5" t="s">
        <v>286</v>
      </c>
      <c r="D516" s="5" t="s">
        <v>283</v>
      </c>
    </row>
    <row r="517" spans="2:4" ht="31.2" hidden="1" x14ac:dyDescent="0.3">
      <c r="B517" s="6" t="s">
        <v>285</v>
      </c>
      <c r="C517" t="s">
        <v>284</v>
      </c>
      <c r="D517" s="5" t="s">
        <v>283</v>
      </c>
    </row>
    <row r="518" spans="2:4" ht="31.2" hidden="1" x14ac:dyDescent="0.3">
      <c r="B518" s="6" t="s">
        <v>282</v>
      </c>
      <c r="C518" s="5" t="s">
        <v>281</v>
      </c>
      <c r="D518" s="5" t="s">
        <v>254</v>
      </c>
    </row>
    <row r="519" spans="2:4" ht="31.2" hidden="1" x14ac:dyDescent="0.3">
      <c r="B519" s="6" t="s">
        <v>280</v>
      </c>
      <c r="C519" s="5" t="s">
        <v>279</v>
      </c>
      <c r="D519" s="5" t="s">
        <v>254</v>
      </c>
    </row>
    <row r="520" spans="2:4" ht="31.2" hidden="1" x14ac:dyDescent="0.3">
      <c r="B520" s="6" t="s">
        <v>278</v>
      </c>
      <c r="C520" s="5" t="s">
        <v>277</v>
      </c>
      <c r="D520" s="5" t="s">
        <v>254</v>
      </c>
    </row>
    <row r="521" spans="2:4" ht="31.2" hidden="1" x14ac:dyDescent="0.3">
      <c r="B521" s="6" t="s">
        <v>276</v>
      </c>
      <c r="C521" s="5" t="s">
        <v>275</v>
      </c>
      <c r="D521" s="5" t="s">
        <v>254</v>
      </c>
    </row>
    <row r="522" spans="2:4" ht="31.2" hidden="1" x14ac:dyDescent="0.3">
      <c r="B522" s="6" t="s">
        <v>274</v>
      </c>
      <c r="C522" s="5" t="s">
        <v>273</v>
      </c>
      <c r="D522" s="5" t="s">
        <v>254</v>
      </c>
    </row>
    <row r="523" spans="2:4" ht="31.2" hidden="1" x14ac:dyDescent="0.3">
      <c r="B523" s="6" t="s">
        <v>272</v>
      </c>
      <c r="C523" s="5" t="s">
        <v>271</v>
      </c>
      <c r="D523" s="5" t="s">
        <v>254</v>
      </c>
    </row>
    <row r="524" spans="2:4" ht="31.2" hidden="1" x14ac:dyDescent="0.3">
      <c r="B524" s="6" t="s">
        <v>270</v>
      </c>
      <c r="C524" s="5" t="s">
        <v>269</v>
      </c>
      <c r="D524" s="5" t="s">
        <v>254</v>
      </c>
    </row>
    <row r="525" spans="2:4" ht="31.2" hidden="1" x14ac:dyDescent="0.3">
      <c r="B525" s="6" t="s">
        <v>268</v>
      </c>
      <c r="C525" s="5" t="s">
        <v>267</v>
      </c>
      <c r="D525" s="5" t="s">
        <v>254</v>
      </c>
    </row>
    <row r="526" spans="2:4" ht="31.2" hidden="1" x14ac:dyDescent="0.3">
      <c r="B526" s="6" t="s">
        <v>266</v>
      </c>
      <c r="C526" s="5" t="s">
        <v>265</v>
      </c>
      <c r="D526" s="5" t="s">
        <v>254</v>
      </c>
    </row>
    <row r="527" spans="2:4" ht="31.2" hidden="1" x14ac:dyDescent="0.3">
      <c r="B527" s="6" t="s">
        <v>264</v>
      </c>
      <c r="C527" s="5" t="s">
        <v>263</v>
      </c>
      <c r="D527" s="5" t="s">
        <v>254</v>
      </c>
    </row>
    <row r="528" spans="2:4" ht="31.2" hidden="1" x14ac:dyDescent="0.3">
      <c r="B528" s="6" t="s">
        <v>262</v>
      </c>
      <c r="C528" s="5" t="s">
        <v>261</v>
      </c>
      <c r="D528" s="5" t="s">
        <v>254</v>
      </c>
    </row>
    <row r="529" spans="2:4" ht="31.2" hidden="1" x14ac:dyDescent="0.3">
      <c r="B529" s="6" t="s">
        <v>260</v>
      </c>
      <c r="C529" s="5" t="s">
        <v>259</v>
      </c>
      <c r="D529" s="5" t="s">
        <v>254</v>
      </c>
    </row>
    <row r="530" spans="2:4" ht="31.2" hidden="1" x14ac:dyDescent="0.3">
      <c r="B530" s="6" t="s">
        <v>258</v>
      </c>
      <c r="C530" s="5" t="s">
        <v>257</v>
      </c>
      <c r="D530" s="5" t="s">
        <v>254</v>
      </c>
    </row>
    <row r="531" spans="2:4" ht="31.2" hidden="1" x14ac:dyDescent="0.3">
      <c r="B531" s="6" t="s">
        <v>256</v>
      </c>
      <c r="C531" s="5" t="s">
        <v>255</v>
      </c>
      <c r="D531" s="5" t="s">
        <v>254</v>
      </c>
    </row>
    <row r="532" spans="2:4" ht="31.2" hidden="1" x14ac:dyDescent="0.3">
      <c r="B532" s="6" t="s">
        <v>253</v>
      </c>
      <c r="C532" s="5" t="s">
        <v>252</v>
      </c>
      <c r="D532" s="5" t="s">
        <v>241</v>
      </c>
    </row>
    <row r="533" spans="2:4" ht="31.2" hidden="1" x14ac:dyDescent="0.3">
      <c r="B533" s="8" t="s">
        <v>251</v>
      </c>
      <c r="C533" s="5" t="s">
        <v>250</v>
      </c>
      <c r="D533" s="5" t="s">
        <v>241</v>
      </c>
    </row>
    <row r="534" spans="2:4" ht="31.2" hidden="1" x14ac:dyDescent="0.3">
      <c r="B534" s="6" t="s">
        <v>249</v>
      </c>
      <c r="C534" s="5" t="s">
        <v>248</v>
      </c>
      <c r="D534" s="5" t="s">
        <v>241</v>
      </c>
    </row>
    <row r="535" spans="2:4" ht="31.2" hidden="1" x14ac:dyDescent="0.3">
      <c r="B535" s="6" t="s">
        <v>247</v>
      </c>
      <c r="C535" s="5" t="s">
        <v>246</v>
      </c>
      <c r="D535" s="5" t="s">
        <v>241</v>
      </c>
    </row>
    <row r="536" spans="2:4" ht="31.2" hidden="1" x14ac:dyDescent="0.3">
      <c r="B536" s="6" t="s">
        <v>245</v>
      </c>
      <c r="C536" s="5" t="s">
        <v>244</v>
      </c>
      <c r="D536" s="5" t="s">
        <v>241</v>
      </c>
    </row>
    <row r="537" spans="2:4" ht="31.2" hidden="1" x14ac:dyDescent="0.3">
      <c r="B537" s="6" t="s">
        <v>243</v>
      </c>
      <c r="C537" s="5" t="s">
        <v>242</v>
      </c>
      <c r="D537" s="5" t="s">
        <v>241</v>
      </c>
    </row>
    <row r="538" spans="2:4" ht="31.2" hidden="1" x14ac:dyDescent="0.3">
      <c r="B538" s="6" t="s">
        <v>240</v>
      </c>
      <c r="C538" s="5" t="s">
        <v>239</v>
      </c>
      <c r="D538" s="5" t="s">
        <v>234</v>
      </c>
    </row>
    <row r="539" spans="2:4" ht="31.2" hidden="1" x14ac:dyDescent="0.3">
      <c r="B539" s="6" t="s">
        <v>238</v>
      </c>
      <c r="C539" s="5" t="s">
        <v>237</v>
      </c>
      <c r="D539" s="5" t="s">
        <v>234</v>
      </c>
    </row>
    <row r="540" spans="2:4" ht="31.2" hidden="1" x14ac:dyDescent="0.3">
      <c r="B540" s="6" t="s">
        <v>236</v>
      </c>
      <c r="C540" s="5" t="s">
        <v>235</v>
      </c>
      <c r="D540" s="5" t="s">
        <v>234</v>
      </c>
    </row>
    <row r="541" spans="2:4" ht="31.2" hidden="1" x14ac:dyDescent="0.3">
      <c r="B541" s="6" t="s">
        <v>233</v>
      </c>
      <c r="C541" s="5" t="s">
        <v>232</v>
      </c>
      <c r="D541" s="5" t="s">
        <v>219</v>
      </c>
    </row>
    <row r="542" spans="2:4" ht="31.2" hidden="1" x14ac:dyDescent="0.3">
      <c r="B542" s="6" t="s">
        <v>231</v>
      </c>
      <c r="C542" s="5" t="s">
        <v>230</v>
      </c>
      <c r="D542" s="5" t="s">
        <v>219</v>
      </c>
    </row>
    <row r="543" spans="2:4" ht="31.2" hidden="1" x14ac:dyDescent="0.3">
      <c r="B543" s="6" t="s">
        <v>229</v>
      </c>
      <c r="C543" s="5" t="s">
        <v>228</v>
      </c>
      <c r="D543" s="5" t="s">
        <v>219</v>
      </c>
    </row>
    <row r="544" spans="2:4" ht="31.2" hidden="1" x14ac:dyDescent="0.3">
      <c r="B544" s="6" t="s">
        <v>227</v>
      </c>
      <c r="C544" s="5" t="s">
        <v>226</v>
      </c>
      <c r="D544" s="5" t="s">
        <v>219</v>
      </c>
    </row>
    <row r="545" spans="2:5" ht="31.2" hidden="1" x14ac:dyDescent="0.3">
      <c r="B545" s="6" t="s">
        <v>225</v>
      </c>
      <c r="C545" s="5" t="s">
        <v>224</v>
      </c>
      <c r="D545" s="5" t="s">
        <v>219</v>
      </c>
    </row>
    <row r="546" spans="2:5" ht="31.2" hidden="1" x14ac:dyDescent="0.3">
      <c r="B546" s="6" t="s">
        <v>223</v>
      </c>
      <c r="C546" s="5" t="s">
        <v>222</v>
      </c>
      <c r="D546" s="5" t="s">
        <v>219</v>
      </c>
    </row>
    <row r="547" spans="2:5" ht="31.2" hidden="1" x14ac:dyDescent="0.3">
      <c r="B547" s="6" t="s">
        <v>221</v>
      </c>
      <c r="C547" s="5" t="s">
        <v>220</v>
      </c>
      <c r="D547" s="5" t="s">
        <v>219</v>
      </c>
      <c r="E547" s="9"/>
    </row>
    <row r="548" spans="2:5" ht="31.2" hidden="1" x14ac:dyDescent="0.3">
      <c r="B548" s="6" t="s">
        <v>218</v>
      </c>
      <c r="C548" s="5" t="s">
        <v>217</v>
      </c>
      <c r="D548" s="5" t="s">
        <v>200</v>
      </c>
      <c r="E548" s="9"/>
    </row>
    <row r="549" spans="2:5" ht="31.2" hidden="1" x14ac:dyDescent="0.3">
      <c r="B549" s="6" t="s">
        <v>216</v>
      </c>
      <c r="C549" s="5" t="s">
        <v>215</v>
      </c>
      <c r="D549" s="5" t="s">
        <v>200</v>
      </c>
      <c r="E549" s="9"/>
    </row>
    <row r="550" spans="2:5" ht="31.2" hidden="1" x14ac:dyDescent="0.3">
      <c r="B550" s="6" t="s">
        <v>214</v>
      </c>
      <c r="C550" t="s">
        <v>213</v>
      </c>
      <c r="D550" s="5" t="s">
        <v>200</v>
      </c>
      <c r="E550" s="9"/>
    </row>
    <row r="551" spans="2:5" ht="31.2" hidden="1" x14ac:dyDescent="0.3">
      <c r="B551" s="6" t="s">
        <v>212</v>
      </c>
      <c r="C551" t="s">
        <v>211</v>
      </c>
      <c r="D551" s="5" t="s">
        <v>200</v>
      </c>
    </row>
    <row r="552" spans="2:5" ht="31.2" hidden="1" x14ac:dyDescent="0.3">
      <c r="B552" s="6" t="s">
        <v>210</v>
      </c>
      <c r="C552" s="5" t="s">
        <v>209</v>
      </c>
      <c r="D552" s="5" t="s">
        <v>200</v>
      </c>
    </row>
    <row r="553" spans="2:5" ht="31.2" hidden="1" x14ac:dyDescent="0.3">
      <c r="B553" s="6" t="s">
        <v>208</v>
      </c>
      <c r="C553" s="5" t="s">
        <v>207</v>
      </c>
      <c r="D553" s="5" t="s">
        <v>200</v>
      </c>
    </row>
    <row r="554" spans="2:5" ht="31.2" hidden="1" x14ac:dyDescent="0.3">
      <c r="B554" s="6" t="s">
        <v>206</v>
      </c>
      <c r="C554" s="5" t="s">
        <v>205</v>
      </c>
      <c r="D554" s="5" t="s">
        <v>200</v>
      </c>
    </row>
    <row r="555" spans="2:5" ht="31.2" hidden="1" x14ac:dyDescent="0.3">
      <c r="B555" s="6" t="s">
        <v>204</v>
      </c>
      <c r="C555" s="5" t="s">
        <v>203</v>
      </c>
      <c r="D555" s="5" t="s">
        <v>200</v>
      </c>
    </row>
    <row r="556" spans="2:5" ht="31.2" hidden="1" x14ac:dyDescent="0.3">
      <c r="B556" s="6" t="s">
        <v>202</v>
      </c>
      <c r="C556" s="5" t="s">
        <v>201</v>
      </c>
      <c r="D556" s="5" t="s">
        <v>200</v>
      </c>
    </row>
    <row r="557" spans="2:5" ht="31.2" hidden="1" x14ac:dyDescent="0.3">
      <c r="B557" s="6" t="s">
        <v>199</v>
      </c>
      <c r="C557" s="5" t="s">
        <v>198</v>
      </c>
      <c r="D557" s="5" t="s">
        <v>173</v>
      </c>
    </row>
    <row r="558" spans="2:5" ht="31.2" hidden="1" x14ac:dyDescent="0.3">
      <c r="B558" s="6" t="s">
        <v>197</v>
      </c>
      <c r="C558" s="5" t="s">
        <v>196</v>
      </c>
      <c r="D558" s="5" t="s">
        <v>173</v>
      </c>
    </row>
    <row r="559" spans="2:5" ht="31.2" hidden="1" x14ac:dyDescent="0.3">
      <c r="B559" s="6" t="s">
        <v>195</v>
      </c>
      <c r="C559" s="5" t="s">
        <v>194</v>
      </c>
      <c r="D559" s="5" t="s">
        <v>173</v>
      </c>
    </row>
    <row r="560" spans="2:5" ht="31.2" hidden="1" x14ac:dyDescent="0.3">
      <c r="B560" s="6" t="s">
        <v>193</v>
      </c>
      <c r="C560" s="5" t="s">
        <v>192</v>
      </c>
      <c r="D560" s="5" t="s">
        <v>173</v>
      </c>
    </row>
    <row r="561" spans="2:54" ht="31.2" hidden="1" x14ac:dyDescent="0.3">
      <c r="B561" s="6" t="s">
        <v>191</v>
      </c>
      <c r="C561" s="5" t="s">
        <v>190</v>
      </c>
      <c r="D561" s="5" t="s">
        <v>173</v>
      </c>
    </row>
    <row r="562" spans="2:54" ht="31.2" hidden="1" x14ac:dyDescent="0.3">
      <c r="B562" s="6" t="s">
        <v>189</v>
      </c>
      <c r="C562" s="5" t="s">
        <v>188</v>
      </c>
      <c r="D562" s="5" t="s">
        <v>173</v>
      </c>
    </row>
    <row r="563" spans="2:54" ht="31.2" hidden="1" x14ac:dyDescent="0.3">
      <c r="B563" s="6" t="s">
        <v>187</v>
      </c>
      <c r="C563" s="5" t="s">
        <v>186</v>
      </c>
      <c r="D563" s="5" t="s">
        <v>173</v>
      </c>
    </row>
    <row r="564" spans="2:54" ht="31.2" hidden="1" x14ac:dyDescent="0.3">
      <c r="B564" s="6" t="s">
        <v>185</v>
      </c>
      <c r="C564" s="5" t="s">
        <v>184</v>
      </c>
      <c r="D564" s="5" t="s">
        <v>173</v>
      </c>
    </row>
    <row r="565" spans="2:54" ht="31.2" hidden="1" x14ac:dyDescent="0.3">
      <c r="B565" s="6" t="s">
        <v>183</v>
      </c>
      <c r="C565" s="5" t="s">
        <v>182</v>
      </c>
      <c r="D565" s="5" t="s">
        <v>173</v>
      </c>
    </row>
    <row r="566" spans="2:54" ht="31.2" hidden="1" x14ac:dyDescent="0.3">
      <c r="B566" s="6" t="s">
        <v>181</v>
      </c>
      <c r="C566" s="5" t="s">
        <v>180</v>
      </c>
      <c r="D566" s="5" t="s">
        <v>173</v>
      </c>
    </row>
    <row r="567" spans="2:54" ht="31.2" hidden="1" x14ac:dyDescent="0.3">
      <c r="B567" s="6" t="s">
        <v>179</v>
      </c>
      <c r="C567" s="5" t="s">
        <v>178</v>
      </c>
      <c r="D567" s="5" t="s">
        <v>173</v>
      </c>
    </row>
    <row r="568" spans="2:54" ht="31.2" hidden="1" x14ac:dyDescent="0.3">
      <c r="B568" s="6" t="s">
        <v>177</v>
      </c>
      <c r="C568" s="5" t="s">
        <v>176</v>
      </c>
      <c r="D568" s="5" t="s">
        <v>173</v>
      </c>
    </row>
    <row r="569" spans="2:54" ht="31.2" hidden="1" x14ac:dyDescent="0.3">
      <c r="B569" s="6" t="s">
        <v>175</v>
      </c>
      <c r="C569" s="5" t="s">
        <v>174</v>
      </c>
      <c r="D569" s="5" t="s">
        <v>173</v>
      </c>
    </row>
    <row r="570" spans="2:54" ht="31.2" hidden="1" x14ac:dyDescent="0.3">
      <c r="B570" s="6" t="s">
        <v>172</v>
      </c>
      <c r="C570" s="5" t="s">
        <v>171</v>
      </c>
      <c r="D570" s="5" t="s">
        <v>160</v>
      </c>
    </row>
    <row r="571" spans="2:54" ht="14.7" hidden="1" customHeight="1" x14ac:dyDescent="0.3">
      <c r="B571" s="6" t="s">
        <v>170</v>
      </c>
      <c r="C571" s="5" t="s">
        <v>169</v>
      </c>
      <c r="D571" s="5" t="s">
        <v>160</v>
      </c>
    </row>
    <row r="572" spans="2:54" ht="14.7" hidden="1" customHeight="1" x14ac:dyDescent="0.3">
      <c r="B572" s="6" t="s">
        <v>168</v>
      </c>
      <c r="C572" s="5" t="s">
        <v>167</v>
      </c>
      <c r="D572" s="5" t="s">
        <v>160</v>
      </c>
      <c r="I572" s="3"/>
      <c r="N572" s="1"/>
      <c r="Q572" s="2"/>
      <c r="V572" s="1"/>
      <c r="Y572" s="2"/>
      <c r="AD572" s="1"/>
      <c r="AG572" s="2"/>
      <c r="AL572" s="1"/>
      <c r="AO572" s="2"/>
      <c r="AT572" s="1"/>
      <c r="AW572" s="2"/>
      <c r="BB572" s="1"/>
    </row>
    <row r="573" spans="2:54" ht="14.7" hidden="1" customHeight="1" x14ac:dyDescent="0.3">
      <c r="B573" s="6" t="s">
        <v>166</v>
      </c>
      <c r="C573" t="s">
        <v>165</v>
      </c>
      <c r="D573" s="5" t="s">
        <v>160</v>
      </c>
      <c r="I573" s="3"/>
      <c r="N573" s="1"/>
      <c r="Q573" s="2"/>
      <c r="V573" s="1"/>
      <c r="Y573" s="2"/>
      <c r="AD573" s="1"/>
      <c r="AG573" s="2"/>
      <c r="AL573" s="1"/>
      <c r="AO573" s="2"/>
      <c r="AT573" s="1"/>
      <c r="AW573" s="2"/>
      <c r="BB573" s="1"/>
    </row>
    <row r="574" spans="2:54" ht="14.7" hidden="1" customHeight="1" x14ac:dyDescent="0.3">
      <c r="B574" s="6" t="s">
        <v>164</v>
      </c>
      <c r="C574" s="5" t="s">
        <v>163</v>
      </c>
      <c r="D574" s="5" t="s">
        <v>160</v>
      </c>
      <c r="I574" s="3"/>
      <c r="N574" s="1"/>
      <c r="Q574" s="2"/>
      <c r="V574" s="1"/>
      <c r="Y574" s="2"/>
      <c r="AD574" s="1"/>
      <c r="AG574" s="2"/>
      <c r="AL574" s="1"/>
      <c r="AO574" s="2"/>
      <c r="AT574" s="1"/>
      <c r="AW574" s="2"/>
      <c r="BB574" s="1"/>
    </row>
    <row r="575" spans="2:54" ht="14.7" hidden="1" customHeight="1" x14ac:dyDescent="0.3">
      <c r="B575" s="6" t="s">
        <v>162</v>
      </c>
      <c r="C575" s="5" t="s">
        <v>161</v>
      </c>
      <c r="D575" s="5" t="s">
        <v>160</v>
      </c>
      <c r="I575" s="3"/>
      <c r="N575" s="1"/>
      <c r="Q575" s="2"/>
      <c r="V575" s="1"/>
      <c r="Y575" s="2"/>
      <c r="AD575" s="1"/>
      <c r="AG575" s="2"/>
      <c r="AL575" s="1"/>
      <c r="AO575" s="2"/>
      <c r="AT575" s="1"/>
      <c r="AW575" s="2"/>
      <c r="BB575" s="1"/>
    </row>
    <row r="576" spans="2:54" ht="14.7" hidden="1" customHeight="1" x14ac:dyDescent="0.3">
      <c r="B576" s="6" t="s">
        <v>159</v>
      </c>
      <c r="C576" s="5" t="s">
        <v>158</v>
      </c>
      <c r="D576" s="5" t="s">
        <v>151</v>
      </c>
      <c r="I576" s="3"/>
      <c r="N576" s="1"/>
      <c r="Q576" s="2"/>
      <c r="V576" s="1"/>
      <c r="Y576" s="2"/>
      <c r="AD576" s="1"/>
      <c r="AG576" s="2"/>
      <c r="AL576" s="1"/>
      <c r="AO576" s="2"/>
      <c r="AT576" s="1"/>
      <c r="AW576" s="2"/>
      <c r="BB576" s="1"/>
    </row>
    <row r="577" spans="2:54" ht="14.7" hidden="1" customHeight="1" x14ac:dyDescent="0.3">
      <c r="B577" s="6" t="s">
        <v>157</v>
      </c>
      <c r="C577" s="5" t="s">
        <v>156</v>
      </c>
      <c r="D577" s="5" t="s">
        <v>151</v>
      </c>
      <c r="I577" s="3"/>
      <c r="N577" s="1"/>
      <c r="Q577" s="2"/>
      <c r="V577" s="1"/>
      <c r="Y577" s="2"/>
      <c r="AD577" s="1"/>
      <c r="AG577" s="2"/>
      <c r="AL577" s="1"/>
      <c r="AO577" s="2"/>
      <c r="AT577" s="1"/>
      <c r="AW577" s="2"/>
      <c r="BB577" s="1"/>
    </row>
    <row r="578" spans="2:54" ht="14.7" hidden="1" customHeight="1" x14ac:dyDescent="0.3">
      <c r="B578" s="6" t="s">
        <v>155</v>
      </c>
      <c r="C578" s="5" t="s">
        <v>154</v>
      </c>
      <c r="D578" s="5" t="s">
        <v>151</v>
      </c>
      <c r="I578" s="3"/>
      <c r="N578" s="1"/>
      <c r="Q578" s="2"/>
      <c r="V578" s="1"/>
      <c r="Y578" s="2"/>
      <c r="AD578" s="1"/>
      <c r="AG578" s="2"/>
      <c r="AL578" s="1"/>
      <c r="AO578" s="2"/>
      <c r="AT578" s="1"/>
      <c r="AW578" s="2"/>
      <c r="BB578" s="1"/>
    </row>
    <row r="579" spans="2:54" ht="14.7" hidden="1" customHeight="1" x14ac:dyDescent="0.3">
      <c r="B579" s="6" t="s">
        <v>153</v>
      </c>
      <c r="C579" s="5" t="s">
        <v>152</v>
      </c>
      <c r="D579" s="5" t="s">
        <v>151</v>
      </c>
      <c r="I579" s="3"/>
      <c r="N579" s="1"/>
      <c r="Q579" s="2"/>
      <c r="V579" s="1"/>
      <c r="Y579" s="2"/>
      <c r="AD579" s="1"/>
      <c r="AG579" s="2"/>
      <c r="AL579" s="1"/>
      <c r="AO579" s="2"/>
      <c r="AT579" s="1"/>
      <c r="AW579" s="2"/>
      <c r="BB579" s="1"/>
    </row>
    <row r="580" spans="2:54" ht="14.7" hidden="1" customHeight="1" x14ac:dyDescent="0.3">
      <c r="B580" s="6" t="s">
        <v>150</v>
      </c>
      <c r="C580" s="5" t="s">
        <v>149</v>
      </c>
      <c r="D580" s="5" t="s">
        <v>134</v>
      </c>
      <c r="I580" s="3"/>
      <c r="N580" s="1"/>
      <c r="Q580" s="2"/>
      <c r="V580" s="1"/>
      <c r="Y580" s="2"/>
      <c r="AD580" s="1"/>
      <c r="AG580" s="2"/>
      <c r="AL580" s="1"/>
      <c r="AO580" s="2"/>
      <c r="AT580" s="1"/>
      <c r="AW580" s="2"/>
      <c r="BB580" s="1"/>
    </row>
    <row r="581" spans="2:54" ht="14.7" hidden="1" customHeight="1" x14ac:dyDescent="0.3">
      <c r="B581" s="6" t="s">
        <v>148</v>
      </c>
      <c r="C581" s="5" t="s">
        <v>147</v>
      </c>
      <c r="D581" s="5" t="s">
        <v>134</v>
      </c>
      <c r="I581" s="3"/>
      <c r="N581" s="1"/>
      <c r="Q581" s="2"/>
      <c r="V581" s="1"/>
      <c r="Y581" s="2"/>
      <c r="AD581" s="1"/>
      <c r="AG581" s="2"/>
      <c r="AL581" s="1"/>
      <c r="AO581" s="2"/>
      <c r="AT581" s="1"/>
      <c r="AW581" s="2"/>
      <c r="BB581" s="1"/>
    </row>
    <row r="582" spans="2:54" ht="14.7" hidden="1" customHeight="1" x14ac:dyDescent="0.3">
      <c r="B582" s="6" t="s">
        <v>146</v>
      </c>
      <c r="C582" s="5" t="s">
        <v>145</v>
      </c>
      <c r="D582" s="5" t="s">
        <v>134</v>
      </c>
      <c r="I582" s="3"/>
      <c r="N582" s="1"/>
      <c r="Q582" s="2"/>
      <c r="V582" s="1"/>
      <c r="Y582" s="2"/>
      <c r="AD582" s="1"/>
      <c r="AG582" s="2"/>
      <c r="AL582" s="1"/>
      <c r="AO582" s="2"/>
      <c r="AT582" s="1"/>
      <c r="AW582" s="2"/>
      <c r="BB582" s="1"/>
    </row>
    <row r="583" spans="2:54" ht="14.7" hidden="1" customHeight="1" x14ac:dyDescent="0.3">
      <c r="B583" s="6" t="s">
        <v>144</v>
      </c>
      <c r="C583" s="5" t="s">
        <v>143</v>
      </c>
      <c r="D583" s="5" t="s">
        <v>134</v>
      </c>
      <c r="I583" s="3"/>
      <c r="N583" s="1"/>
      <c r="Q583" s="2"/>
      <c r="V583" s="1"/>
      <c r="Y583" s="2"/>
      <c r="AD583" s="1"/>
      <c r="AG583" s="2"/>
      <c r="AL583" s="1"/>
      <c r="AO583" s="2"/>
      <c r="AT583" s="1"/>
      <c r="AW583" s="2"/>
      <c r="BB583" s="1"/>
    </row>
    <row r="584" spans="2:54" ht="14.7" hidden="1" customHeight="1" x14ac:dyDescent="0.3">
      <c r="B584" s="6" t="s">
        <v>142</v>
      </c>
      <c r="C584" s="5" t="s">
        <v>141</v>
      </c>
      <c r="D584" s="5" t="s">
        <v>134</v>
      </c>
      <c r="I584" s="3"/>
      <c r="N584" s="1"/>
      <c r="Q584" s="2"/>
      <c r="V584" s="1"/>
      <c r="Y584" s="2"/>
      <c r="AD584" s="1"/>
      <c r="AG584" s="2"/>
      <c r="AL584" s="1"/>
      <c r="AO584" s="2"/>
      <c r="AT584" s="1"/>
      <c r="AW584" s="2"/>
      <c r="BB584" s="1"/>
    </row>
    <row r="585" spans="2:54" ht="14.7" hidden="1" customHeight="1" x14ac:dyDescent="0.3">
      <c r="B585" s="8" t="s">
        <v>140</v>
      </c>
      <c r="C585" s="5" t="s">
        <v>139</v>
      </c>
      <c r="D585" s="5" t="s">
        <v>134</v>
      </c>
      <c r="I585" s="3"/>
      <c r="N585" s="1"/>
      <c r="Q585" s="2"/>
      <c r="V585" s="1"/>
      <c r="Y585" s="2"/>
      <c r="AD585" s="1"/>
      <c r="AG585" s="2"/>
      <c r="AL585" s="1"/>
      <c r="AO585" s="2"/>
      <c r="AT585" s="1"/>
      <c r="AW585" s="2"/>
      <c r="BB585" s="1"/>
    </row>
    <row r="586" spans="2:54" ht="14.7" hidden="1" customHeight="1" x14ac:dyDescent="0.3">
      <c r="B586" s="7" t="s">
        <v>138</v>
      </c>
      <c r="C586" s="5" t="s">
        <v>137</v>
      </c>
      <c r="D586" s="5" t="s">
        <v>134</v>
      </c>
      <c r="I586" s="3"/>
      <c r="N586" s="1"/>
      <c r="Q586" s="2"/>
      <c r="V586" s="1"/>
      <c r="Y586" s="2"/>
      <c r="AD586" s="1"/>
      <c r="AG586" s="2"/>
      <c r="AL586" s="1"/>
      <c r="AO586" s="2"/>
      <c r="AT586" s="1"/>
      <c r="AW586" s="2"/>
      <c r="BB586" s="1"/>
    </row>
    <row r="587" spans="2:54" ht="14.7" hidden="1" customHeight="1" x14ac:dyDescent="0.3">
      <c r="B587" s="6" t="s">
        <v>136</v>
      </c>
      <c r="C587" s="5" t="s">
        <v>135</v>
      </c>
      <c r="D587" s="5" t="s">
        <v>134</v>
      </c>
      <c r="I587" s="3"/>
      <c r="N587" s="1"/>
      <c r="Q587" s="2"/>
      <c r="V587" s="1"/>
      <c r="Y587" s="2"/>
      <c r="AD587" s="1"/>
      <c r="AG587" s="2"/>
      <c r="AL587" s="1"/>
      <c r="AO587" s="2"/>
      <c r="AT587" s="1"/>
      <c r="AW587" s="2"/>
      <c r="BB587" s="1"/>
    </row>
    <row r="588" spans="2:54" ht="14.7" hidden="1" customHeight="1" x14ac:dyDescent="0.3">
      <c r="B588" s="6" t="s">
        <v>133</v>
      </c>
      <c r="C588" s="5" t="s">
        <v>132</v>
      </c>
      <c r="D588" s="5" t="s">
        <v>111</v>
      </c>
      <c r="I588" s="3"/>
      <c r="N588" s="1"/>
      <c r="Q588" s="2"/>
      <c r="V588" s="1"/>
      <c r="Y588" s="2"/>
      <c r="AD588" s="1"/>
      <c r="AG588" s="2"/>
      <c r="AL588" s="1"/>
      <c r="AO588" s="2"/>
      <c r="AT588" s="1"/>
      <c r="AW588" s="2"/>
      <c r="BB588" s="1"/>
    </row>
    <row r="589" spans="2:54" ht="14.7" hidden="1" customHeight="1" x14ac:dyDescent="0.3">
      <c r="B589" s="6" t="s">
        <v>131</v>
      </c>
      <c r="C589" s="5" t="s">
        <v>130</v>
      </c>
      <c r="D589" s="5" t="s">
        <v>111</v>
      </c>
      <c r="I589" s="3"/>
      <c r="N589" s="1"/>
      <c r="Q589" s="2"/>
      <c r="V589" s="1"/>
      <c r="Y589" s="2"/>
      <c r="AD589" s="1"/>
      <c r="AG589" s="2"/>
      <c r="AL589" s="1"/>
      <c r="AO589" s="2"/>
      <c r="AT589" s="1"/>
      <c r="AW589" s="2"/>
      <c r="BB589" s="1"/>
    </row>
    <row r="590" spans="2:54" ht="14.7" hidden="1" customHeight="1" x14ac:dyDescent="0.3">
      <c r="B590" s="6" t="s">
        <v>129</v>
      </c>
      <c r="C590" s="5" t="s">
        <v>128</v>
      </c>
      <c r="D590" s="5" t="s">
        <v>111</v>
      </c>
      <c r="I590" s="3"/>
      <c r="N590" s="1"/>
      <c r="Q590" s="2"/>
      <c r="V590" s="1"/>
      <c r="Y590" s="2"/>
      <c r="AD590" s="1"/>
      <c r="AG590" s="2"/>
      <c r="AL590" s="1"/>
      <c r="AO590" s="2"/>
      <c r="AT590" s="1"/>
      <c r="AW590" s="2"/>
      <c r="BB590" s="1"/>
    </row>
    <row r="591" spans="2:54" ht="14.7" hidden="1" customHeight="1" x14ac:dyDescent="0.3">
      <c r="B591" s="6" t="s">
        <v>127</v>
      </c>
      <c r="C591" s="5" t="s">
        <v>126</v>
      </c>
      <c r="D591" s="5" t="s">
        <v>111</v>
      </c>
      <c r="I591" s="3"/>
      <c r="N591" s="1"/>
      <c r="Q591" s="2"/>
      <c r="V591" s="1"/>
      <c r="Y591" s="2"/>
      <c r="AD591" s="1"/>
      <c r="AG591" s="2"/>
      <c r="AL591" s="1"/>
      <c r="AO591" s="2"/>
      <c r="AT591" s="1"/>
      <c r="AW591" s="2"/>
      <c r="BB591" s="1"/>
    </row>
    <row r="592" spans="2:54" ht="14.7" hidden="1" customHeight="1" x14ac:dyDescent="0.3">
      <c r="B592" s="6" t="s">
        <v>125</v>
      </c>
      <c r="C592" t="s">
        <v>124</v>
      </c>
      <c r="D592" s="5" t="s">
        <v>111</v>
      </c>
      <c r="I592" s="3"/>
      <c r="N592" s="1"/>
      <c r="Q592" s="2"/>
      <c r="V592" s="1"/>
      <c r="Y592" s="2"/>
      <c r="AD592" s="1"/>
      <c r="AG592" s="2"/>
      <c r="AL592" s="1"/>
      <c r="AO592" s="2"/>
      <c r="AT592" s="1"/>
      <c r="AW592" s="2"/>
      <c r="BB592" s="1"/>
    </row>
    <row r="593" spans="2:54" ht="14.7" hidden="1" customHeight="1" x14ac:dyDescent="0.3">
      <c r="B593" s="6" t="s">
        <v>123</v>
      </c>
      <c r="C593" s="5" t="s">
        <v>122</v>
      </c>
      <c r="D593" s="5" t="s">
        <v>111</v>
      </c>
      <c r="I593" s="3"/>
      <c r="N593" s="1"/>
      <c r="Q593" s="2"/>
      <c r="V593" s="1"/>
      <c r="Y593" s="2"/>
      <c r="AD593" s="1"/>
      <c r="AG593" s="2"/>
      <c r="AL593" s="1"/>
      <c r="AO593" s="2"/>
      <c r="AT593" s="1"/>
      <c r="AW593" s="2"/>
      <c r="BB593" s="1"/>
    </row>
    <row r="594" spans="2:54" ht="14.7" hidden="1" customHeight="1" x14ac:dyDescent="0.3">
      <c r="B594" s="6" t="s">
        <v>121</v>
      </c>
      <c r="C594" s="5" t="s">
        <v>120</v>
      </c>
      <c r="D594" s="5" t="s">
        <v>111</v>
      </c>
      <c r="I594" s="3"/>
      <c r="N594" s="1"/>
      <c r="Q594" s="2"/>
      <c r="V594" s="1"/>
      <c r="Y594" s="2"/>
      <c r="AD594" s="1"/>
      <c r="AG594" s="2"/>
      <c r="AL594" s="1"/>
      <c r="AO594" s="2"/>
      <c r="AT594" s="1"/>
      <c r="AW594" s="2"/>
      <c r="BB594" s="1"/>
    </row>
    <row r="595" spans="2:54" ht="14.7" hidden="1" customHeight="1" x14ac:dyDescent="0.3">
      <c r="B595" s="6" t="s">
        <v>119</v>
      </c>
      <c r="C595" s="5" t="s">
        <v>118</v>
      </c>
      <c r="D595" s="5" t="s">
        <v>111</v>
      </c>
      <c r="I595" s="3"/>
      <c r="N595" s="1"/>
      <c r="Q595" s="2"/>
      <c r="V595" s="1"/>
      <c r="Y595" s="2"/>
      <c r="AD595" s="1"/>
      <c r="AG595" s="2"/>
      <c r="AL595" s="1"/>
      <c r="AO595" s="2"/>
      <c r="AT595" s="1"/>
      <c r="AW595" s="2"/>
      <c r="BB595" s="1"/>
    </row>
    <row r="596" spans="2:54" ht="14.7" hidden="1" customHeight="1" x14ac:dyDescent="0.3">
      <c r="B596" s="6" t="s">
        <v>117</v>
      </c>
      <c r="C596" s="5" t="s">
        <v>116</v>
      </c>
      <c r="D596" s="5" t="s">
        <v>111</v>
      </c>
      <c r="I596" s="3"/>
      <c r="N596" s="1"/>
      <c r="Q596" s="2"/>
      <c r="V596" s="1"/>
      <c r="Y596" s="2"/>
      <c r="AD596" s="1"/>
      <c r="AG596" s="2"/>
      <c r="AL596" s="1"/>
      <c r="AO596" s="2"/>
      <c r="AT596" s="1"/>
      <c r="AW596" s="2"/>
      <c r="BB596" s="1"/>
    </row>
    <row r="597" spans="2:54" ht="14.7" hidden="1" customHeight="1" x14ac:dyDescent="0.3">
      <c r="B597" s="6" t="s">
        <v>115</v>
      </c>
      <c r="C597" s="5" t="s">
        <v>114</v>
      </c>
      <c r="D597" s="5" t="s">
        <v>111</v>
      </c>
      <c r="I597" s="3"/>
      <c r="N597" s="1"/>
      <c r="Q597" s="2"/>
      <c r="V597" s="1"/>
      <c r="Y597" s="2"/>
      <c r="AD597" s="1"/>
      <c r="AG597" s="2"/>
      <c r="AL597" s="1"/>
      <c r="AO597" s="2"/>
      <c r="AT597" s="1"/>
      <c r="AW597" s="2"/>
      <c r="BB597" s="1"/>
    </row>
    <row r="598" spans="2:54" ht="14.7" hidden="1" customHeight="1" x14ac:dyDescent="0.3">
      <c r="B598" s="6" t="s">
        <v>113</v>
      </c>
      <c r="C598" s="5" t="s">
        <v>112</v>
      </c>
      <c r="D598" s="5" t="s">
        <v>111</v>
      </c>
      <c r="I598" s="3"/>
      <c r="N598" s="1"/>
      <c r="Q598" s="2"/>
      <c r="V598" s="1"/>
      <c r="Y598" s="2"/>
      <c r="AD598" s="1"/>
      <c r="AG598" s="2"/>
      <c r="AL598" s="1"/>
      <c r="AO598" s="2"/>
      <c r="AT598" s="1"/>
      <c r="AW598" s="2"/>
      <c r="BB598" s="1"/>
    </row>
    <row r="599" spans="2:54" ht="14.7" hidden="1" customHeight="1" x14ac:dyDescent="0.3">
      <c r="B599" s="6" t="s">
        <v>110</v>
      </c>
      <c r="C599" s="5" t="s">
        <v>109</v>
      </c>
      <c r="D599" s="5" t="s">
        <v>90</v>
      </c>
      <c r="I599" s="3"/>
      <c r="N599" s="1"/>
      <c r="Q599" s="2"/>
      <c r="V599" s="1"/>
      <c r="Y599" s="2"/>
      <c r="AD599" s="1"/>
      <c r="AG599" s="2"/>
      <c r="AL599" s="1"/>
      <c r="AO599" s="2"/>
      <c r="AT599" s="1"/>
      <c r="AW599" s="2"/>
      <c r="BB599" s="1"/>
    </row>
    <row r="600" spans="2:54" ht="14.7" hidden="1" customHeight="1" x14ac:dyDescent="0.3">
      <c r="B600" s="6" t="s">
        <v>108</v>
      </c>
      <c r="C600" s="5" t="s">
        <v>107</v>
      </c>
      <c r="D600" s="5" t="s">
        <v>90</v>
      </c>
      <c r="I600" s="3"/>
      <c r="N600" s="1"/>
      <c r="Q600" s="2"/>
      <c r="V600" s="1"/>
      <c r="Y600" s="2"/>
      <c r="AD600" s="1"/>
      <c r="AG600" s="2"/>
      <c r="AL600" s="1"/>
      <c r="AO600" s="2"/>
      <c r="AT600" s="1"/>
      <c r="AW600" s="2"/>
      <c r="BB600" s="1"/>
    </row>
    <row r="601" spans="2:54" ht="14.7" hidden="1" customHeight="1" x14ac:dyDescent="0.3">
      <c r="B601" s="6" t="s">
        <v>106</v>
      </c>
      <c r="C601" s="5" t="s">
        <v>105</v>
      </c>
      <c r="D601" s="5" t="s">
        <v>90</v>
      </c>
      <c r="I601" s="3"/>
      <c r="N601" s="1"/>
      <c r="Q601" s="2"/>
      <c r="V601" s="1"/>
      <c r="Y601" s="2"/>
      <c r="AD601" s="1"/>
      <c r="AG601" s="2"/>
      <c r="AL601" s="1"/>
      <c r="AO601" s="2"/>
      <c r="AT601" s="1"/>
      <c r="AW601" s="2"/>
      <c r="BB601" s="1"/>
    </row>
    <row r="602" spans="2:54" ht="14.7" hidden="1" customHeight="1" x14ac:dyDescent="0.3">
      <c r="B602" s="6" t="s">
        <v>104</v>
      </c>
      <c r="C602" s="5" t="s">
        <v>103</v>
      </c>
      <c r="D602" s="5" t="s">
        <v>90</v>
      </c>
      <c r="I602" s="3"/>
      <c r="N602" s="1"/>
      <c r="Q602" s="2"/>
      <c r="V602" s="1"/>
      <c r="Y602" s="2"/>
      <c r="AD602" s="1"/>
      <c r="AG602" s="2"/>
      <c r="AL602" s="1"/>
      <c r="AO602" s="2"/>
      <c r="AT602" s="1"/>
      <c r="AW602" s="2"/>
      <c r="BB602" s="1"/>
    </row>
    <row r="603" spans="2:54" ht="14.7" hidden="1" customHeight="1" x14ac:dyDescent="0.3">
      <c r="B603" s="6" t="s">
        <v>102</v>
      </c>
      <c r="C603" s="5" t="s">
        <v>101</v>
      </c>
      <c r="D603" s="5" t="s">
        <v>90</v>
      </c>
      <c r="I603" s="3"/>
      <c r="N603" s="1"/>
      <c r="Q603" s="2"/>
      <c r="V603" s="1"/>
      <c r="Y603" s="2"/>
      <c r="AD603" s="1"/>
      <c r="AG603" s="2"/>
      <c r="AL603" s="1"/>
      <c r="AO603" s="2"/>
      <c r="AT603" s="1"/>
      <c r="AW603" s="2"/>
      <c r="BB603" s="1"/>
    </row>
    <row r="604" spans="2:54" ht="14.7" hidden="1" customHeight="1" x14ac:dyDescent="0.3">
      <c r="B604" s="6" t="s">
        <v>100</v>
      </c>
      <c r="C604" s="5" t="s">
        <v>99</v>
      </c>
      <c r="D604" s="5" t="s">
        <v>90</v>
      </c>
      <c r="I604" s="3"/>
      <c r="N604" s="1"/>
      <c r="Q604" s="2"/>
      <c r="V604" s="1"/>
      <c r="Y604" s="2"/>
      <c r="AD604" s="1"/>
      <c r="AG604" s="2"/>
      <c r="AL604" s="1"/>
      <c r="AO604" s="2"/>
      <c r="AT604" s="1"/>
      <c r="AW604" s="2"/>
      <c r="BB604" s="1"/>
    </row>
    <row r="605" spans="2:54" ht="14.7" hidden="1" customHeight="1" x14ac:dyDescent="0.3">
      <c r="B605" s="6" t="s">
        <v>98</v>
      </c>
      <c r="C605" s="5" t="s">
        <v>97</v>
      </c>
      <c r="D605" s="5" t="s">
        <v>90</v>
      </c>
      <c r="I605" s="3"/>
      <c r="N605" s="1"/>
      <c r="Q605" s="2"/>
      <c r="V605" s="1"/>
      <c r="Y605" s="2"/>
      <c r="AD605" s="1"/>
      <c r="AG605" s="2"/>
      <c r="AL605" s="1"/>
      <c r="AO605" s="2"/>
      <c r="AT605" s="1"/>
      <c r="AW605" s="2"/>
      <c r="BB605" s="1"/>
    </row>
    <row r="606" spans="2:54" ht="14.7" hidden="1" customHeight="1" x14ac:dyDescent="0.3">
      <c r="B606" s="6" t="s">
        <v>96</v>
      </c>
      <c r="C606" s="5" t="s">
        <v>95</v>
      </c>
      <c r="D606" s="5" t="s">
        <v>90</v>
      </c>
      <c r="I606" s="3"/>
      <c r="N606" s="1"/>
      <c r="Q606" s="2"/>
      <c r="V606" s="1"/>
      <c r="Y606" s="2"/>
      <c r="AD606" s="1"/>
      <c r="AG606" s="2"/>
      <c r="AL606" s="1"/>
      <c r="AO606" s="2"/>
      <c r="AT606" s="1"/>
      <c r="AW606" s="2"/>
      <c r="BB606" s="1"/>
    </row>
    <row r="607" spans="2:54" ht="14.7" hidden="1" customHeight="1" x14ac:dyDescent="0.3">
      <c r="B607" s="6" t="s">
        <v>94</v>
      </c>
      <c r="C607" s="5" t="s">
        <v>93</v>
      </c>
      <c r="D607" s="5" t="s">
        <v>90</v>
      </c>
      <c r="I607" s="3"/>
      <c r="N607" s="1"/>
      <c r="Q607" s="2"/>
      <c r="V607" s="1"/>
      <c r="Y607" s="2"/>
      <c r="AD607" s="1"/>
      <c r="AG607" s="2"/>
      <c r="AL607" s="1"/>
      <c r="AO607" s="2"/>
      <c r="AT607" s="1"/>
      <c r="AW607" s="2"/>
      <c r="BB607" s="1"/>
    </row>
    <row r="608" spans="2:54" ht="14.7" hidden="1" customHeight="1" x14ac:dyDescent="0.3">
      <c r="B608" s="6" t="s">
        <v>92</v>
      </c>
      <c r="C608" s="5" t="s">
        <v>91</v>
      </c>
      <c r="D608" s="5" t="s">
        <v>90</v>
      </c>
      <c r="I608" s="3"/>
      <c r="N608" s="1"/>
      <c r="Q608" s="2"/>
      <c r="V608" s="1"/>
      <c r="Y608" s="2"/>
      <c r="AD608" s="1"/>
      <c r="AG608" s="2"/>
      <c r="AL608" s="1"/>
      <c r="AO608" s="2"/>
      <c r="AT608" s="1"/>
      <c r="AW608" s="2"/>
      <c r="BB608" s="1"/>
    </row>
    <row r="609" spans="2:54" ht="14.7" hidden="1" customHeight="1" x14ac:dyDescent="0.3">
      <c r="B609" s="6" t="s">
        <v>89</v>
      </c>
      <c r="C609" s="5" t="s">
        <v>88</v>
      </c>
      <c r="D609" s="5" t="s">
        <v>69</v>
      </c>
      <c r="I609" s="3"/>
      <c r="N609" s="1"/>
      <c r="Q609" s="2"/>
      <c r="V609" s="1"/>
      <c r="Y609" s="2"/>
      <c r="AD609" s="1"/>
      <c r="AG609" s="2"/>
      <c r="AL609" s="1"/>
      <c r="AO609" s="2"/>
      <c r="AT609" s="1"/>
      <c r="AW609" s="2"/>
      <c r="BB609" s="1"/>
    </row>
    <row r="610" spans="2:54" ht="14.7" hidden="1" customHeight="1" x14ac:dyDescent="0.3">
      <c r="B610" s="6" t="s">
        <v>87</v>
      </c>
      <c r="C610" s="5" t="s">
        <v>86</v>
      </c>
      <c r="D610" s="5" t="s">
        <v>69</v>
      </c>
      <c r="I610" s="3"/>
      <c r="N610" s="1"/>
      <c r="Q610" s="2"/>
      <c r="V610" s="1"/>
      <c r="Y610" s="2"/>
      <c r="AD610" s="1"/>
      <c r="AG610" s="2"/>
      <c r="AL610" s="1"/>
      <c r="AO610" s="2"/>
      <c r="AT610" s="1"/>
      <c r="AW610" s="2"/>
      <c r="BB610" s="1"/>
    </row>
    <row r="611" spans="2:54" ht="14.7" hidden="1" customHeight="1" x14ac:dyDescent="0.3">
      <c r="B611" s="6" t="s">
        <v>85</v>
      </c>
      <c r="C611" s="5" t="s">
        <v>84</v>
      </c>
      <c r="D611" s="5" t="s">
        <v>69</v>
      </c>
      <c r="I611" s="3"/>
      <c r="N611" s="1"/>
      <c r="Q611" s="2"/>
      <c r="V611" s="1"/>
      <c r="Y611" s="2"/>
      <c r="AD611" s="1"/>
      <c r="AG611" s="2"/>
      <c r="AL611" s="1"/>
      <c r="AO611" s="2"/>
      <c r="AT611" s="1"/>
      <c r="AW611" s="2"/>
      <c r="BB611" s="1"/>
    </row>
    <row r="612" spans="2:54" ht="14.7" hidden="1" customHeight="1" x14ac:dyDescent="0.3">
      <c r="B612" s="6" t="s">
        <v>83</v>
      </c>
      <c r="C612" s="5" t="s">
        <v>82</v>
      </c>
      <c r="D612" s="5" t="s">
        <v>69</v>
      </c>
      <c r="I612" s="3"/>
      <c r="N612" s="1"/>
      <c r="Q612" s="2"/>
      <c r="V612" s="1"/>
      <c r="Y612" s="2"/>
      <c r="AD612" s="1"/>
      <c r="AG612" s="2"/>
      <c r="AL612" s="1"/>
      <c r="AO612" s="2"/>
      <c r="AT612" s="1"/>
      <c r="AW612" s="2"/>
      <c r="BB612" s="1"/>
    </row>
    <row r="613" spans="2:54" ht="14.7" hidden="1" customHeight="1" x14ac:dyDescent="0.3">
      <c r="B613" s="6" t="s">
        <v>81</v>
      </c>
      <c r="C613" s="5" t="s">
        <v>80</v>
      </c>
      <c r="D613" s="5" t="s">
        <v>69</v>
      </c>
      <c r="I613" s="3"/>
      <c r="N613" s="1"/>
      <c r="Q613" s="2"/>
      <c r="V613" s="1"/>
      <c r="Y613" s="2"/>
      <c r="AD613" s="1"/>
      <c r="AG613" s="2"/>
      <c r="AL613" s="1"/>
      <c r="AO613" s="2"/>
      <c r="AT613" s="1"/>
      <c r="AW613" s="2"/>
      <c r="BB613" s="1"/>
    </row>
    <row r="614" spans="2:54" ht="14.7" hidden="1" customHeight="1" x14ac:dyDescent="0.3">
      <c r="B614" s="6" t="s">
        <v>79</v>
      </c>
      <c r="C614" s="5" t="s">
        <v>78</v>
      </c>
      <c r="D614" s="5" t="s">
        <v>69</v>
      </c>
      <c r="I614" s="3"/>
      <c r="N614" s="1"/>
      <c r="Q614" s="2"/>
      <c r="V614" s="1"/>
      <c r="Y614" s="2"/>
      <c r="AD614" s="1"/>
      <c r="AG614" s="2"/>
      <c r="AL614" s="1"/>
      <c r="AO614" s="2"/>
      <c r="AT614" s="1"/>
      <c r="AW614" s="2"/>
      <c r="BB614" s="1"/>
    </row>
    <row r="615" spans="2:54" ht="14.7" hidden="1" customHeight="1" x14ac:dyDescent="0.3">
      <c r="B615" s="6" t="s">
        <v>77</v>
      </c>
      <c r="C615" s="5" t="s">
        <v>76</v>
      </c>
      <c r="D615" s="5" t="s">
        <v>69</v>
      </c>
      <c r="I615" s="3"/>
      <c r="N615" s="1"/>
      <c r="Q615" s="2"/>
      <c r="V615" s="1"/>
      <c r="Y615" s="2"/>
      <c r="AD615" s="1"/>
      <c r="AG615" s="2"/>
      <c r="AL615" s="1"/>
      <c r="AO615" s="2"/>
      <c r="AT615" s="1"/>
      <c r="AW615" s="2"/>
      <c r="BB615" s="1"/>
    </row>
    <row r="616" spans="2:54" ht="14.7" hidden="1" customHeight="1" x14ac:dyDescent="0.3">
      <c r="B616" s="6" t="s">
        <v>75</v>
      </c>
      <c r="C616" s="5" t="s">
        <v>74</v>
      </c>
      <c r="D616" s="5" t="s">
        <v>69</v>
      </c>
      <c r="I616" s="3"/>
      <c r="N616" s="1"/>
      <c r="Q616" s="2"/>
      <c r="V616" s="1"/>
      <c r="Y616" s="2"/>
      <c r="AD616" s="1"/>
      <c r="AG616" s="2"/>
      <c r="AL616" s="1"/>
      <c r="AO616" s="2"/>
      <c r="AT616" s="1"/>
      <c r="AW616" s="2"/>
      <c r="BB616" s="1"/>
    </row>
    <row r="617" spans="2:54" ht="14.7" hidden="1" customHeight="1" x14ac:dyDescent="0.3">
      <c r="B617" s="6" t="s">
        <v>73</v>
      </c>
      <c r="C617" s="5" t="s">
        <v>72</v>
      </c>
      <c r="D617" s="5" t="s">
        <v>69</v>
      </c>
      <c r="I617" s="3"/>
      <c r="N617" s="1"/>
      <c r="Q617" s="2"/>
      <c r="V617" s="1"/>
      <c r="Y617" s="2"/>
      <c r="AD617" s="1"/>
      <c r="AG617" s="2"/>
      <c r="AL617" s="1"/>
      <c r="AO617" s="2"/>
      <c r="AT617" s="1"/>
      <c r="AW617" s="2"/>
      <c r="BB617" s="1"/>
    </row>
    <row r="618" spans="2:54" ht="14.7" hidden="1" customHeight="1" x14ac:dyDescent="0.3">
      <c r="B618" s="6" t="s">
        <v>71</v>
      </c>
      <c r="C618" s="5" t="s">
        <v>70</v>
      </c>
      <c r="D618" s="5" t="s">
        <v>69</v>
      </c>
      <c r="I618" s="3"/>
      <c r="N618" s="1"/>
      <c r="Q618" s="2"/>
      <c r="V618" s="1"/>
      <c r="Y618" s="2"/>
      <c r="AD618" s="1"/>
      <c r="AG618" s="2"/>
      <c r="AL618" s="1"/>
      <c r="AO618" s="2"/>
      <c r="AT618" s="1"/>
      <c r="AW618" s="2"/>
      <c r="BB618" s="1"/>
    </row>
    <row r="619" spans="2:54" ht="14.7" hidden="1" customHeight="1" x14ac:dyDescent="0.3">
      <c r="B619" s="6" t="s">
        <v>68</v>
      </c>
      <c r="C619" s="5" t="s">
        <v>67</v>
      </c>
      <c r="D619" s="5" t="s">
        <v>48</v>
      </c>
      <c r="I619" s="3"/>
      <c r="N619" s="1"/>
      <c r="Q619" s="2"/>
      <c r="V619" s="1"/>
      <c r="Y619" s="2"/>
      <c r="AD619" s="1"/>
      <c r="AG619" s="2"/>
      <c r="AL619" s="1"/>
      <c r="AO619" s="2"/>
      <c r="AT619" s="1"/>
      <c r="AW619" s="2"/>
      <c r="BB619" s="1"/>
    </row>
    <row r="620" spans="2:54" ht="14.7" hidden="1" customHeight="1" x14ac:dyDescent="0.3">
      <c r="B620" s="6" t="s">
        <v>66</v>
      </c>
      <c r="C620" s="5" t="s">
        <v>65</v>
      </c>
      <c r="D620" s="5" t="s">
        <v>48</v>
      </c>
      <c r="I620" s="3"/>
      <c r="N620" s="1"/>
      <c r="Q620" s="2"/>
      <c r="V620" s="1"/>
      <c r="Y620" s="2"/>
      <c r="AD620" s="1"/>
      <c r="AG620" s="2"/>
      <c r="AL620" s="1"/>
      <c r="AO620" s="2"/>
      <c r="AT620" s="1"/>
      <c r="AW620" s="2"/>
      <c r="BB620" s="1"/>
    </row>
    <row r="621" spans="2:54" ht="14.7" hidden="1" customHeight="1" x14ac:dyDescent="0.3">
      <c r="B621" s="6" t="s">
        <v>64</v>
      </c>
      <c r="C621" s="5" t="s">
        <v>63</v>
      </c>
      <c r="D621" s="5" t="s">
        <v>48</v>
      </c>
      <c r="I621" s="3"/>
      <c r="N621" s="1"/>
      <c r="Q621" s="2"/>
      <c r="V621" s="1"/>
      <c r="Y621" s="2"/>
      <c r="AD621" s="1"/>
      <c r="AG621" s="2"/>
      <c r="AL621" s="1"/>
      <c r="AO621" s="2"/>
      <c r="AT621" s="1"/>
      <c r="AW621" s="2"/>
      <c r="BB621" s="1"/>
    </row>
    <row r="622" spans="2:54" ht="14.7" hidden="1" customHeight="1" x14ac:dyDescent="0.3">
      <c r="B622" s="6" t="s">
        <v>62</v>
      </c>
      <c r="C622" s="5" t="s">
        <v>61</v>
      </c>
      <c r="D622" s="5" t="s">
        <v>48</v>
      </c>
      <c r="I622" s="3"/>
      <c r="N622" s="1"/>
      <c r="Q622" s="2"/>
      <c r="V622" s="1"/>
      <c r="Y622" s="2"/>
      <c r="AD622" s="1"/>
      <c r="AG622" s="2"/>
      <c r="AL622" s="1"/>
      <c r="AO622" s="2"/>
      <c r="AT622" s="1"/>
      <c r="AW622" s="2"/>
      <c r="BB622" s="1"/>
    </row>
    <row r="623" spans="2:54" ht="14.7" hidden="1" customHeight="1" x14ac:dyDescent="0.3">
      <c r="B623" s="6" t="s">
        <v>60</v>
      </c>
      <c r="C623" s="5" t="s">
        <v>59</v>
      </c>
      <c r="D623" s="5" t="s">
        <v>48</v>
      </c>
      <c r="I623" s="3"/>
      <c r="N623" s="1"/>
      <c r="Q623" s="2"/>
      <c r="V623" s="1"/>
      <c r="Y623" s="2"/>
      <c r="AD623" s="1"/>
      <c r="AG623" s="2"/>
      <c r="AL623" s="1"/>
      <c r="AO623" s="2"/>
      <c r="AT623" s="1"/>
      <c r="AW623" s="2"/>
      <c r="BB623" s="1"/>
    </row>
    <row r="624" spans="2:54" ht="14.7" hidden="1" customHeight="1" x14ac:dyDescent="0.3">
      <c r="B624" s="6" t="s">
        <v>58</v>
      </c>
      <c r="C624" s="5" t="s">
        <v>57</v>
      </c>
      <c r="D624" s="5" t="s">
        <v>48</v>
      </c>
      <c r="I624" s="3"/>
      <c r="N624" s="1"/>
      <c r="Q624" s="2"/>
      <c r="V624" s="1"/>
      <c r="Y624" s="2"/>
      <c r="AD624" s="1"/>
      <c r="AG624" s="2"/>
      <c r="AL624" s="1"/>
      <c r="AO624" s="2"/>
      <c r="AT624" s="1"/>
      <c r="AW624" s="2"/>
      <c r="BB624" s="1"/>
    </row>
    <row r="625" spans="2:54" ht="14.7" hidden="1" customHeight="1" x14ac:dyDescent="0.3">
      <c r="B625" s="6" t="s">
        <v>56</v>
      </c>
      <c r="C625" s="5" t="s">
        <v>55</v>
      </c>
      <c r="D625" s="5" t="s">
        <v>48</v>
      </c>
      <c r="I625" s="3"/>
      <c r="N625" s="1"/>
      <c r="Q625" s="2"/>
      <c r="V625" s="1"/>
      <c r="Y625" s="2"/>
      <c r="AD625" s="1"/>
      <c r="AG625" s="2"/>
      <c r="AL625" s="1"/>
      <c r="AO625" s="2"/>
      <c r="AT625" s="1"/>
      <c r="AW625" s="2"/>
      <c r="BB625" s="1"/>
    </row>
    <row r="626" spans="2:54" ht="14.7" hidden="1" customHeight="1" x14ac:dyDescent="0.3">
      <c r="B626" s="6" t="s">
        <v>54</v>
      </c>
      <c r="C626" s="5" t="s">
        <v>53</v>
      </c>
      <c r="D626" s="5" t="s">
        <v>48</v>
      </c>
      <c r="I626" s="3"/>
      <c r="N626" s="1"/>
      <c r="Q626" s="2"/>
      <c r="V626" s="1"/>
      <c r="Y626" s="2"/>
      <c r="AD626" s="1"/>
      <c r="AG626" s="2"/>
      <c r="AL626" s="1"/>
      <c r="AO626" s="2"/>
      <c r="AT626" s="1"/>
      <c r="AW626" s="2"/>
      <c r="BB626" s="1"/>
    </row>
    <row r="627" spans="2:54" ht="14.7" hidden="1" customHeight="1" x14ac:dyDescent="0.3">
      <c r="B627" s="6" t="s">
        <v>52</v>
      </c>
      <c r="C627" s="5" t="s">
        <v>51</v>
      </c>
      <c r="D627" s="5" t="s">
        <v>48</v>
      </c>
      <c r="I627" s="3"/>
      <c r="N627" s="1"/>
      <c r="Q627" s="2"/>
      <c r="V627" s="1"/>
      <c r="Y627" s="2"/>
      <c r="AD627" s="1"/>
      <c r="AG627" s="2"/>
      <c r="AL627" s="1"/>
      <c r="AO627" s="2"/>
      <c r="AT627" s="1"/>
      <c r="AW627" s="2"/>
      <c r="BB627" s="1"/>
    </row>
    <row r="628" spans="2:54" ht="14.7" hidden="1" customHeight="1" x14ac:dyDescent="0.3">
      <c r="B628" s="6" t="s">
        <v>50</v>
      </c>
      <c r="C628" s="5" t="s">
        <v>49</v>
      </c>
      <c r="D628" s="5" t="s">
        <v>48</v>
      </c>
      <c r="I628" s="3"/>
      <c r="N628" s="1"/>
      <c r="Q628" s="2"/>
      <c r="V628" s="1"/>
      <c r="Y628" s="2"/>
      <c r="AD628" s="1"/>
      <c r="AG628" s="2"/>
      <c r="AL628" s="1"/>
      <c r="AO628" s="2"/>
      <c r="AT628" s="1"/>
      <c r="AW628" s="2"/>
      <c r="BB628" s="1"/>
    </row>
    <row r="629" spans="2:54" ht="14.7" hidden="1" customHeight="1" x14ac:dyDescent="0.3">
      <c r="B629" s="6" t="s">
        <v>47</v>
      </c>
      <c r="C629" s="5" t="s">
        <v>46</v>
      </c>
      <c r="D629" s="5" t="s">
        <v>15</v>
      </c>
      <c r="I629" s="3"/>
      <c r="N629" s="1"/>
      <c r="Q629" s="2"/>
      <c r="V629" s="1"/>
      <c r="Y629" s="2"/>
      <c r="AD629" s="1"/>
      <c r="AG629" s="2"/>
      <c r="AL629" s="1"/>
      <c r="AO629" s="2"/>
      <c r="AT629" s="1"/>
      <c r="AW629" s="2"/>
      <c r="BB629" s="1"/>
    </row>
    <row r="630" spans="2:54" ht="14.7" hidden="1" customHeight="1" x14ac:dyDescent="0.3">
      <c r="B630" s="6" t="s">
        <v>45</v>
      </c>
      <c r="C630" s="5" t="s">
        <v>44</v>
      </c>
      <c r="D630" s="5" t="s">
        <v>15</v>
      </c>
      <c r="I630" s="3"/>
      <c r="N630" s="1"/>
      <c r="Q630" s="2"/>
      <c r="V630" s="1"/>
      <c r="Y630" s="2"/>
      <c r="AD630" s="1"/>
      <c r="AG630" s="2"/>
      <c r="AL630" s="1"/>
      <c r="AO630" s="2"/>
      <c r="AT630" s="1"/>
      <c r="AW630" s="2"/>
      <c r="BB630" s="1"/>
    </row>
    <row r="631" spans="2:54" ht="14.7" hidden="1" customHeight="1" x14ac:dyDescent="0.3">
      <c r="B631" s="6" t="s">
        <v>43</v>
      </c>
      <c r="C631" s="5" t="s">
        <v>42</v>
      </c>
      <c r="D631" s="5" t="s">
        <v>15</v>
      </c>
      <c r="I631" s="3"/>
      <c r="N631" s="1"/>
      <c r="Q631" s="2"/>
      <c r="V631" s="1"/>
      <c r="Y631" s="2"/>
      <c r="AD631" s="1"/>
      <c r="AG631" s="2"/>
      <c r="AL631" s="1"/>
      <c r="AO631" s="2"/>
      <c r="AT631" s="1"/>
      <c r="AW631" s="2"/>
      <c r="BB631" s="1"/>
    </row>
    <row r="632" spans="2:54" ht="14.7" hidden="1" customHeight="1" x14ac:dyDescent="0.3">
      <c r="B632" s="6" t="s">
        <v>41</v>
      </c>
      <c r="C632" s="5" t="s">
        <v>40</v>
      </c>
      <c r="D632" s="5" t="s">
        <v>15</v>
      </c>
      <c r="I632" s="3"/>
      <c r="N632" s="1"/>
      <c r="Q632" s="2"/>
      <c r="V632" s="1"/>
      <c r="Y632" s="2"/>
      <c r="AD632" s="1"/>
      <c r="AG632" s="2"/>
      <c r="AL632" s="1"/>
      <c r="AO632" s="2"/>
      <c r="AT632" s="1"/>
      <c r="AW632" s="2"/>
      <c r="BB632" s="1"/>
    </row>
    <row r="633" spans="2:54" ht="14.7" hidden="1" customHeight="1" x14ac:dyDescent="0.3">
      <c r="B633" s="6" t="s">
        <v>39</v>
      </c>
      <c r="C633" s="5" t="s">
        <v>38</v>
      </c>
      <c r="D633" s="5" t="s">
        <v>15</v>
      </c>
      <c r="I633" s="3"/>
      <c r="N633" s="1"/>
      <c r="Q633" s="2"/>
      <c r="V633" s="1"/>
      <c r="Y633" s="2"/>
      <c r="AD633" s="1"/>
      <c r="AG633" s="2"/>
      <c r="AL633" s="1"/>
      <c r="AO633" s="2"/>
      <c r="AT633" s="1"/>
      <c r="AW633" s="2"/>
      <c r="BB633" s="1"/>
    </row>
    <row r="634" spans="2:54" ht="14.7" hidden="1" customHeight="1" x14ac:dyDescent="0.3">
      <c r="B634" s="6" t="s">
        <v>37</v>
      </c>
      <c r="C634" s="5" t="s">
        <v>36</v>
      </c>
      <c r="D634" s="5" t="s">
        <v>15</v>
      </c>
      <c r="I634" s="3"/>
      <c r="N634" s="1"/>
      <c r="Q634" s="2"/>
      <c r="V634" s="1"/>
      <c r="Y634" s="2"/>
      <c r="AD634" s="1"/>
      <c r="AG634" s="2"/>
      <c r="AL634" s="1"/>
      <c r="AO634" s="2"/>
      <c r="AT634" s="1"/>
      <c r="AW634" s="2"/>
      <c r="BB634" s="1"/>
    </row>
    <row r="635" spans="2:54" ht="14.7" hidden="1" customHeight="1" x14ac:dyDescent="0.3">
      <c r="B635" s="6" t="s">
        <v>35</v>
      </c>
      <c r="C635" s="5" t="s">
        <v>34</v>
      </c>
      <c r="D635" s="5" t="s">
        <v>15</v>
      </c>
      <c r="I635" s="3"/>
      <c r="N635" s="1"/>
      <c r="Q635" s="2"/>
      <c r="V635" s="1"/>
      <c r="Y635" s="2"/>
      <c r="AD635" s="1"/>
      <c r="AG635" s="2"/>
      <c r="AL635" s="1"/>
      <c r="AO635" s="2"/>
      <c r="AT635" s="1"/>
      <c r="AW635" s="2"/>
      <c r="BB635" s="1"/>
    </row>
    <row r="636" spans="2:54" ht="14.7" hidden="1" customHeight="1" x14ac:dyDescent="0.3">
      <c r="B636" s="6" t="s">
        <v>33</v>
      </c>
      <c r="C636" s="5" t="s">
        <v>32</v>
      </c>
      <c r="D636" s="5" t="s">
        <v>15</v>
      </c>
      <c r="I636" s="3"/>
      <c r="N636" s="1"/>
      <c r="Q636" s="2"/>
      <c r="V636" s="1"/>
      <c r="Y636" s="2"/>
      <c r="AD636" s="1"/>
      <c r="AG636" s="2"/>
      <c r="AL636" s="1"/>
      <c r="AO636" s="2"/>
      <c r="AT636" s="1"/>
      <c r="AW636" s="2"/>
      <c r="BB636" s="1"/>
    </row>
    <row r="637" spans="2:54" ht="14.7" hidden="1" customHeight="1" x14ac:dyDescent="0.3">
      <c r="B637" s="7" t="s">
        <v>31</v>
      </c>
      <c r="C637" s="5" t="s">
        <v>30</v>
      </c>
      <c r="D637" s="5" t="s">
        <v>15</v>
      </c>
      <c r="I637" s="3"/>
      <c r="N637" s="1"/>
      <c r="Q637" s="2"/>
      <c r="V637" s="1"/>
      <c r="Y637" s="2"/>
      <c r="AD637" s="1"/>
      <c r="AG637" s="2"/>
      <c r="AL637" s="1"/>
      <c r="AO637" s="2"/>
      <c r="AT637" s="1"/>
      <c r="AW637" s="2"/>
      <c r="BB637" s="1"/>
    </row>
    <row r="638" spans="2:54" ht="14.7" hidden="1" customHeight="1" x14ac:dyDescent="0.3">
      <c r="B638" s="7" t="s">
        <v>29</v>
      </c>
      <c r="C638" s="5" t="s">
        <v>28</v>
      </c>
      <c r="D638" s="5" t="s">
        <v>15</v>
      </c>
      <c r="I638" s="3"/>
      <c r="N638" s="1"/>
      <c r="Q638" s="2"/>
      <c r="V638" s="1"/>
      <c r="Y638" s="2"/>
      <c r="AD638" s="1"/>
      <c r="AG638" s="2"/>
      <c r="AL638" s="1"/>
      <c r="AO638" s="2"/>
      <c r="AT638" s="1"/>
      <c r="AW638" s="2"/>
      <c r="BB638" s="1"/>
    </row>
    <row r="639" spans="2:54" ht="14.7" hidden="1" customHeight="1" x14ac:dyDescent="0.3">
      <c r="B639" s="6" t="s">
        <v>27</v>
      </c>
      <c r="C639" s="5" t="s">
        <v>26</v>
      </c>
      <c r="D639" s="5" t="s">
        <v>15</v>
      </c>
      <c r="I639" s="3"/>
      <c r="N639" s="1"/>
      <c r="Q639" s="2"/>
      <c r="V639" s="1"/>
      <c r="Y639" s="2"/>
      <c r="AD639" s="1"/>
      <c r="AG639" s="2"/>
      <c r="AL639" s="1"/>
      <c r="AO639" s="2"/>
      <c r="AT639" s="1"/>
      <c r="AW639" s="2"/>
      <c r="BB639" s="1"/>
    </row>
    <row r="640" spans="2:54" ht="14.7" hidden="1" customHeight="1" x14ac:dyDescent="0.3">
      <c r="B640" s="6" t="s">
        <v>25</v>
      </c>
      <c r="C640" s="5" t="s">
        <v>24</v>
      </c>
      <c r="D640" s="5" t="s">
        <v>15</v>
      </c>
      <c r="I640" s="3"/>
      <c r="N640" s="1"/>
      <c r="Q640" s="2"/>
      <c r="V640" s="1"/>
      <c r="Y640" s="2"/>
      <c r="AD640" s="1"/>
      <c r="AG640" s="2"/>
      <c r="AL640" s="1"/>
      <c r="AO640" s="2"/>
      <c r="AT640" s="1"/>
      <c r="AW640" s="2"/>
      <c r="BB640" s="1"/>
    </row>
    <row r="641" spans="2:57" ht="14.7" hidden="1" customHeight="1" x14ac:dyDescent="0.3">
      <c r="B641" s="6" t="s">
        <v>23</v>
      </c>
      <c r="C641" s="5" t="s">
        <v>22</v>
      </c>
      <c r="D641" s="5" t="s">
        <v>15</v>
      </c>
      <c r="I641" s="3"/>
      <c r="N641" s="1"/>
      <c r="Q641" s="2"/>
      <c r="V641" s="1"/>
      <c r="Y641" s="2"/>
      <c r="AD641" s="1"/>
      <c r="AG641" s="2"/>
      <c r="AL641" s="1"/>
      <c r="AO641" s="2"/>
      <c r="AT641" s="1"/>
      <c r="AW641" s="2"/>
      <c r="BB641" s="1"/>
    </row>
    <row r="642" spans="2:57" ht="14.7" hidden="1" customHeight="1" x14ac:dyDescent="0.3">
      <c r="B642" s="7" t="s">
        <v>21</v>
      </c>
      <c r="C642" t="s">
        <v>20</v>
      </c>
      <c r="D642" s="5" t="s">
        <v>15</v>
      </c>
      <c r="I642" s="3"/>
      <c r="N642" s="1"/>
      <c r="Q642" s="2"/>
      <c r="V642" s="1"/>
      <c r="Y642" s="2"/>
      <c r="AD642" s="1"/>
      <c r="AG642" s="2"/>
      <c r="AL642" s="1"/>
      <c r="AO642" s="2"/>
      <c r="AT642" s="1"/>
      <c r="AW642" s="2"/>
      <c r="BB642" s="1"/>
    </row>
    <row r="643" spans="2:57" ht="14.7" hidden="1" customHeight="1" x14ac:dyDescent="0.3">
      <c r="B643" s="6" t="s">
        <v>19</v>
      </c>
      <c r="C643" s="5" t="s">
        <v>18</v>
      </c>
      <c r="D643" s="5" t="s">
        <v>15</v>
      </c>
      <c r="I643" s="3"/>
      <c r="N643" s="1"/>
      <c r="Q643" s="2"/>
      <c r="V643" s="1"/>
      <c r="Y643" s="2"/>
      <c r="AD643" s="1"/>
      <c r="AG643" s="2"/>
      <c r="AL643" s="1"/>
      <c r="AO643" s="2"/>
      <c r="AT643" s="1"/>
      <c r="AW643" s="2"/>
      <c r="BB643" s="1"/>
    </row>
    <row r="644" spans="2:57" ht="14.7" hidden="1" customHeight="1" x14ac:dyDescent="0.3">
      <c r="B644" s="6" t="s">
        <v>17</v>
      </c>
      <c r="C644" s="5" t="s">
        <v>16</v>
      </c>
      <c r="D644" s="5" t="s">
        <v>15</v>
      </c>
      <c r="I644" s="3"/>
      <c r="N644" s="1"/>
      <c r="Q644" s="2"/>
      <c r="V644" s="1"/>
      <c r="Y644" s="2"/>
      <c r="AD644" s="1"/>
      <c r="AG644" s="2"/>
      <c r="AL644" s="1"/>
      <c r="AO644" s="2"/>
      <c r="AT644" s="1"/>
      <c r="AW644" s="2"/>
      <c r="BB644" s="1"/>
    </row>
    <row r="645" spans="2:57" ht="14.7" hidden="1" customHeight="1" x14ac:dyDescent="0.3">
      <c r="B645" s="6" t="s">
        <v>14</v>
      </c>
      <c r="C645" s="5" t="s">
        <v>13</v>
      </c>
      <c r="D645" s="5" t="s">
        <v>0</v>
      </c>
      <c r="I645" s="3"/>
      <c r="N645" s="1"/>
      <c r="Q645" s="2"/>
      <c r="V645" s="1"/>
      <c r="Y645" s="2"/>
      <c r="AD645" s="1"/>
      <c r="AG645" s="2"/>
      <c r="AL645" s="1"/>
      <c r="AO645" s="2"/>
      <c r="AT645" s="1"/>
      <c r="AW645" s="2"/>
      <c r="BB645" s="1"/>
    </row>
    <row r="646" spans="2:57" ht="14.7" hidden="1" customHeight="1" x14ac:dyDescent="0.3">
      <c r="B646" s="7" t="s">
        <v>12</v>
      </c>
      <c r="C646" s="5" t="s">
        <v>11</v>
      </c>
      <c r="D646" s="5" t="s">
        <v>0</v>
      </c>
    </row>
    <row r="647" spans="2:57" ht="14.7" hidden="1" customHeight="1" x14ac:dyDescent="0.3">
      <c r="B647" s="6" t="s">
        <v>10</v>
      </c>
      <c r="C647" s="5" t="s">
        <v>9</v>
      </c>
      <c r="D647" s="5" t="s">
        <v>0</v>
      </c>
    </row>
    <row r="648" spans="2:57" ht="14.7" hidden="1" customHeight="1" x14ac:dyDescent="0.3">
      <c r="B648" s="7" t="s">
        <v>8</v>
      </c>
      <c r="C648" s="5" t="s">
        <v>7</v>
      </c>
      <c r="D648" s="5" t="s">
        <v>0</v>
      </c>
    </row>
    <row r="649" spans="2:57" s="4" customFormat="1" ht="14.7" hidden="1" customHeight="1" x14ac:dyDescent="0.3">
      <c r="B649" s="6" t="s">
        <v>6</v>
      </c>
      <c r="C649" s="5" t="s">
        <v>5</v>
      </c>
      <c r="D649" s="5" t="s">
        <v>0</v>
      </c>
      <c r="J649" s="3"/>
      <c r="O649" s="1"/>
      <c r="P649" s="1"/>
      <c r="Q649" s="1"/>
      <c r="R649" s="2"/>
      <c r="W649" s="1"/>
      <c r="X649" s="1"/>
      <c r="Y649" s="1"/>
      <c r="Z649" s="2"/>
      <c r="AE649" s="1"/>
      <c r="AF649" s="1"/>
      <c r="AG649" s="1"/>
      <c r="AH649" s="2"/>
      <c r="AM649" s="1"/>
      <c r="AN649" s="1"/>
      <c r="AO649" s="1"/>
      <c r="AP649" s="2"/>
      <c r="AU649" s="1"/>
      <c r="AV649" s="1"/>
      <c r="AW649" s="1"/>
      <c r="AX649" s="2"/>
      <c r="BC649" s="1"/>
      <c r="BD649" s="1"/>
      <c r="BE649" s="1"/>
    </row>
    <row r="650" spans="2:57" s="4" customFormat="1" ht="14.7" hidden="1" customHeight="1" x14ac:dyDescent="0.3">
      <c r="B650" s="6" t="s">
        <v>4</v>
      </c>
      <c r="C650" s="5" t="s">
        <v>3</v>
      </c>
      <c r="D650" s="5" t="s">
        <v>0</v>
      </c>
      <c r="J650" s="3"/>
      <c r="O650" s="1"/>
      <c r="P650" s="1"/>
      <c r="Q650" s="1"/>
      <c r="R650" s="2"/>
      <c r="W650" s="1"/>
      <c r="X650" s="1"/>
      <c r="Y650" s="1"/>
      <c r="Z650" s="2"/>
      <c r="AE650" s="1"/>
      <c r="AF650" s="1"/>
      <c r="AG650" s="1"/>
      <c r="AH650" s="2"/>
      <c r="AM650" s="1"/>
      <c r="AN650" s="1"/>
      <c r="AO650" s="1"/>
      <c r="AP650" s="2"/>
      <c r="AU650" s="1"/>
      <c r="AV650" s="1"/>
      <c r="AW650" s="1"/>
      <c r="AX650" s="2"/>
      <c r="BC650" s="1"/>
      <c r="BD650" s="1"/>
      <c r="BE650" s="1"/>
    </row>
    <row r="651" spans="2:57" s="4" customFormat="1" ht="14.7" hidden="1" customHeight="1" x14ac:dyDescent="0.3">
      <c r="B651" s="6" t="s">
        <v>2</v>
      </c>
      <c r="C651" s="5" t="s">
        <v>1</v>
      </c>
      <c r="D651" s="5" t="s">
        <v>0</v>
      </c>
      <c r="J651" s="3"/>
      <c r="O651" s="1"/>
      <c r="P651" s="1"/>
      <c r="Q651" s="1"/>
      <c r="R651" s="2"/>
      <c r="W651" s="1"/>
      <c r="X651" s="1"/>
      <c r="Y651" s="1"/>
      <c r="Z651" s="2"/>
      <c r="AE651" s="1"/>
      <c r="AF651" s="1"/>
      <c r="AG651" s="1"/>
      <c r="AH651" s="2"/>
      <c r="AM651" s="1"/>
      <c r="AN651" s="1"/>
      <c r="AO651" s="1"/>
      <c r="AP651" s="2"/>
      <c r="AU651" s="1"/>
      <c r="AV651" s="1"/>
      <c r="AW651" s="1"/>
      <c r="AX651" s="2"/>
      <c r="BC651" s="1"/>
      <c r="BD651" s="1"/>
      <c r="BE651" s="1"/>
    </row>
  </sheetData>
  <mergeCells count="109">
    <mergeCell ref="C5:H5"/>
    <mergeCell ref="K10:Q10"/>
    <mergeCell ref="S10:Y10"/>
    <mergeCell ref="AA10:AG10"/>
    <mergeCell ref="AI10:AO10"/>
    <mergeCell ref="AQ10:AW10"/>
    <mergeCell ref="AP21:AP28"/>
    <mergeCell ref="AX21:AX28"/>
    <mergeCell ref="AY10:BB10"/>
    <mergeCell ref="B11:B18"/>
    <mergeCell ref="J11:J18"/>
    <mergeCell ref="R11:R18"/>
    <mergeCell ref="Z11:Z18"/>
    <mergeCell ref="AH11:AH18"/>
    <mergeCell ref="AP11:AP18"/>
    <mergeCell ref="AX11:AX18"/>
    <mergeCell ref="AY30:BB30"/>
    <mergeCell ref="B31:B40"/>
    <mergeCell ref="J31:J40"/>
    <mergeCell ref="R31:R40"/>
    <mergeCell ref="Z31:Z40"/>
    <mergeCell ref="AH31:AH40"/>
    <mergeCell ref="AP31:AP40"/>
    <mergeCell ref="AX31:AX40"/>
    <mergeCell ref="K19:Q19"/>
    <mergeCell ref="S19:Y19"/>
    <mergeCell ref="AA19:AG19"/>
    <mergeCell ref="AI19:AO19"/>
    <mergeCell ref="AQ19:AW19"/>
    <mergeCell ref="K20:Q20"/>
    <mergeCell ref="S20:Y20"/>
    <mergeCell ref="AA20:AG20"/>
    <mergeCell ref="AI20:AO20"/>
    <mergeCell ref="AQ20:AW20"/>
    <mergeCell ref="AY20:BB20"/>
    <mergeCell ref="B21:B28"/>
    <mergeCell ref="J21:J28"/>
    <mergeCell ref="R21:R28"/>
    <mergeCell ref="Z21:Z28"/>
    <mergeCell ref="AH21:AH28"/>
    <mergeCell ref="AP43:AP50"/>
    <mergeCell ref="AX43:AX50"/>
    <mergeCell ref="K29:Q29"/>
    <mergeCell ref="S29:Y29"/>
    <mergeCell ref="AA29:AG29"/>
    <mergeCell ref="AI29:AO29"/>
    <mergeCell ref="AQ29:AW29"/>
    <mergeCell ref="K30:Q30"/>
    <mergeCell ref="S30:Y30"/>
    <mergeCell ref="AA30:AG30"/>
    <mergeCell ref="AI30:AO30"/>
    <mergeCell ref="AQ30:AW30"/>
    <mergeCell ref="AY52:BB52"/>
    <mergeCell ref="B53:B60"/>
    <mergeCell ref="J53:J60"/>
    <mergeCell ref="R53:R60"/>
    <mergeCell ref="Z53:Z60"/>
    <mergeCell ref="AH53:AH60"/>
    <mergeCell ref="AP53:AP60"/>
    <mergeCell ref="AX53:AX60"/>
    <mergeCell ref="K41:Q41"/>
    <mergeCell ref="S41:Y41"/>
    <mergeCell ref="AA41:AG41"/>
    <mergeCell ref="AI41:AO41"/>
    <mergeCell ref="AQ41:AW41"/>
    <mergeCell ref="K42:Q42"/>
    <mergeCell ref="S42:Y42"/>
    <mergeCell ref="AA42:AG42"/>
    <mergeCell ref="AI42:AO42"/>
    <mergeCell ref="AQ42:AW42"/>
    <mergeCell ref="AY42:BB42"/>
    <mergeCell ref="B43:B50"/>
    <mergeCell ref="J43:J50"/>
    <mergeCell ref="R43:R50"/>
    <mergeCell ref="Z43:Z50"/>
    <mergeCell ref="AH43:AH50"/>
    <mergeCell ref="K51:Q51"/>
    <mergeCell ref="S51:Y51"/>
    <mergeCell ref="AA51:AG51"/>
    <mergeCell ref="AI51:AO51"/>
    <mergeCell ref="AQ51:AW51"/>
    <mergeCell ref="K52:Q52"/>
    <mergeCell ref="S52:Y52"/>
    <mergeCell ref="AA52:AG52"/>
    <mergeCell ref="AI52:AO52"/>
    <mergeCell ref="AQ52:AW52"/>
    <mergeCell ref="AQ73:AW73"/>
    <mergeCell ref="AY62:BB62"/>
    <mergeCell ref="AX63:AX72"/>
    <mergeCell ref="K61:Q61"/>
    <mergeCell ref="S61:Y61"/>
    <mergeCell ref="AA61:AG61"/>
    <mergeCell ref="AI61:AO61"/>
    <mergeCell ref="AQ61:AW61"/>
    <mergeCell ref="K62:Q62"/>
    <mergeCell ref="S62:Y62"/>
    <mergeCell ref="AA62:AG62"/>
    <mergeCell ref="AI62:AO62"/>
    <mergeCell ref="AQ62:AW62"/>
    <mergeCell ref="B63:B72"/>
    <mergeCell ref="J63:J72"/>
    <mergeCell ref="R63:R72"/>
    <mergeCell ref="Z63:Z72"/>
    <mergeCell ref="AH63:AH72"/>
    <mergeCell ref="AP63:AP72"/>
    <mergeCell ref="K73:Q73"/>
    <mergeCell ref="S73:Y73"/>
    <mergeCell ref="AA73:AG73"/>
    <mergeCell ref="AI73:AO73"/>
  </mergeCells>
  <dataValidations count="3">
    <dataValidation type="list" allowBlank="1" showInputMessage="1" showErrorMessage="1" sqref="AN32:AN40 X64:X72 AV64:AV72 AN64:AN72 AF64:AF72 P64:P72 X54:X60 AV54:AV60 AN54:AN60 AF54:AF60 P54:P60 X12:X18 AF12:AF18 AN12:AN18 AV12:AV18 P12:P18 AV22:AV28 AN22:AN28 AF22:AF28 X32:X40 AF32:AF40 P32:P40 AV32:AV40 P22:P28 X22:X28 AF44:AF50 AN44:AN50 AV44:AV50 X44:X50 P44:P50" xr:uid="{00000000-0002-0000-0000-000000000000}">
      <formula1>$C$96:$C$98</formula1>
    </dataValidation>
    <dataValidation type="list" allowBlank="1" showInputMessage="1" showErrorMessage="1" sqref="AO32:AO40 Y64:Y72 AW64:AW72 AO64:AO72 AG64:AG72 Q64:Q72 Y54:Y60 AW54:AW60 AO54:AO60 AG54:AG60 Q54:Q60 Y12:Y18 AG12:AG18 AO12:AO18 AW12:AW18 Q12:Q18 AW22:AW28 AO22:AO28 AG22:AG28 Y32:Y40 AG32:AG40 Q32:Q40 AW32:AW40 Q22:Q28 Y22:Y28 AG44:AG50 AO44:AO50 AW44:AW50 Y44:Y50 Q44:Q50" xr:uid="{00000000-0002-0000-0000-000001000000}">
      <formula1>$C$97:$C$98</formula1>
    </dataValidation>
    <dataValidation type="list" allowBlank="1" showInputMessage="1" showErrorMessage="1" sqref="D32:D40 D12:D18 D22:D28 D44:D50 D64:D72 D54:D60" xr:uid="{00000000-0002-0000-0000-000002000000}">
      <formula1>INDIRECT(E12)</formula1>
    </dataValidation>
  </dataValidations>
  <pageMargins left="0.7" right="0.7" top="0.75" bottom="0.75" header="0.3" footer="0.3"/>
  <pageSetup orientation="portrait" r:id="rId1"/>
  <drawing r:id="rId2"/>
  <tableParts count="3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 6x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Isaacs</dc:creator>
  <cp:lastModifiedBy>Bryan Blair</cp:lastModifiedBy>
  <dcterms:created xsi:type="dcterms:W3CDTF">2021-11-16T18:19:17Z</dcterms:created>
  <dcterms:modified xsi:type="dcterms:W3CDTF">2022-06-01T04:11:21Z</dcterms:modified>
</cp:coreProperties>
</file>