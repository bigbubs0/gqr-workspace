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filterPrivacy="1" codeName="ThisWorkbook"/>
  <xr:revisionPtr revIDLastSave="0" documentId="8_{F5D8FDE8-A8DB-F840-926C-184EA26F308D}" xr6:coauthVersionLast="45" xr6:coauthVersionMax="45" xr10:uidLastSave="{00000000-0000-0000-0000-000000000000}"/>
  <bookViews>
    <workbookView minimized="1" xWindow="0" yWindow="460" windowWidth="23260" windowHeight="12720" xr2:uid="{00000000-000D-0000-FFFF-FFFF00000000}"/>
  </bookViews>
  <sheets>
    <sheet name="Grocery List" sheetId="1" r:id="rId1"/>
    <sheet name="calculations" sheetId="2" state="hidden" r:id="rId2"/>
  </sheets>
  <definedNames>
    <definedName name="ColumnTitle1">List[[#Headers],[Done]]</definedName>
    <definedName name="GroceryTotal">calculations!$L$4</definedName>
    <definedName name="_xlnm.Print_Titles" localSheetId="0">'Grocery List'!$3:$3</definedName>
    <definedName name="TableAnchor">List[[#Headers],[Done]]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3" i="1" l="1"/>
  <c r="E6" i="2" l="1" a="1"/>
  <c r="E6" i="2" s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E7" i="2" l="1" a="1"/>
  <c r="E7" i="2" s="1"/>
  <c r="F6" i="2"/>
  <c r="G6" i="2" s="1"/>
  <c r="L4" i="2"/>
  <c r="M17" i="1" s="1"/>
  <c r="E8" i="2" l="1" a="1"/>
  <c r="E8" i="2" s="1"/>
  <c r="F8" i="2" s="1"/>
  <c r="G8" i="2" s="1"/>
  <c r="F7" i="2"/>
  <c r="G7" i="2" s="1"/>
  <c r="E9" i="2" l="1" a="1"/>
  <c r="E9" i="2" s="1"/>
  <c r="F9" i="2" s="1"/>
  <c r="G9" i="2" s="1"/>
  <c r="E10" i="2" l="1" a="1"/>
  <c r="E10" i="2" s="1"/>
  <c r="E11" i="2" s="1" a="1"/>
  <c r="E11" i="2" s="1"/>
  <c r="F11" i="2" s="1"/>
  <c r="G11" i="2" s="1"/>
  <c r="E12" i="2" l="1" a="1"/>
  <c r="E12" i="2" s="1"/>
  <c r="F12" i="2" s="1"/>
  <c r="G12" i="2" s="1"/>
  <c r="F10" i="2"/>
  <c r="G10" i="2" s="1"/>
  <c r="E13" i="2" l="1" a="1"/>
  <c r="E13" i="2" s="1"/>
  <c r="F13" i="2" s="1"/>
  <c r="G13" i="2" s="1"/>
  <c r="E14" i="2" l="1" a="1"/>
  <c r="E14" i="2" s="1"/>
  <c r="F14" i="2" s="1"/>
  <c r="G14" i="2" s="1"/>
  <c r="E15" i="2" l="1" a="1"/>
  <c r="E15" i="2" s="1"/>
  <c r="F15" i="2" s="1"/>
  <c r="G15" i="2" s="1"/>
  <c r="E16" i="2" l="1" a="1"/>
  <c r="E16" i="2" s="1"/>
  <c r="F16" i="2" s="1"/>
  <c r="G16" i="2" s="1"/>
  <c r="E17" i="2" l="1" a="1"/>
  <c r="E17" i="2" s="1"/>
  <c r="F17" i="2" s="1"/>
  <c r="G17" i="2" s="1"/>
  <c r="E18" i="2" l="1" a="1"/>
  <c r="E18" i="2" s="1"/>
  <c r="F18" i="2" s="1"/>
  <c r="G18" i="2" s="1"/>
  <c r="E19" i="2" l="1" a="1"/>
  <c r="E19" i="2" s="1"/>
  <c r="F19" i="2" s="1"/>
  <c r="G19" i="2" s="1"/>
  <c r="E20" i="2" l="1" a="1"/>
  <c r="E20" i="2" s="1"/>
  <c r="F20" i="2" s="1"/>
  <c r="G20" i="2" s="1"/>
  <c r="E21" i="2" l="1" a="1"/>
  <c r="E21" i="2" s="1"/>
  <c r="F21" i="2" s="1"/>
  <c r="G21" i="2" s="1"/>
  <c r="H9" i="2" s="1"/>
  <c r="I9" i="2" s="1"/>
  <c r="K9" i="2" s="1"/>
  <c r="L9" i="2" s="1"/>
  <c r="M3" i="1" s="1"/>
  <c r="J9" i="2" l="1"/>
  <c r="M9" i="2" s="1"/>
  <c r="M1" i="1" s="1"/>
  <c r="H6" i="2"/>
  <c r="I6" i="2" s="1"/>
  <c r="K6" i="2" s="1"/>
  <c r="H8" i="2"/>
  <c r="I8" i="2" s="1"/>
  <c r="J8" i="2" s="1"/>
  <c r="M8" i="2" s="1"/>
  <c r="M4" i="1" s="1"/>
  <c r="H7" i="2"/>
  <c r="I7" i="2" s="1"/>
  <c r="K7" i="2" s="1"/>
  <c r="L7" i="2" s="1"/>
  <c r="M8" i="1" s="1"/>
  <c r="J6" i="2"/>
  <c r="M6" i="2" s="1"/>
  <c r="L6" i="2"/>
  <c r="M11" i="1" s="1"/>
  <c r="M10" i="1" l="1"/>
  <c r="M16" i="1"/>
  <c r="J7" i="2"/>
  <c r="M7" i="2" s="1"/>
  <c r="M7" i="1" s="1"/>
  <c r="K8" i="2"/>
  <c r="L8" i="2" s="1"/>
  <c r="M5" i="1" s="1"/>
  <c r="K3" i="2" l="1"/>
  <c r="L3" i="2" s="1"/>
  <c r="M14" i="1" s="1"/>
</calcChain>
</file>

<file path=xl/sharedStrings.xml><?xml version="1.0" encoding="utf-8"?>
<sst xmlns="http://schemas.openxmlformats.org/spreadsheetml/2006/main" count="90" uniqueCount="53">
  <si>
    <t>Oranges</t>
  </si>
  <si>
    <t>lbs</t>
  </si>
  <si>
    <t>Produce</t>
  </si>
  <si>
    <t>Apples</t>
  </si>
  <si>
    <t>Bananas</t>
  </si>
  <si>
    <t>Lettuce</t>
  </si>
  <si>
    <t>Tomatoes</t>
  </si>
  <si>
    <t>Squash</t>
  </si>
  <si>
    <t>Celery</t>
  </si>
  <si>
    <t>Cucumber</t>
  </si>
  <si>
    <t>Mushrooms</t>
  </si>
  <si>
    <t xml:space="preserve">Milk </t>
  </si>
  <si>
    <t>Dairy</t>
  </si>
  <si>
    <t>Cheese</t>
  </si>
  <si>
    <t>Eggs</t>
  </si>
  <si>
    <t>Cottage cheese</t>
  </si>
  <si>
    <t>Sour cream</t>
  </si>
  <si>
    <t>Yogurt</t>
  </si>
  <si>
    <t>Beef</t>
  </si>
  <si>
    <t>Meat</t>
  </si>
  <si>
    <t>Seafood</t>
  </si>
  <si>
    <t>bunch</t>
  </si>
  <si>
    <t>head</t>
  </si>
  <si>
    <t>Wild Salmon</t>
  </si>
  <si>
    <t>Alaskan King Crab Legs</t>
  </si>
  <si>
    <t>***  Sheet to remain hidden ***</t>
  </si>
  <si>
    <t>ITEM</t>
  </si>
  <si>
    <t>CATEGORY</t>
  </si>
  <si>
    <t>QTY</t>
  </si>
  <si>
    <t>UNIT</t>
  </si>
  <si>
    <t>UNIT PRICE</t>
  </si>
  <si>
    <t>TOTAL</t>
  </si>
  <si>
    <t>COMMENT</t>
  </si>
  <si>
    <t>STORE</t>
  </si>
  <si>
    <t>Market</t>
  </si>
  <si>
    <t>Greek with honey</t>
  </si>
  <si>
    <t xml:space="preserve"> Grocery List</t>
  </si>
  <si>
    <t>OTHER TOTAL</t>
  </si>
  <si>
    <t>GROCERY TOTAL</t>
  </si>
  <si>
    <t>Bacon wrapped filets</t>
  </si>
  <si>
    <t>Large portabella</t>
  </si>
  <si>
    <t>Orchard</t>
  </si>
  <si>
    <t>gal</t>
  </si>
  <si>
    <t>doz</t>
  </si>
  <si>
    <t>Fish Market</t>
  </si>
  <si>
    <t>Grocery</t>
  </si>
  <si>
    <t>Have coupon</t>
  </si>
  <si>
    <t>Home Delivery</t>
  </si>
  <si>
    <t>16 oz</t>
  </si>
  <si>
    <t>8 oz</t>
  </si>
  <si>
    <t>each</t>
  </si>
  <si>
    <t>Variety of block cheeses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</si>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</sst>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&quot;$&quot;#,##0.00"/>
    <numFmt numFmtId="169" formatCode="&quot;$&quot;#,##0"/>
    <numFmt numFmtId="170" formatCode="&quot; Done&quot;;&quot;&quot;;&quot;&quot;"/>
    <numFmt numFmtId="171" formatCode=";;;"/>
  </numFmts>
  <fonts count="12" x14ac:knownFonts="1">
    <font>
      <sz val="11"/>
      <color theme="3"/>
      <name val="Euphemia"/>
      <family val="2"/>
      <scheme val="minor"/>
    </font>
    <font>
      <sz val="11"/>
      <color theme="1"/>
      <name val="Euphemia"/>
      <family val="2"/>
      <scheme val="minor"/>
    </font>
    <font>
      <sz val="11"/>
      <color theme="1"/>
      <name val="Euphemia"/>
      <family val="2"/>
      <scheme val="minor"/>
    </font>
    <font>
      <sz val="36"/>
      <color theme="8"/>
      <name val="Franklin Gothic Medium"/>
      <family val="2"/>
      <scheme val="major"/>
    </font>
    <font>
      <b/>
      <sz val="13"/>
      <color theme="3"/>
      <name val="Euphemia"/>
      <family val="2"/>
      <scheme val="minor"/>
    </font>
    <font>
      <b/>
      <sz val="11"/>
      <color theme="3"/>
      <name val="Euphemia"/>
      <family val="2"/>
      <scheme val="minor"/>
    </font>
    <font>
      <b/>
      <sz val="11"/>
      <color theme="1"/>
      <name val="Euphemia"/>
      <family val="2"/>
      <scheme val="minor"/>
    </font>
    <font>
      <sz val="11"/>
      <color theme="3"/>
      <name val="Euphemia"/>
      <family val="2"/>
      <scheme val="minor"/>
    </font>
    <font>
      <i/>
      <sz val="11"/>
      <color theme="1" tint="0.34998626667073579"/>
      <name val="Euphemia"/>
      <family val="2"/>
      <scheme val="minor"/>
    </font>
    <font>
      <sz val="11"/>
      <color theme="8" tint="0.89992980742820516"/>
      <name val="Euphemia"/>
      <family val="2"/>
      <scheme val="minor"/>
    </font>
    <font>
      <sz val="11"/>
      <color theme="3"/>
      <name val="Franklin Gothic Medium"/>
      <family val="2"/>
      <scheme val="major"/>
    </font>
    <font>
      <sz val="11"/>
      <color theme="3" tint="0.59999389629810485"/>
      <name val="Euphemi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</borders>
  <cellStyleXfs count="18">
    <xf numFmtId="0" fontId="0" fillId="0" borderId="0" applyNumberFormat="0" applyFill="0" applyBorder="0" applyAlignment="0" applyProtection="0"/>
    <xf numFmtId="168" fontId="2" fillId="0" borderId="0" applyFont="0" applyFill="0" applyBorder="0" applyProtection="0">
      <alignment horizontal="right"/>
    </xf>
    <xf numFmtId="0" fontId="3" fillId="0" borderId="0" applyNumberFormat="0" applyFill="0" applyBorder="0" applyProtection="0"/>
    <xf numFmtId="0" fontId="10" fillId="0" borderId="0" applyNumberFormat="0" applyFill="0" applyBorder="0" applyAlignment="0" applyProtection="0"/>
    <xf numFmtId="0" fontId="5" fillId="0" borderId="0" applyNumberFormat="0" applyFill="0" applyBorder="0" applyProtection="0">
      <alignment horizontal="left"/>
    </xf>
    <xf numFmtId="0" fontId="7" fillId="3" borderId="0" applyNumberFormat="0" applyBorder="0" applyAlignment="0" applyProtection="0"/>
    <xf numFmtId="0" fontId="9" fillId="2" borderId="0" applyNumberFormat="0" applyBorder="0" applyAlignment="0" applyProtection="0"/>
    <xf numFmtId="0" fontId="7" fillId="0" borderId="0" applyNumberFormat="0" applyFill="0" applyBorder="0" applyProtection="0">
      <alignment horizontal="left" indent="1"/>
    </xf>
    <xf numFmtId="167" fontId="7" fillId="0" borderId="0" applyFill="0" applyBorder="0" applyAlignment="0" applyProtection="0"/>
    <xf numFmtId="165" fontId="7" fillId="0" borderId="0" applyFill="0" applyBorder="0" applyAlignment="0" applyProtection="0"/>
    <xf numFmtId="166" fontId="7" fillId="0" borderId="0" applyFill="0" applyBorder="0" applyAlignment="0" applyProtection="0"/>
    <xf numFmtId="164" fontId="7" fillId="0" borderId="0" applyFill="0" applyBorder="0" applyAlignment="0" applyProtection="0"/>
    <xf numFmtId="9" fontId="7" fillId="0" borderId="0" applyFill="0" applyBorder="0" applyAlignment="0" applyProtection="0"/>
    <xf numFmtId="0" fontId="4" fillId="0" borderId="3" applyNumberFormat="0" applyFill="0" applyAlignment="0" applyProtection="0"/>
    <xf numFmtId="0" fontId="5" fillId="0" borderId="2" applyNumberFormat="0" applyFill="0" applyAlignment="0" applyProtection="0"/>
    <xf numFmtId="0" fontId="7" fillId="5" borderId="1" applyNumberFormat="0" applyAlignment="0" applyProtection="0"/>
    <xf numFmtId="0" fontId="8" fillId="0" borderId="0" applyNumberFormat="0" applyFill="0" applyBorder="0" applyAlignment="0" applyProtection="0"/>
    <xf numFmtId="0" fontId="6" fillId="0" borderId="4" applyNumberFormat="0" applyFill="0" applyAlignment="0" applyProtection="0"/>
  </cellStyleXfs>
  <cellXfs count="21">
    <xf numFmtId="0" fontId="0" fillId="0" borderId="0" xfId="0"/>
    <xf numFmtId="168" fontId="0" fillId="0" borderId="0" xfId="1" applyFont="1">
      <alignment horizontal="right"/>
    </xf>
    <xf numFmtId="169" fontId="0" fillId="0" borderId="0" xfId="0" applyNumberFormat="1"/>
    <xf numFmtId="0" fontId="5" fillId="3" borderId="0" xfId="4" applyFill="1">
      <alignment horizontal="left"/>
    </xf>
    <xf numFmtId="168" fontId="0" fillId="3" borderId="0" xfId="1" applyFont="1" applyFill="1">
      <alignment horizontal="right"/>
    </xf>
    <xf numFmtId="0" fontId="0" fillId="3" borderId="0" xfId="5" applyFont="1"/>
    <xf numFmtId="168" fontId="0" fillId="0" borderId="0" xfId="0" applyNumberFormat="1"/>
    <xf numFmtId="0" fontId="0" fillId="3" borderId="0" xfId="7" applyFont="1" applyFill="1">
      <alignment horizontal="left" indent="1"/>
    </xf>
    <xf numFmtId="0" fontId="0" fillId="4" borderId="0" xfId="0" applyFill="1"/>
    <xf numFmtId="0" fontId="10" fillId="3" borderId="0" xfId="0" applyFont="1" applyFill="1" applyAlignment="1">
      <alignment horizontal="left"/>
    </xf>
    <xf numFmtId="0" fontId="10" fillId="3" borderId="0" xfId="0" applyFont="1" applyFill="1"/>
    <xf numFmtId="0" fontId="10" fillId="3" borderId="0" xfId="0" applyFont="1" applyFill="1" applyAlignment="1">
      <alignment horizontal="left" indent="1"/>
    </xf>
    <xf numFmtId="170" fontId="0" fillId="3" borderId="0" xfId="0" applyNumberFormat="1" applyFill="1" applyAlignment="1">
      <alignment horizontal="left"/>
    </xf>
    <xf numFmtId="0" fontId="0" fillId="6" borderId="0" xfId="0" applyFill="1"/>
    <xf numFmtId="0" fontId="3" fillId="6" borderId="0" xfId="2" applyFill="1"/>
    <xf numFmtId="0" fontId="11" fillId="6" borderId="0" xfId="0" applyFont="1" applyFill="1"/>
    <xf numFmtId="0" fontId="11" fillId="6" borderId="0" xfId="0" applyFont="1" applyFill="1" applyAlignment="1"/>
    <xf numFmtId="171" fontId="1" fillId="6" borderId="0" xfId="0" applyNumberFormat="1" applyFont="1" applyFill="1"/>
    <xf numFmtId="171" fontId="1" fillId="6" borderId="0" xfId="0" applyNumberFormat="1" applyFont="1" applyFill="1" applyAlignment="1"/>
    <xf numFmtId="0" fontId="0" fillId="2" borderId="0" xfId="6" applyFont="1" applyAlignment="1"/>
    <xf numFmtId="0" fontId="3" fillId="3" borderId="0" xfId="5" applyFont="1" applyAlignment="1"/>
  </cellXfs>
  <cellStyles count="18">
    <cellStyle name="Comma" xfId="8" builtinId="3" customBuiltin="1"/>
    <cellStyle name="Comma [0]" xfId="9" builtinId="6" customBuiltin="1"/>
    <cellStyle name="Currency" xfId="10" builtinId="4" customBuiltin="1"/>
    <cellStyle name="Currency [0]" xfId="11" builtinId="7" customBuiltin="1"/>
    <cellStyle name="Currency Custom" xfId="1" xr:uid="{00000000-0005-0000-0000-000004000000}"/>
    <cellStyle name="Explanatory Text" xfId="16" builtinId="53" customBuiltin="1"/>
    <cellStyle name="Heading 1" xfId="2" builtinId="16" customBuiltin="1"/>
    <cellStyle name="Heading 2" xfId="13" builtinId="17" customBuiltin="1"/>
    <cellStyle name="Heading 3" xfId="14" builtinId="18" customBuiltin="1"/>
    <cellStyle name="Indent" xfId="7" xr:uid="{00000000-0005-0000-0000-000009000000}"/>
    <cellStyle name="Item" xfId="4" xr:uid="{00000000-0005-0000-0000-00000A000000}"/>
    <cellStyle name="Normal" xfId="0" builtinId="0" customBuiltin="1"/>
    <cellStyle name="Note" xfId="15" builtinId="10" customBuiltin="1"/>
    <cellStyle name="Percent" xfId="12" builtinId="5" customBuiltin="1"/>
    <cellStyle name="Purple Background" xfId="6" xr:uid="{00000000-0005-0000-0000-00000E000000}"/>
    <cellStyle name="Table Headers" xfId="3" xr:uid="{00000000-0005-0000-0000-00000F000000}"/>
    <cellStyle name="Total" xfId="17" builtinId="25" customBuiltin="1"/>
    <cellStyle name="White Background" xfId="5" xr:uid="{00000000-0005-0000-0000-000011000000}"/>
  </cellStyles>
  <dxfs count="6">
    <dxf>
      <numFmt numFmtId="168" formatCode="&quot;$&quot;#,##0.00"/>
    </dxf>
    <dxf>
      <numFmt numFmtId="170" formatCode="&quot; Done&quot;;&quot;&quot;;&quot;&quot;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8"/>
      </font>
      <border>
        <bottom style="medium">
          <color theme="8"/>
        </bottom>
      </border>
    </dxf>
    <dxf>
      <fill>
        <patternFill>
          <bgColor theme="0"/>
        </patternFill>
      </fill>
    </dxf>
  </dxfs>
  <tableStyles count="1" defaultTableStyle="Grocery List" defaultPivotStyle="PivotStyleLight8">
    <tableStyle name="Grocery List" pivot="0" count="3" xr9:uid="{00000000-0011-0000-FFFF-FFFF00000000}">
      <tableStyleElement type="wholeTable" dxfId="5"/>
      <tableStyleElement type="headerRow" dxfId="4"/>
      <tableStyleElement type="first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1</xdr:row>
      <xdr:rowOff>323851</xdr:rowOff>
    </xdr:from>
    <xdr:to>
      <xdr:col>12</xdr:col>
      <xdr:colOff>1289685</xdr:colOff>
      <xdr:row>2</xdr:row>
      <xdr:rowOff>180975</xdr:rowOff>
    </xdr:to>
    <xdr:grpSp>
      <xdr:nvGrpSpPr>
        <xdr:cNvPr id="6" name="Group 5" descr="Category and amount spent for fourth highest category, such as Dairy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271125" y="412751"/>
          <a:ext cx="1140460" cy="606424"/>
          <a:chOff x="8886823" y="2943226"/>
          <a:chExt cx="1362075" cy="609599"/>
        </a:xfrm>
      </xdr:grpSpPr>
      <xdr:sp macro="" textlink="calculations!L9">
        <xdr:nvSpPr>
          <xdr:cNvPr id="4" name="Round Same Side Corner Rectangl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5400000">
            <a:off x="9263061" y="2566988"/>
            <a:ext cx="609599" cy="1362075"/>
          </a:xfrm>
          <a:prstGeom prst="round2SameRect">
            <a:avLst>
              <a:gd name="adj1" fmla="val 12255"/>
              <a:gd name="adj2" fmla="val 0"/>
            </a:avLst>
          </a:prstGeom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schemeClr val="tx2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lIns="0" tIns="0" rIns="0" bIns="91440" rtlCol="0" anchor="b"/>
          <a:lstStyle/>
          <a:p>
            <a:pPr algn="l"/>
            <a:fld id="{9F0A4A92-1DF7-4E13-BC49-A4C066B67B74}" type="TxLink">
              <a:rPr lang="en-US" sz="2400" b="0" i="0" u="none" strike="noStrike">
                <a:solidFill>
                  <a:schemeClr val="bg1"/>
                </a:solidFill>
                <a:latin typeface="+mj-lt"/>
              </a:rPr>
              <a:pPr algn="l"/>
              <a:t>$37</a:t>
            </a:fld>
            <a:endParaRPr lang="en-US" sz="2400">
              <a:solidFill>
                <a:schemeClr val="bg1"/>
              </a:solidFill>
              <a:latin typeface="+mj-lt"/>
            </a:endParaRPr>
          </a:p>
        </xdr:txBody>
      </xdr:sp>
      <xdr:sp macro="" textlink="calculations!M9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8982075" y="2981324"/>
            <a:ext cx="1238250" cy="190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b"/>
          <a:lstStyle/>
          <a:p>
            <a:fld id="{B45E0FCF-C8E7-46B0-B929-8395459FB68F}" type="TxLink">
              <a:rPr lang="en-US" sz="1100" b="0" i="0" u="none" strike="noStrike">
                <a:solidFill>
                  <a:schemeClr val="bg1"/>
                </a:solidFill>
                <a:latin typeface="+mj-lt"/>
              </a:rPr>
              <a:pPr/>
              <a:t>DAIRY TOTAL</a:t>
            </a:fld>
            <a:endParaRPr lang="en-US" sz="1100">
              <a:solidFill>
                <a:schemeClr val="bg1"/>
              </a:solidFill>
              <a:latin typeface="+mj-lt"/>
            </a:endParaRPr>
          </a:p>
        </xdr:txBody>
      </xdr:sp>
    </xdr:grpSp>
    <xdr:clientData/>
  </xdr:twoCellAnchor>
  <xdr:twoCellAnchor editAs="oneCell">
    <xdr:from>
      <xdr:col>12</xdr:col>
      <xdr:colOff>9525</xdr:colOff>
      <xdr:row>3</xdr:row>
      <xdr:rowOff>85726</xdr:rowOff>
    </xdr:from>
    <xdr:to>
      <xdr:col>12</xdr:col>
      <xdr:colOff>1289685</xdr:colOff>
      <xdr:row>5</xdr:row>
      <xdr:rowOff>161925</xdr:rowOff>
    </xdr:to>
    <xdr:grpSp>
      <xdr:nvGrpSpPr>
        <xdr:cNvPr id="11" name="Group 10" descr="Category and amount spent for third highest category, such as Produc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0271125" y="1190626"/>
          <a:ext cx="1140460" cy="609599"/>
          <a:chOff x="8886823" y="2943226"/>
          <a:chExt cx="1362075" cy="609599"/>
        </a:xfrm>
      </xdr:grpSpPr>
      <xdr:sp macro="" textlink="calculations!L8">
        <xdr:nvSpPr>
          <xdr:cNvPr id="12" name="Round Same Side Corner Rectangl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 rot="5400000">
            <a:off x="9263061" y="2566988"/>
            <a:ext cx="609599" cy="1362075"/>
          </a:xfrm>
          <a:prstGeom prst="round2SameRect">
            <a:avLst>
              <a:gd name="adj1" fmla="val 12255"/>
              <a:gd name="adj2" fmla="val 0"/>
            </a:avLst>
          </a:prstGeom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schemeClr val="tx2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lIns="0" tIns="0" rIns="0" bIns="91440" rtlCol="0" anchor="b"/>
          <a:lstStyle/>
          <a:p>
            <a:pPr algn="l"/>
            <a:fld id="{93E3754E-A921-406B-BAA6-78E79D229D11}" type="TxLink">
              <a:rPr lang="en-US" sz="2400" b="0" i="0" u="none" strike="noStrike">
                <a:solidFill>
                  <a:schemeClr val="bg1"/>
                </a:solidFill>
                <a:latin typeface="+mj-lt"/>
              </a:rPr>
              <a:pPr algn="l"/>
              <a:t>$45</a:t>
            </a:fld>
            <a:endParaRPr lang="en-US" sz="2400">
              <a:solidFill>
                <a:schemeClr val="bg1"/>
              </a:solidFill>
              <a:latin typeface="+mj-lt"/>
            </a:endParaRPr>
          </a:p>
        </xdr:txBody>
      </xdr:sp>
      <xdr:sp macro="" textlink="calculations!M8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8982075" y="2981324"/>
            <a:ext cx="1238250" cy="190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b"/>
          <a:lstStyle/>
          <a:p>
            <a:fld id="{22DB030F-3302-4301-BA84-014D0BC47E01}" type="TxLink">
              <a:rPr lang="en-US" sz="1100" b="0" i="0" u="none" strike="noStrike">
                <a:solidFill>
                  <a:schemeClr val="bg1"/>
                </a:solidFill>
                <a:latin typeface="+mj-lt"/>
              </a:rPr>
              <a:pPr/>
              <a:t>PRODUCE TOTAL</a:t>
            </a:fld>
            <a:endParaRPr lang="en-US" sz="1100">
              <a:solidFill>
                <a:schemeClr val="bg1"/>
              </a:solidFill>
              <a:latin typeface="+mj-lt"/>
            </a:endParaRPr>
          </a:p>
        </xdr:txBody>
      </xdr:sp>
    </xdr:grpSp>
    <xdr:clientData/>
  </xdr:twoCellAnchor>
  <xdr:twoCellAnchor editAs="oneCell">
    <xdr:from>
      <xdr:col>12</xdr:col>
      <xdr:colOff>9525</xdr:colOff>
      <xdr:row>6</xdr:row>
      <xdr:rowOff>66675</xdr:rowOff>
    </xdr:from>
    <xdr:to>
      <xdr:col>12</xdr:col>
      <xdr:colOff>1289685</xdr:colOff>
      <xdr:row>8</xdr:row>
      <xdr:rowOff>142874</xdr:rowOff>
    </xdr:to>
    <xdr:grpSp>
      <xdr:nvGrpSpPr>
        <xdr:cNvPr id="14" name="Group 13" descr="Category and amount spent for third highest category, such as Meat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0271125" y="1971675"/>
          <a:ext cx="1140460" cy="609599"/>
          <a:chOff x="8886823" y="2943226"/>
          <a:chExt cx="1362075" cy="609599"/>
        </a:xfrm>
      </xdr:grpSpPr>
      <xdr:sp macro="" textlink="calculations!L7">
        <xdr:nvSpPr>
          <xdr:cNvPr id="15" name="Round Same Side Corner Rectangl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 rot="5400000">
            <a:off x="9263061" y="2566988"/>
            <a:ext cx="609599" cy="1362075"/>
          </a:xfrm>
          <a:prstGeom prst="round2SameRect">
            <a:avLst>
              <a:gd name="adj1" fmla="val 12255"/>
              <a:gd name="adj2" fmla="val 0"/>
            </a:avLst>
          </a:prstGeom>
          <a:solidFill>
            <a:schemeClr val="accent3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schemeClr val="tx2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lIns="0" tIns="0" rIns="0" bIns="91440" rtlCol="0" anchor="b"/>
          <a:lstStyle/>
          <a:p>
            <a:pPr algn="l"/>
            <a:fld id="{328CF805-E61F-4E35-991F-043E0E5543D7}" type="TxLink">
              <a:rPr lang="en-US" sz="2400" b="0" i="0" u="none" strike="noStrike">
                <a:solidFill>
                  <a:schemeClr val="bg1"/>
                </a:solidFill>
                <a:latin typeface="+mj-lt"/>
              </a:rPr>
              <a:pPr algn="l"/>
              <a:t>$80</a:t>
            </a:fld>
            <a:endParaRPr lang="en-US" sz="2400">
              <a:solidFill>
                <a:schemeClr val="bg1"/>
              </a:solidFill>
              <a:latin typeface="+mj-lt"/>
            </a:endParaRPr>
          </a:p>
        </xdr:txBody>
      </xdr:sp>
      <xdr:sp macro="" textlink="calculations!M7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8982075" y="2981324"/>
            <a:ext cx="1238250" cy="190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b"/>
          <a:lstStyle/>
          <a:p>
            <a:fld id="{95AEA9C9-2D15-4E50-A32F-6D63865ECC60}" type="TxLink">
              <a:rPr lang="en-US" sz="1100" b="0" i="0" u="none" strike="noStrike">
                <a:solidFill>
                  <a:schemeClr val="bg1"/>
                </a:solidFill>
                <a:latin typeface="+mj-lt"/>
              </a:rPr>
              <a:pPr/>
              <a:t>MEAT TOTAL</a:t>
            </a:fld>
            <a:endParaRPr lang="en-US" sz="1100">
              <a:solidFill>
                <a:schemeClr val="bg1"/>
              </a:solidFill>
              <a:latin typeface="+mj-lt"/>
            </a:endParaRPr>
          </a:p>
        </xdr:txBody>
      </xdr:sp>
    </xdr:grpSp>
    <xdr:clientData/>
  </xdr:twoCellAnchor>
  <xdr:twoCellAnchor editAs="oneCell">
    <xdr:from>
      <xdr:col>12</xdr:col>
      <xdr:colOff>9525</xdr:colOff>
      <xdr:row>9</xdr:row>
      <xdr:rowOff>38100</xdr:rowOff>
    </xdr:from>
    <xdr:to>
      <xdr:col>12</xdr:col>
      <xdr:colOff>1289685</xdr:colOff>
      <xdr:row>11</xdr:row>
      <xdr:rowOff>114299</xdr:rowOff>
    </xdr:to>
    <xdr:grpSp>
      <xdr:nvGrpSpPr>
        <xdr:cNvPr id="17" name="Group 16" descr="Category and amount spent for third highest category, such as Seafood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271125" y="2743200"/>
          <a:ext cx="1140460" cy="609599"/>
          <a:chOff x="8886823" y="2943226"/>
          <a:chExt cx="1362075" cy="609599"/>
        </a:xfrm>
      </xdr:grpSpPr>
      <xdr:sp macro="" textlink="calculations!L6">
        <xdr:nvSpPr>
          <xdr:cNvPr id="18" name="Round Same Side Corner Rectangl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 rot="5400000">
            <a:off x="9263061" y="2566988"/>
            <a:ext cx="609599" cy="1362075"/>
          </a:xfrm>
          <a:prstGeom prst="round2SameRect">
            <a:avLst>
              <a:gd name="adj1" fmla="val 12255"/>
              <a:gd name="adj2" fmla="val 0"/>
            </a:avLst>
          </a:prstGeom>
          <a:solidFill>
            <a:schemeClr val="accent4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schemeClr val="tx2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lIns="0" tIns="0" rIns="0" bIns="91440" rtlCol="0" anchor="b"/>
          <a:lstStyle/>
          <a:p>
            <a:pPr algn="l"/>
            <a:fld id="{FB4445DB-7788-4F40-8816-135696710186}" type="TxLink">
              <a:rPr lang="en-US" sz="2400" b="0" i="0" u="none" strike="noStrike">
                <a:solidFill>
                  <a:schemeClr val="bg1"/>
                </a:solidFill>
                <a:latin typeface="+mj-lt"/>
              </a:rPr>
              <a:pPr algn="l"/>
              <a:t>$109</a:t>
            </a:fld>
            <a:endParaRPr lang="en-US" sz="2400">
              <a:solidFill>
                <a:schemeClr val="bg1"/>
              </a:solidFill>
              <a:latin typeface="+mj-lt"/>
            </a:endParaRPr>
          </a:p>
        </xdr:txBody>
      </xdr:sp>
      <xdr:sp macro="" textlink="calculations!M6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8982075" y="2981324"/>
            <a:ext cx="1238250" cy="190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b"/>
          <a:lstStyle/>
          <a:p>
            <a:fld id="{E0073663-6A31-458A-A71B-3FB4570E543D}" type="TxLink">
              <a:rPr lang="en-US" sz="1050" b="0" i="0" u="none" strike="noStrike">
                <a:solidFill>
                  <a:schemeClr val="bg1"/>
                </a:solidFill>
                <a:latin typeface="+mj-lt"/>
              </a:rPr>
              <a:pPr/>
              <a:t>SEAFOOD TOTAL</a:t>
            </a:fld>
            <a:endParaRPr lang="en-US" sz="1100">
              <a:solidFill>
                <a:schemeClr val="bg1"/>
              </a:solidFill>
              <a:latin typeface="+mj-lt"/>
            </a:endParaRPr>
          </a:p>
        </xdr:txBody>
      </xdr:sp>
    </xdr:grpSp>
    <xdr:clientData/>
  </xdr:twoCellAnchor>
  <xdr:twoCellAnchor editAs="oneCell">
    <xdr:from>
      <xdr:col>12</xdr:col>
      <xdr:colOff>9525</xdr:colOff>
      <xdr:row>12</xdr:row>
      <xdr:rowOff>9525</xdr:rowOff>
    </xdr:from>
    <xdr:to>
      <xdr:col>12</xdr:col>
      <xdr:colOff>1289685</xdr:colOff>
      <xdr:row>14</xdr:row>
      <xdr:rowOff>85724</xdr:rowOff>
    </xdr:to>
    <xdr:grpSp>
      <xdr:nvGrpSpPr>
        <xdr:cNvPr id="20" name="Group 19" descr="Total amount for all other categories not listed in the five highest total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10271125" y="3514725"/>
          <a:ext cx="1140460" cy="609599"/>
          <a:chOff x="8886823" y="2943226"/>
          <a:chExt cx="1362075" cy="609599"/>
        </a:xfrm>
      </xdr:grpSpPr>
      <xdr:sp macro="" textlink="calculations!L3">
        <xdr:nvSpPr>
          <xdr:cNvPr id="21" name="Round Same Side Corner Rectangl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 rot="5400000">
            <a:off x="9263061" y="2566988"/>
            <a:ext cx="609599" cy="1362075"/>
          </a:xfrm>
          <a:prstGeom prst="round2SameRect">
            <a:avLst>
              <a:gd name="adj1" fmla="val 12255"/>
              <a:gd name="adj2" fmla="val 0"/>
            </a:avLst>
          </a:prstGeom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schemeClr val="tx2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lIns="0" tIns="0" rIns="0" bIns="91440" rtlCol="0" anchor="b"/>
          <a:lstStyle/>
          <a:p>
            <a:pPr algn="l"/>
            <a:fld id="{44C25FBE-EF92-462C-A476-7BD186BCFC7F}" type="TxLink">
              <a:rPr lang="en-US" sz="2400" b="0" i="0" u="none" strike="noStrike">
                <a:solidFill>
                  <a:schemeClr val="bg1"/>
                </a:solidFill>
                <a:latin typeface="+mj-lt"/>
              </a:rPr>
              <a:pPr algn="l"/>
              <a:t>$0</a:t>
            </a:fld>
            <a:endParaRPr lang="en-US" sz="2400">
              <a:solidFill>
                <a:schemeClr val="bg1"/>
              </a:solidFill>
              <a:latin typeface="+mj-lt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8982075" y="2981324"/>
            <a:ext cx="1238250" cy="1905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b"/>
          <a:lstStyle/>
          <a:p>
            <a:r>
              <a:rPr lang="en-US" sz="1100">
                <a:solidFill>
                  <a:schemeClr val="bg1"/>
                </a:solidFill>
                <a:latin typeface="+mj-lt"/>
              </a:rPr>
              <a:t>OTHER TOTAL</a:t>
            </a:r>
          </a:p>
        </xdr:txBody>
      </xdr:sp>
    </xdr:grpSp>
    <xdr:clientData/>
  </xdr:twoCellAnchor>
  <xdr:twoCellAnchor editAs="oneCell">
    <xdr:from>
      <xdr:col>12</xdr:col>
      <xdr:colOff>9525</xdr:colOff>
      <xdr:row>14</xdr:row>
      <xdr:rowOff>247650</xdr:rowOff>
    </xdr:from>
    <xdr:to>
      <xdr:col>12</xdr:col>
      <xdr:colOff>1289685</xdr:colOff>
      <xdr:row>17</xdr:row>
      <xdr:rowOff>57149</xdr:rowOff>
    </xdr:to>
    <xdr:grpSp>
      <xdr:nvGrpSpPr>
        <xdr:cNvPr id="23" name="Group 22" descr="Total of all grocery items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10271125" y="4286250"/>
          <a:ext cx="1140460" cy="609599"/>
          <a:chOff x="8886823" y="2943226"/>
          <a:chExt cx="1362075" cy="609599"/>
        </a:xfrm>
        <a:solidFill>
          <a:schemeClr val="accent5"/>
        </a:solidFill>
      </xdr:grpSpPr>
      <xdr:sp macro="" textlink="GroceryTotal">
        <xdr:nvSpPr>
          <xdr:cNvPr id="24" name="Round Same Side Corner Rectangl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 rot="5400000">
            <a:off x="9263061" y="2566988"/>
            <a:ext cx="609599" cy="1362075"/>
          </a:xfrm>
          <a:prstGeom prst="round2SameRect">
            <a:avLst>
              <a:gd name="adj1" fmla="val 12255"/>
              <a:gd name="adj2" fmla="val 0"/>
            </a:avLst>
          </a:prstGeom>
          <a:grpFill/>
          <a:ln>
            <a:noFill/>
          </a:ln>
          <a:effectLst>
            <a:outerShdw blurRad="63500" sx="102000" sy="102000" algn="ctr" rotWithShape="0">
              <a:schemeClr val="tx2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lIns="0" tIns="0" rIns="0" bIns="91440" rtlCol="0" anchor="b"/>
          <a:lstStyle/>
          <a:p>
            <a:pPr algn="l"/>
            <a:fld id="{8BC3E841-E95C-4916-9D19-C9808C6FE05F}" type="TxLink">
              <a:rPr lang="en-US" sz="2400" b="0" i="0" u="none" strike="noStrike">
                <a:solidFill>
                  <a:schemeClr val="bg1"/>
                </a:solidFill>
                <a:latin typeface="+mj-lt"/>
              </a:rPr>
              <a:pPr algn="l"/>
              <a:t>$271</a:t>
            </a:fld>
            <a:endParaRPr lang="en-US" sz="2400">
              <a:solidFill>
                <a:schemeClr val="bg1"/>
              </a:solidFill>
              <a:latin typeface="+mj-lt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8982075" y="2981324"/>
            <a:ext cx="1238250" cy="1905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b"/>
          <a:lstStyle/>
          <a:p>
            <a:r>
              <a:rPr lang="en-US" sz="1100">
                <a:solidFill>
                  <a:schemeClr val="bg1"/>
                </a:solidFill>
                <a:latin typeface="+mj-lt"/>
              </a:rPr>
              <a:t>GROCERY TOTAL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C3:K21" totalsRowShown="0" headerRowCellStyle="Normal" dataCellStyle="White Background">
  <autoFilter ref="C3:K21" xr:uid="{00000000-0009-0000-0100-000001000000}"/>
  <tableColumns count="9">
    <tableColumn id="1" xr3:uid="{00000000-0010-0000-0000-000001000000}" name="Done" dataDxfId="1" dataCellStyle="Normal"/>
    <tableColumn id="2" xr3:uid="{00000000-0010-0000-0000-000002000000}" name="ITEM" dataCellStyle="Item"/>
    <tableColumn id="9" xr3:uid="{00000000-0010-0000-0000-000009000000}" name="STORE" dataCellStyle="White Background"/>
    <tableColumn id="3" xr3:uid="{00000000-0010-0000-0000-000003000000}" name="CATEGORY" dataCellStyle="White Background"/>
    <tableColumn id="4" xr3:uid="{00000000-0010-0000-0000-000004000000}" name="QTY" dataCellStyle="White Background"/>
    <tableColumn id="8" xr3:uid="{00000000-0010-0000-0000-000008000000}" name="UNIT" dataCellStyle="White Background"/>
    <tableColumn id="5" xr3:uid="{00000000-0010-0000-0000-000005000000}" name="UNIT PRICE" dataCellStyle="Currency Custom"/>
    <tableColumn id="6" xr3:uid="{00000000-0010-0000-0000-000006000000}" name="TOTAL" dataDxfId="0" dataCellStyle="Currency Custom">
      <calculatedColumnFormula>IFERROR(List[[#This Row],[QTY]]*List[[#This Row],[UNIT PRICE]],"")</calculatedColumnFormula>
    </tableColumn>
    <tableColumn id="7" xr3:uid="{00000000-0010-0000-0000-000007000000}" name="COMMENT" dataCellStyle="Indent"/>
  </tableColumns>
  <tableStyleInfo name="Grocery List" showFirstColumn="0" showLastColumn="0" showRowStripes="1" showColumnStripes="0"/>
  <extLst>
    <ext xmlns:x14="http://schemas.microsoft.com/office/spreadsheetml/2009/9/main" uri="{504A1905-F514-4f6f-8877-14C23A59335A}">
      <x14:table altTextSummary="Enter Item, Store type, Category, Quantity, Unit, Unit Price, and Comment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151">
      <a:dk1>
        <a:sysClr val="windowText" lastClr="000000"/>
      </a:dk1>
      <a:lt1>
        <a:sysClr val="window" lastClr="FFFFFF"/>
      </a:lt1>
      <a:dk2>
        <a:srgbClr val="554527"/>
      </a:dk2>
      <a:lt2>
        <a:srgbClr val="FAF8F4"/>
      </a:lt2>
      <a:accent1>
        <a:srgbClr val="F4B224"/>
      </a:accent1>
      <a:accent2>
        <a:srgbClr val="F4900B"/>
      </a:accent2>
      <a:accent3>
        <a:srgbClr val="E66B10"/>
      </a:accent3>
      <a:accent4>
        <a:srgbClr val="D64C16"/>
      </a:accent4>
      <a:accent5>
        <a:srgbClr val="4E1747"/>
      </a:accent5>
      <a:accent6>
        <a:srgbClr val="09AA97"/>
      </a:accent6>
      <a:hlink>
        <a:srgbClr val="09AA97"/>
      </a:hlink>
      <a:folHlink>
        <a:srgbClr val="4E1747"/>
      </a:folHlink>
    </a:clrScheme>
    <a:fontScheme name="151">
      <a:majorFont>
        <a:latin typeface="Franklin Gothic Medium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M21"/>
  <sheetViews>
    <sheetView showGridLines="0" tabSelected="1" zoomScaleNormal="100" workbookViewId="0"/>
  </sheetViews>
  <sheetFormatPr baseColWidth="10" defaultColWidth="8.83203125" defaultRowHeight="21" customHeight="1" x14ac:dyDescent="0.2"/>
  <cols>
    <col min="1" max="1" width="2.33203125" style="13" customWidth="1"/>
    <col min="2" max="2" width="2.33203125" style="5" customWidth="1"/>
    <col min="3" max="3" width="8.83203125" style="5" customWidth="1"/>
    <col min="4" max="4" width="24.33203125" style="5" customWidth="1"/>
    <col min="5" max="5" width="13.83203125" style="5" customWidth="1"/>
    <col min="6" max="6" width="11.6640625" style="5" customWidth="1"/>
    <col min="7" max="7" width="6.6640625" style="5" customWidth="1"/>
    <col min="8" max="8" width="8.83203125" style="5" customWidth="1"/>
    <col min="9" max="9" width="12.1640625" style="5" customWidth="1"/>
    <col min="10" max="10" width="9.6640625" style="5" customWidth="1"/>
    <col min="11" max="11" width="31.6640625" style="5" customWidth="1"/>
    <col min="12" max="12" width="2.33203125" style="5" customWidth="1"/>
    <col min="13" max="13" width="15.1640625" style="15" customWidth="1"/>
    <col min="14" max="16384" width="8.83203125" style="13"/>
  </cols>
  <sheetData>
    <row r="1" spans="2:13" ht="7.5" customHeight="1" x14ac:dyDescent="0.2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8" t="str">
        <f>calculations!M9</f>
        <v>DAIRY TOTAL</v>
      </c>
    </row>
    <row r="2" spans="2:13" s="14" customFormat="1" ht="59.25" customHeight="1" x14ac:dyDescent="0.45">
      <c r="B2" s="20" t="s">
        <v>36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18"/>
    </row>
    <row r="3" spans="2:13" ht="21" customHeight="1" x14ac:dyDescent="0.2">
      <c r="C3" s="9" t="s">
        <v>52</v>
      </c>
      <c r="D3" s="9" t="s">
        <v>26</v>
      </c>
      <c r="E3" s="10" t="s">
        <v>33</v>
      </c>
      <c r="F3" s="10" t="s">
        <v>27</v>
      </c>
      <c r="G3" s="10" t="s">
        <v>28</v>
      </c>
      <c r="H3" s="10" t="s">
        <v>29</v>
      </c>
      <c r="I3" s="10" t="s">
        <v>30</v>
      </c>
      <c r="J3" s="10" t="s">
        <v>31</v>
      </c>
      <c r="K3" s="11" t="s">
        <v>32</v>
      </c>
      <c r="M3" s="17">
        <f>calculations!L9</f>
        <v>37</v>
      </c>
    </row>
    <row r="4" spans="2:13" ht="21" customHeight="1" x14ac:dyDescent="0.2">
      <c r="C4" s="12">
        <v>1</v>
      </c>
      <c r="D4" s="3" t="s">
        <v>0</v>
      </c>
      <c r="E4" s="5" t="s">
        <v>45</v>
      </c>
      <c r="F4" s="5" t="s">
        <v>2</v>
      </c>
      <c r="G4" s="5">
        <v>2</v>
      </c>
      <c r="H4" s="5" t="s">
        <v>1</v>
      </c>
      <c r="I4" s="4">
        <v>2.99</v>
      </c>
      <c r="J4" s="4">
        <f>IFERROR(List[[#This Row],[QTY]]*List[[#This Row],[UNIT PRICE]],"")</f>
        <v>5.98</v>
      </c>
      <c r="K4" s="7"/>
      <c r="M4" s="17" t="str">
        <f>calculations!M8</f>
        <v>PRODUCE TOTAL</v>
      </c>
    </row>
    <row r="5" spans="2:13" ht="21" customHeight="1" x14ac:dyDescent="0.2">
      <c r="C5" s="12"/>
      <c r="D5" s="3" t="s">
        <v>3</v>
      </c>
      <c r="E5" s="5" t="s">
        <v>41</v>
      </c>
      <c r="F5" s="5" t="s">
        <v>2</v>
      </c>
      <c r="G5" s="5">
        <v>3</v>
      </c>
      <c r="H5" s="5" t="s">
        <v>1</v>
      </c>
      <c r="I5" s="4">
        <v>1.99</v>
      </c>
      <c r="J5" s="4">
        <f>IFERROR(List[[#This Row],[QTY]]*List[[#This Row],[UNIT PRICE]],"")</f>
        <v>5.97</v>
      </c>
      <c r="K5" s="7" t="s">
        <v>46</v>
      </c>
      <c r="M5" s="18">
        <f>calculations!L8</f>
        <v>45</v>
      </c>
    </row>
    <row r="6" spans="2:13" ht="21" customHeight="1" x14ac:dyDescent="0.2">
      <c r="C6" s="12"/>
      <c r="D6" s="3" t="s">
        <v>4</v>
      </c>
      <c r="E6" s="5" t="s">
        <v>45</v>
      </c>
      <c r="F6" s="5" t="s">
        <v>2</v>
      </c>
      <c r="G6" s="5">
        <v>1</v>
      </c>
      <c r="H6" s="5" t="s">
        <v>21</v>
      </c>
      <c r="I6" s="4">
        <v>3.99</v>
      </c>
      <c r="J6" s="4">
        <f>IFERROR(List[[#This Row],[QTY]]*List[[#This Row],[UNIT PRICE]],"")</f>
        <v>3.99</v>
      </c>
      <c r="K6" s="7"/>
      <c r="M6" s="16"/>
    </row>
    <row r="7" spans="2:13" ht="21" customHeight="1" x14ac:dyDescent="0.2">
      <c r="C7" s="12"/>
      <c r="D7" s="3" t="s">
        <v>5</v>
      </c>
      <c r="E7" s="5" t="s">
        <v>34</v>
      </c>
      <c r="F7" s="5" t="s">
        <v>2</v>
      </c>
      <c r="G7" s="5">
        <v>2</v>
      </c>
      <c r="H7" s="5" t="s">
        <v>22</v>
      </c>
      <c r="I7" s="4">
        <v>2.29</v>
      </c>
      <c r="J7" s="4">
        <f>IFERROR(List[[#This Row],[QTY]]*List[[#This Row],[UNIT PRICE]],"")</f>
        <v>4.58</v>
      </c>
      <c r="K7" s="7"/>
      <c r="M7" s="17" t="str">
        <f>calculations!M7</f>
        <v>MEAT TOTAL</v>
      </c>
    </row>
    <row r="8" spans="2:13" ht="21" customHeight="1" x14ac:dyDescent="0.2">
      <c r="C8" s="12"/>
      <c r="D8" s="3" t="s">
        <v>6</v>
      </c>
      <c r="E8" s="5" t="s">
        <v>34</v>
      </c>
      <c r="F8" s="5" t="s">
        <v>2</v>
      </c>
      <c r="G8" s="5">
        <v>4</v>
      </c>
      <c r="H8" s="5" t="s">
        <v>1</v>
      </c>
      <c r="I8" s="4">
        <v>3.49</v>
      </c>
      <c r="J8" s="4">
        <f>IFERROR(List[[#This Row],[QTY]]*List[[#This Row],[UNIT PRICE]],"")</f>
        <v>13.96</v>
      </c>
      <c r="K8" s="7"/>
      <c r="M8" s="18">
        <f>calculations!L7</f>
        <v>80</v>
      </c>
    </row>
    <row r="9" spans="2:13" ht="21" customHeight="1" x14ac:dyDescent="0.2">
      <c r="C9" s="12"/>
      <c r="D9" s="3" t="s">
        <v>7</v>
      </c>
      <c r="E9" s="5" t="s">
        <v>34</v>
      </c>
      <c r="F9" s="5" t="s">
        <v>2</v>
      </c>
      <c r="G9" s="5">
        <v>2</v>
      </c>
      <c r="H9" s="5" t="s">
        <v>50</v>
      </c>
      <c r="I9" s="4">
        <v>1.5</v>
      </c>
      <c r="J9" s="4">
        <f>IFERROR(List[[#This Row],[QTY]]*List[[#This Row],[UNIT PRICE]],"")</f>
        <v>3</v>
      </c>
      <c r="K9" s="7"/>
      <c r="M9" s="16"/>
    </row>
    <row r="10" spans="2:13" ht="21" customHeight="1" x14ac:dyDescent="0.2">
      <c r="C10" s="12"/>
      <c r="D10" s="3" t="s">
        <v>8</v>
      </c>
      <c r="E10" s="5" t="s">
        <v>45</v>
      </c>
      <c r="F10" s="5" t="s">
        <v>2</v>
      </c>
      <c r="G10" s="5">
        <v>2</v>
      </c>
      <c r="H10" s="5" t="s">
        <v>21</v>
      </c>
      <c r="I10" s="4">
        <v>1.99</v>
      </c>
      <c r="J10" s="4">
        <f>IFERROR(List[[#This Row],[QTY]]*List[[#This Row],[UNIT PRICE]],"")</f>
        <v>3.98</v>
      </c>
      <c r="K10" s="7"/>
      <c r="M10" s="17" t="str">
        <f>calculations!M6</f>
        <v>SEAFOOD TOTAL</v>
      </c>
    </row>
    <row r="11" spans="2:13" ht="21" customHeight="1" x14ac:dyDescent="0.2">
      <c r="C11" s="12"/>
      <c r="D11" s="3" t="s">
        <v>9</v>
      </c>
      <c r="E11" s="5" t="s">
        <v>34</v>
      </c>
      <c r="F11" s="5" t="s">
        <v>2</v>
      </c>
      <c r="G11" s="5">
        <v>1</v>
      </c>
      <c r="H11" s="5" t="s">
        <v>1</v>
      </c>
      <c r="I11" s="4">
        <v>2.29</v>
      </c>
      <c r="J11" s="4">
        <f>IFERROR(List[[#This Row],[QTY]]*List[[#This Row],[UNIT PRICE]],"")</f>
        <v>2.29</v>
      </c>
      <c r="K11" s="7"/>
      <c r="M11" s="18">
        <f>calculations!L6</f>
        <v>109</v>
      </c>
    </row>
    <row r="12" spans="2:13" ht="21" customHeight="1" x14ac:dyDescent="0.2">
      <c r="C12" s="12"/>
      <c r="D12" s="3" t="s">
        <v>10</v>
      </c>
      <c r="E12" s="5" t="s">
        <v>45</v>
      </c>
      <c r="F12" s="5" t="s">
        <v>2</v>
      </c>
      <c r="G12" s="5">
        <v>0.5</v>
      </c>
      <c r="H12" s="5" t="s">
        <v>1</v>
      </c>
      <c r="I12" s="4">
        <v>2.25</v>
      </c>
      <c r="J12" s="4">
        <f>IFERROR(List[[#This Row],[QTY]]*List[[#This Row],[UNIT PRICE]],"")</f>
        <v>1.125</v>
      </c>
      <c r="K12" s="7" t="s">
        <v>40</v>
      </c>
      <c r="M12" s="16"/>
    </row>
    <row r="13" spans="2:13" ht="21" customHeight="1" x14ac:dyDescent="0.2">
      <c r="C13" s="12"/>
      <c r="D13" s="3" t="s">
        <v>11</v>
      </c>
      <c r="E13" s="5" t="s">
        <v>47</v>
      </c>
      <c r="F13" s="5" t="s">
        <v>12</v>
      </c>
      <c r="G13" s="5">
        <v>2</v>
      </c>
      <c r="H13" s="5" t="s">
        <v>42</v>
      </c>
      <c r="I13" s="4">
        <v>3.99</v>
      </c>
      <c r="J13" s="4">
        <f>IFERROR(List[[#This Row],[QTY]]*List[[#This Row],[UNIT PRICE]],"")</f>
        <v>7.98</v>
      </c>
      <c r="K13" s="7"/>
      <c r="M13" s="17" t="str">
        <f>calculations!M3</f>
        <v>OTHER TOTAL</v>
      </c>
    </row>
    <row r="14" spans="2:13" ht="21" customHeight="1" x14ac:dyDescent="0.2">
      <c r="C14" s="12"/>
      <c r="D14" s="3" t="s">
        <v>13</v>
      </c>
      <c r="E14" s="5" t="s">
        <v>47</v>
      </c>
      <c r="F14" s="5" t="s">
        <v>12</v>
      </c>
      <c r="G14" s="5">
        <v>1</v>
      </c>
      <c r="H14" s="5" t="s">
        <v>1</v>
      </c>
      <c r="I14" s="4">
        <v>9.99</v>
      </c>
      <c r="J14" s="4">
        <f>IFERROR(List[[#This Row],[QTY]]*List[[#This Row],[UNIT PRICE]],"")</f>
        <v>9.99</v>
      </c>
      <c r="K14" s="7" t="s">
        <v>51</v>
      </c>
      <c r="M14" s="18">
        <f>calculations!L3</f>
        <v>0</v>
      </c>
    </row>
    <row r="15" spans="2:13" ht="21" customHeight="1" x14ac:dyDescent="0.2">
      <c r="C15" s="12"/>
      <c r="D15" s="3" t="s">
        <v>14</v>
      </c>
      <c r="E15" s="5" t="s">
        <v>47</v>
      </c>
      <c r="F15" s="5" t="s">
        <v>12</v>
      </c>
      <c r="G15" s="5">
        <v>2</v>
      </c>
      <c r="H15" s="5" t="s">
        <v>43</v>
      </c>
      <c r="I15" s="4">
        <v>3.5</v>
      </c>
      <c r="J15" s="4">
        <f>IFERROR(List[[#This Row],[QTY]]*List[[#This Row],[UNIT PRICE]],"")</f>
        <v>7</v>
      </c>
      <c r="K15" s="7"/>
      <c r="M15" s="16"/>
    </row>
    <row r="16" spans="2:13" ht="21" customHeight="1" x14ac:dyDescent="0.2">
      <c r="C16" s="12"/>
      <c r="D16" s="3" t="s">
        <v>15</v>
      </c>
      <c r="E16" s="5" t="s">
        <v>47</v>
      </c>
      <c r="F16" s="5" t="s">
        <v>12</v>
      </c>
      <c r="G16" s="5">
        <v>1</v>
      </c>
      <c r="H16" s="5" t="s">
        <v>48</v>
      </c>
      <c r="I16" s="4">
        <v>3.89</v>
      </c>
      <c r="J16" s="4">
        <f>IFERROR(List[[#This Row],[QTY]]*List[[#This Row],[UNIT PRICE]],"")</f>
        <v>3.89</v>
      </c>
      <c r="K16" s="7"/>
      <c r="M16" s="18" t="str">
        <f>calculations!M6</f>
        <v>SEAFOOD TOTAL</v>
      </c>
    </row>
    <row r="17" spans="3:13" ht="21" customHeight="1" x14ac:dyDescent="0.2">
      <c r="C17" s="12"/>
      <c r="D17" s="3" t="s">
        <v>16</v>
      </c>
      <c r="E17" s="5" t="s">
        <v>47</v>
      </c>
      <c r="F17" s="5" t="s">
        <v>12</v>
      </c>
      <c r="G17" s="5">
        <v>1</v>
      </c>
      <c r="H17" s="5" t="s">
        <v>49</v>
      </c>
      <c r="I17" s="4">
        <v>2.99</v>
      </c>
      <c r="J17" s="4">
        <f>IFERROR(List[[#This Row],[QTY]]*List[[#This Row],[UNIT PRICE]],"")</f>
        <v>2.99</v>
      </c>
      <c r="K17" s="7"/>
      <c r="M17" s="18">
        <f>GroceryTotal</f>
        <v>271</v>
      </c>
    </row>
    <row r="18" spans="3:13" ht="21" customHeight="1" x14ac:dyDescent="0.2">
      <c r="C18" s="12"/>
      <c r="D18" s="3" t="s">
        <v>17</v>
      </c>
      <c r="E18" s="5" t="s">
        <v>45</v>
      </c>
      <c r="F18" s="5" t="s">
        <v>12</v>
      </c>
      <c r="G18" s="5">
        <v>1</v>
      </c>
      <c r="H18" s="5" t="s">
        <v>48</v>
      </c>
      <c r="I18" s="4">
        <v>4.99</v>
      </c>
      <c r="J18" s="4">
        <f>IFERROR(List[[#This Row],[QTY]]*List[[#This Row],[UNIT PRICE]],"")</f>
        <v>4.99</v>
      </c>
      <c r="K18" s="7" t="s">
        <v>35</v>
      </c>
    </row>
    <row r="19" spans="3:13" ht="21" customHeight="1" x14ac:dyDescent="0.2">
      <c r="C19" s="12"/>
      <c r="D19" s="3" t="s">
        <v>18</v>
      </c>
      <c r="E19" s="5" t="s">
        <v>34</v>
      </c>
      <c r="F19" s="5" t="s">
        <v>19</v>
      </c>
      <c r="G19" s="5">
        <v>10</v>
      </c>
      <c r="H19" s="5" t="s">
        <v>1</v>
      </c>
      <c r="I19" s="4">
        <v>7.99</v>
      </c>
      <c r="J19" s="4">
        <f>IFERROR(List[[#This Row],[QTY]]*List[[#This Row],[UNIT PRICE]],"")</f>
        <v>79.900000000000006</v>
      </c>
      <c r="K19" s="7" t="s">
        <v>39</v>
      </c>
    </row>
    <row r="20" spans="3:13" ht="21" customHeight="1" x14ac:dyDescent="0.2">
      <c r="C20" s="12"/>
      <c r="D20" s="3" t="s">
        <v>23</v>
      </c>
      <c r="E20" s="5" t="s">
        <v>44</v>
      </c>
      <c r="F20" s="5" t="s">
        <v>20</v>
      </c>
      <c r="G20" s="5">
        <v>6</v>
      </c>
      <c r="H20" s="5" t="s">
        <v>1</v>
      </c>
      <c r="I20" s="4">
        <v>8.99</v>
      </c>
      <c r="J20" s="4">
        <f>IFERROR(List[[#This Row],[QTY]]*List[[#This Row],[UNIT PRICE]],"")</f>
        <v>53.94</v>
      </c>
      <c r="K20" s="7"/>
    </row>
    <row r="21" spans="3:13" ht="21" customHeight="1" x14ac:dyDescent="0.2">
      <c r="C21" s="12"/>
      <c r="D21" s="3" t="s">
        <v>24</v>
      </c>
      <c r="E21" s="5" t="s">
        <v>44</v>
      </c>
      <c r="F21" s="5" t="s">
        <v>20</v>
      </c>
      <c r="G21" s="5">
        <v>5</v>
      </c>
      <c r="H21" s="5" t="s">
        <v>1</v>
      </c>
      <c r="I21" s="4">
        <v>10.99</v>
      </c>
      <c r="J21" s="4">
        <f>IFERROR(List[[#This Row],[QTY]]*List[[#This Row],[UNIT PRICE]],"")</f>
        <v>54.95</v>
      </c>
      <c r="K21" s="7"/>
    </row>
  </sheetData>
  <conditionalFormatting sqref="C4:K21">
    <cfRule type="expression" dxfId="2" priority="2">
      <formula>ISODD(ROW(TableAnchor))&lt;&gt;ISODD(ROW(C4))</formula>
    </cfRule>
  </conditionalFormatting>
  <dataValidations count="11">
    <dataValidation allowBlank="1" showInputMessage="1" showErrorMessage="1" prompt="Create a Grocery List in this worksheet. Enter details in List table. Totals are automatically calculated" sqref="A1" xr:uid="{00000000-0002-0000-0000-000000000000}"/>
    <dataValidation allowBlank="1" showInputMessage="1" showErrorMessage="1" prompt="Title of this worksheet is in this cell. Enter grocery details in table below. Category totals are automatically updated in column M" sqref="B2:L2" xr:uid="{00000000-0002-0000-0000-000001000000}"/>
    <dataValidation allowBlank="1" showInputMessage="1" showErrorMessage="1" prompt="Enter a number greater than 0 in this column under this heading to mark item as bought. Use heading filters to find specific entries" sqref="C3" xr:uid="{00000000-0002-0000-0000-000002000000}"/>
    <dataValidation allowBlank="1" showInputMessage="1" showErrorMessage="1" prompt="Enter Item in this column under this heading" sqref="D3" xr:uid="{00000000-0002-0000-0000-000003000000}"/>
    <dataValidation allowBlank="1" showInputMessage="1" showErrorMessage="1" prompt="Enter Store type in this column under this heading" sqref="E3" xr:uid="{00000000-0002-0000-0000-000004000000}"/>
    <dataValidation allowBlank="1" showInputMessage="1" showErrorMessage="1" prompt="Enter Category in this column under this heading" sqref="F3" xr:uid="{00000000-0002-0000-0000-000005000000}"/>
    <dataValidation allowBlank="1" showInputMessage="1" showErrorMessage="1" prompt="Enter Quantity in this column under this heading" sqref="G3" xr:uid="{00000000-0002-0000-0000-000006000000}"/>
    <dataValidation allowBlank="1" showInputMessage="1" showErrorMessage="1" prompt="Enter Unit in this column under this heading" sqref="H3" xr:uid="{00000000-0002-0000-0000-000007000000}"/>
    <dataValidation allowBlank="1" showInputMessage="1" showErrorMessage="1" prompt="Enter Unit Price in this column under this heading" sqref="I3" xr:uid="{00000000-0002-0000-0000-000008000000}"/>
    <dataValidation allowBlank="1" showInputMessage="1" showErrorMessage="1" prompt="Total is automatically calculated in this column under this heading" sqref="J3" xr:uid="{00000000-0002-0000-0000-000009000000}"/>
    <dataValidation allowBlank="1" showInputMessage="1" showErrorMessage="1" prompt="Enter Comment in this column under this heading" sqref="K3" xr:uid="{00000000-0002-0000-0000-00000A000000}"/>
  </dataValidations>
  <printOptions horizontalCentered="1"/>
  <pageMargins left="0.3" right="0.3" top="0.5" bottom="0.5" header="0.3" footer="0.3"/>
  <pageSetup scale="55" fitToHeight="0" orientation="portrait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DFC9C84-28BF-44D2-94EA-43F4C08E96CD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C4:C21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21"/>
  <sheetViews>
    <sheetView topLeftCell="C1" workbookViewId="0">
      <selection activeCell="C1" sqref="C1"/>
    </sheetView>
  </sheetViews>
  <sheetFormatPr baseColWidth="10" defaultColWidth="8.83203125" defaultRowHeight="15" x14ac:dyDescent="0.2"/>
  <cols>
    <col min="5" max="5" width="18.83203125" customWidth="1"/>
    <col min="11" max="12" width="12.33203125" customWidth="1"/>
    <col min="13" max="13" width="14.6640625" customWidth="1"/>
  </cols>
  <sheetData>
    <row r="1" spans="1:13" x14ac:dyDescent="0.2">
      <c r="A1" t="s">
        <v>25</v>
      </c>
    </row>
    <row r="3" spans="1:13" x14ac:dyDescent="0.2">
      <c r="K3" s="6">
        <f>SUM(List[TOTAL])-SUM(K6:K9)</f>
        <v>0</v>
      </c>
      <c r="L3" s="2">
        <f>ROUND(K3,0)</f>
        <v>0</v>
      </c>
      <c r="M3" t="s">
        <v>37</v>
      </c>
    </row>
    <row r="4" spans="1:13" x14ac:dyDescent="0.2">
      <c r="L4" s="2">
        <f>ROUNDUP(SUM(List[TOTAL]),0)</f>
        <v>271</v>
      </c>
      <c r="M4" t="s">
        <v>38</v>
      </c>
    </row>
    <row r="6" spans="1:13" x14ac:dyDescent="0.2">
      <c r="E6" s="8" t="str">
        <f t="array" ref="E6">IFERROR(INDEX(List[CATEGORY],MATCH(,COUNTIF($E$5:E5,List[CATEGORY]),)),"")</f>
        <v>Produce</v>
      </c>
      <c r="F6">
        <f>SUMIFS(List[TOTAL],List[CATEGORY],E6)</f>
        <v>44.875</v>
      </c>
      <c r="G6">
        <f>F6+ROW()/1000000</f>
        <v>44.875005999999999</v>
      </c>
      <c r="H6">
        <f>LARGE($G$6:$G$21,1)</f>
        <v>108.89000900000001</v>
      </c>
      <c r="I6">
        <f>MATCH(H6,$G$6:$G$21,0)</f>
        <v>4</v>
      </c>
      <c r="J6" t="str">
        <f>INDEX($E$6:$E$21,$I6)</f>
        <v>Seafood</v>
      </c>
      <c r="K6" s="1">
        <f>INDEX($F$6:$F$21,$I6)</f>
        <v>108.89</v>
      </c>
      <c r="L6" s="2">
        <f>ROUND(K6,0)</f>
        <v>109</v>
      </c>
      <c r="M6" t="str">
        <f>UPPER(J6) &amp; " TOTAL"</f>
        <v>SEAFOOD TOTAL</v>
      </c>
    </row>
    <row r="7" spans="1:13" x14ac:dyDescent="0.2">
      <c r="E7" s="8" t="str">
        <f t="array" ref="E7">IFERROR(INDEX(List[CATEGORY],MATCH(,COUNTIF($E$5:E6,List[CATEGORY]),)),"")</f>
        <v>Dairy</v>
      </c>
      <c r="F7">
        <f>SUMIFS(List[TOTAL],List[CATEGORY],E7)</f>
        <v>36.840000000000003</v>
      </c>
      <c r="G7">
        <f t="shared" ref="G7:G21" si="0">F7+ROW()/1000000</f>
        <v>36.840007</v>
      </c>
      <c r="H7">
        <f>LARGE($G$6:$G$21,2)</f>
        <v>79.900008</v>
      </c>
      <c r="I7">
        <f>MATCH(H7,$G$6:$G$21,0)</f>
        <v>3</v>
      </c>
      <c r="J7" t="str">
        <f>INDEX($E$6:$E$21,$I7)</f>
        <v>Meat</v>
      </c>
      <c r="K7" s="1">
        <f>INDEX($F$6:$F$21,$I7)</f>
        <v>79.900000000000006</v>
      </c>
      <c r="L7" s="2">
        <f>ROUND(K7,0)</f>
        <v>80</v>
      </c>
      <c r="M7" t="str">
        <f>UPPER(J7) &amp; " TOTAL"</f>
        <v>MEAT TOTAL</v>
      </c>
    </row>
    <row r="8" spans="1:13" x14ac:dyDescent="0.2">
      <c r="E8" s="8" t="str">
        <f t="array" ref="E8">IFERROR(INDEX(List[CATEGORY],MATCH(,COUNTIF($E$5:E7,List[CATEGORY]),)),"")</f>
        <v>Meat</v>
      </c>
      <c r="F8">
        <f>SUMIFS(List[TOTAL],List[CATEGORY],E8)</f>
        <v>79.900000000000006</v>
      </c>
      <c r="G8">
        <f t="shared" si="0"/>
        <v>79.900008</v>
      </c>
      <c r="H8">
        <f>LARGE($G$6:$G$21,3)</f>
        <v>44.875005999999999</v>
      </c>
      <c r="I8">
        <f>MATCH(H8,$G$6:$G$21,0)</f>
        <v>1</v>
      </c>
      <c r="J8" t="str">
        <f>INDEX($E$6:$E$21,$I8)</f>
        <v>Produce</v>
      </c>
      <c r="K8" s="1">
        <f>INDEX($F$6:$F$21,$I8)</f>
        <v>44.875</v>
      </c>
      <c r="L8" s="2">
        <f>ROUND(K8,0)</f>
        <v>45</v>
      </c>
      <c r="M8" t="str">
        <f>UPPER(J8) &amp; " TOTAL"</f>
        <v>PRODUCE TOTAL</v>
      </c>
    </row>
    <row r="9" spans="1:13" x14ac:dyDescent="0.2">
      <c r="E9" s="8" t="str">
        <f t="array" ref="E9">IFERROR(INDEX(List[CATEGORY],MATCH(,COUNTIF($E$5:E8,List[CATEGORY]),)),"")</f>
        <v>Seafood</v>
      </c>
      <c r="F9">
        <f>SUMIFS(List[TOTAL],List[CATEGORY],E9)</f>
        <v>108.89</v>
      </c>
      <c r="G9">
        <f t="shared" si="0"/>
        <v>108.89000900000001</v>
      </c>
      <c r="H9">
        <f>LARGE($G$6:$G$21,4)</f>
        <v>36.840007</v>
      </c>
      <c r="I9">
        <f>MATCH(H9,$G$6:$G$21,0)</f>
        <v>2</v>
      </c>
      <c r="J9" t="str">
        <f>INDEX($E$6:$E$21,$I9)</f>
        <v>Dairy</v>
      </c>
      <c r="K9" s="1">
        <f>INDEX($F$6:$F$21,$I9)</f>
        <v>36.840000000000003</v>
      </c>
      <c r="L9" s="2">
        <f>ROUND(K9,0)</f>
        <v>37</v>
      </c>
      <c r="M9" t="str">
        <f>UPPER(J9) &amp; " TOTAL"</f>
        <v>DAIRY TOTAL</v>
      </c>
    </row>
    <row r="10" spans="1:13" x14ac:dyDescent="0.2">
      <c r="E10" s="8" t="str">
        <f t="array" ref="E10">IFERROR(INDEX(List[CATEGORY],MATCH(,COUNTIF($E$5:E9,List[CATEGORY]),)),"")</f>
        <v/>
      </c>
      <c r="F10">
        <f>SUMIFS(List[TOTAL],List[CATEGORY],E10)</f>
        <v>0</v>
      </c>
      <c r="G10">
        <f t="shared" si="0"/>
        <v>1.0000000000000001E-5</v>
      </c>
      <c r="K10" s="1"/>
      <c r="L10" s="1"/>
    </row>
    <row r="11" spans="1:13" x14ac:dyDescent="0.2">
      <c r="E11" s="8" t="str">
        <f t="array" ref="E11">IFERROR(INDEX(List[CATEGORY],MATCH(,COUNTIF($E$5:E10,List[CATEGORY]),)),"")</f>
        <v/>
      </c>
      <c r="F11">
        <f>SUMIFS(List[TOTAL],List[CATEGORY],E11)</f>
        <v>0</v>
      </c>
      <c r="G11">
        <f t="shared" si="0"/>
        <v>1.1E-5</v>
      </c>
      <c r="K11" s="1"/>
      <c r="L11" s="1"/>
    </row>
    <row r="12" spans="1:13" x14ac:dyDescent="0.2">
      <c r="E12" s="8" t="str">
        <f t="array" ref="E12">IFERROR(INDEX(List[CATEGORY],MATCH(,COUNTIF($E$5:E11,List[CATEGORY]),)),"")</f>
        <v/>
      </c>
      <c r="F12">
        <f>SUMIFS(List[TOTAL],List[CATEGORY],E12)</f>
        <v>0</v>
      </c>
      <c r="G12">
        <f t="shared" si="0"/>
        <v>1.2E-5</v>
      </c>
      <c r="K12" s="1"/>
      <c r="L12" s="1"/>
    </row>
    <row r="13" spans="1:13" x14ac:dyDescent="0.2">
      <c r="E13" s="8" t="str">
        <f t="array" ref="E13">IFERROR(INDEX(List[CATEGORY],MATCH(,COUNTIF($E$5:E12,List[CATEGORY]),)),"")</f>
        <v/>
      </c>
      <c r="F13">
        <f>SUMIFS(List[TOTAL],List[CATEGORY],E13)</f>
        <v>0</v>
      </c>
      <c r="G13">
        <f t="shared" si="0"/>
        <v>1.2999999999999999E-5</v>
      </c>
      <c r="K13" s="1"/>
      <c r="L13" s="1"/>
    </row>
    <row r="14" spans="1:13" x14ac:dyDescent="0.2">
      <c r="E14" s="8" t="str">
        <f t="array" ref="E14">IFERROR(INDEX(List[CATEGORY],MATCH(,COUNTIF($E$5:E13,List[CATEGORY]),)),"")</f>
        <v/>
      </c>
      <c r="F14">
        <f>SUMIFS(List[TOTAL],List[CATEGORY],E14)</f>
        <v>0</v>
      </c>
      <c r="G14">
        <f t="shared" si="0"/>
        <v>1.4E-5</v>
      </c>
      <c r="K14" s="1"/>
      <c r="L14" s="1"/>
    </row>
    <row r="15" spans="1:13" x14ac:dyDescent="0.2">
      <c r="E15" s="8" t="str">
        <f t="array" ref="E15">IFERROR(INDEX(List[CATEGORY],MATCH(,COUNTIF($E$5:E14,List[CATEGORY]),)),"")</f>
        <v/>
      </c>
      <c r="F15">
        <f>SUMIFS(List[TOTAL],List[CATEGORY],E15)</f>
        <v>0</v>
      </c>
      <c r="G15">
        <f t="shared" si="0"/>
        <v>1.5E-5</v>
      </c>
      <c r="K15" s="1"/>
      <c r="L15" s="1"/>
    </row>
    <row r="16" spans="1:13" x14ac:dyDescent="0.2">
      <c r="E16" s="8" t="str">
        <f t="array" ref="E16">IFERROR(INDEX(List[CATEGORY],MATCH(,COUNTIF($E$5:E15,List[CATEGORY]),)),"")</f>
        <v/>
      </c>
      <c r="F16">
        <f>SUMIFS(List[TOTAL],List[CATEGORY],E16)</f>
        <v>0</v>
      </c>
      <c r="G16">
        <f t="shared" si="0"/>
        <v>1.5999999999999999E-5</v>
      </c>
      <c r="K16" s="1"/>
      <c r="L16" s="1"/>
    </row>
    <row r="17" spans="5:12" x14ac:dyDescent="0.2">
      <c r="E17" s="8" t="str">
        <f t="array" ref="E17">IFERROR(INDEX(List[CATEGORY],MATCH(,COUNTIF($E$5:E16,List[CATEGORY]),)),"")</f>
        <v/>
      </c>
      <c r="F17">
        <f>SUMIFS(List[TOTAL],List[CATEGORY],E17)</f>
        <v>0</v>
      </c>
      <c r="G17">
        <f t="shared" si="0"/>
        <v>1.7E-5</v>
      </c>
      <c r="K17" s="1"/>
      <c r="L17" s="1"/>
    </row>
    <row r="18" spans="5:12" x14ac:dyDescent="0.2">
      <c r="E18" s="8" t="str">
        <f t="array" ref="E18">IFERROR(INDEX(List[CATEGORY],MATCH(,COUNTIF($E$5:E17,List[CATEGORY]),)),"")</f>
        <v/>
      </c>
      <c r="F18">
        <f>SUMIFS(List[TOTAL],List[CATEGORY],E18)</f>
        <v>0</v>
      </c>
      <c r="G18">
        <f t="shared" si="0"/>
        <v>1.8E-5</v>
      </c>
      <c r="K18" s="1"/>
      <c r="L18" s="1"/>
    </row>
    <row r="19" spans="5:12" x14ac:dyDescent="0.2">
      <c r="E19" s="8" t="str">
        <f t="array" ref="E19">IFERROR(INDEX(List[CATEGORY],MATCH(,COUNTIF($E$5:E18,List[CATEGORY]),)),"")</f>
        <v/>
      </c>
      <c r="F19">
        <f>SUMIFS(List[TOTAL],List[CATEGORY],E19)</f>
        <v>0</v>
      </c>
      <c r="G19">
        <f t="shared" si="0"/>
        <v>1.9000000000000001E-5</v>
      </c>
      <c r="K19" s="1"/>
      <c r="L19" s="1"/>
    </row>
    <row r="20" spans="5:12" x14ac:dyDescent="0.2">
      <c r="E20" s="8" t="str">
        <f t="array" ref="E20">IFERROR(INDEX(List[CATEGORY],MATCH(,COUNTIF($E$5:E19,List[CATEGORY]),)),"")</f>
        <v/>
      </c>
      <c r="F20">
        <f>SUMIFS(List[TOTAL],List[CATEGORY],E20)</f>
        <v>0</v>
      </c>
      <c r="G20">
        <f t="shared" si="0"/>
        <v>2.0000000000000002E-5</v>
      </c>
      <c r="K20" s="1"/>
      <c r="L20" s="1"/>
    </row>
    <row r="21" spans="5:12" x14ac:dyDescent="0.2">
      <c r="E21" s="8" t="str">
        <f t="array" ref="E21">IFERROR(INDEX(List[CATEGORY],MATCH(,COUNTIF($E$5:E20,List[CATEGORY]),)),"")</f>
        <v/>
      </c>
      <c r="F21">
        <f>SUMIFS(List[TOTAL],List[CATEGORY],E21)</f>
        <v>0</v>
      </c>
      <c r="G21">
        <f t="shared" si="0"/>
        <v>2.0999999999999999E-5</v>
      </c>
      <c r="K21" s="1"/>
      <c r="L21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1AE417-F442-44C5-8B15-1F25F39B4059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FE994131-404A-49BD-B3A3-CB101B6408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425CC0-3125-427B-A400-3EA540BCC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Grocery List</vt:lpstr>
      <vt:lpstr>calculations</vt:lpstr>
      <vt:lpstr>ColumnTitle1</vt:lpstr>
      <vt:lpstr>GroceryTotal</vt:lpstr>
      <vt:lpstr>'Grocery List'!Print_Titles</vt:lpstr>
      <vt:lpstr>TableAnchor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2019-06-15T18:35:45Z</dcterms:created>
  <dcterms:modified xsi:type="dcterms:W3CDTF">2020-12-03T06:59:10Z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