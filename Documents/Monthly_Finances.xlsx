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53" documentId="8_{4F37983D-ACC9-43D3-AFC1-F5F20D16CBA1}" xr6:coauthVersionLast="47" xr6:coauthVersionMax="47" xr10:uidLastSave="{11BF2FD9-279B-47A9-AFA2-9AF38A434820}"/>
  <bookViews>
    <workbookView xWindow="-120" yWindow="-120" windowWidth="29040" windowHeight="15720" xr2:uid="{00000000-000D-0000-FFFF-FFFF00000000}"/>
  </bookViews>
  <sheets>
    <sheet name="Transact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<sst xmlns="http://schemas.openxmlformats.org/spreadsheetml/2006/main" count="64" uniqueCount="38">
  <si>
    <t>Date</t>
  </si>
  <si>
    <t>Category</t>
  </si>
  <si>
    <t>Subcategory</t>
  </si>
  <si>
    <t>Description</t>
  </si>
  <si>
    <t>Amount</t>
  </si>
  <si>
    <t>Category and Subcategory</t>
  </si>
  <si>
    <t>Expenses</t>
  </si>
  <si>
    <t>Subscriptions</t>
  </si>
  <si>
    <t>Apollo.io (Due on 5/31)</t>
  </si>
  <si>
    <t>Healthcare</t>
  </si>
  <si>
    <t>Doctors Appointment + ADHD Meds</t>
  </si>
  <si>
    <t>Housing</t>
  </si>
  <si>
    <t>Rent (Due on 6/1)</t>
  </si>
  <si>
    <t>Fitness</t>
  </si>
  <si>
    <t>Strong Shapely (Due on 6/1)</t>
  </si>
  <si>
    <t>Transportation</t>
  </si>
  <si>
    <t>NJ Transit Bus Monthly Pass (Due on 6/1)</t>
  </si>
  <si>
    <t>Subway Tickets (12 rides x $2.75)</t>
  </si>
  <si>
    <t>Gas (Estimated)</t>
  </si>
  <si>
    <t>Groceries</t>
  </si>
  <si>
    <t>Groceries and Costco (Estimated)</t>
  </si>
  <si>
    <t>Canceled Expenses</t>
  </si>
  <si>
    <t>Elite Fitness (canceled)</t>
  </si>
  <si>
    <t>Sales Navigator (canceled)</t>
  </si>
  <si>
    <t>Entertainment</t>
  </si>
  <si>
    <t>Golfzon Membership (canceled)</t>
  </si>
  <si>
    <t>Gold's Gym (canceled)</t>
  </si>
  <si>
    <t>YouTube TV (canceled)</t>
  </si>
  <si>
    <t>Personal Care</t>
  </si>
  <si>
    <t>Second Haircut/Beard Appointment (canceled)</t>
  </si>
  <si>
    <t>Haircut/Beard (Due on 6/3)</t>
  </si>
  <si>
    <t>Income</t>
  </si>
  <si>
    <t>Salary</t>
  </si>
  <si>
    <t>Paycheck 6/7 (pre-tax)</t>
  </si>
  <si>
    <t>Saturday Golf (canceled until 6/7)</t>
  </si>
  <si>
    <t>Paycheck 6/21 (pre-tax)</t>
  </si>
  <si>
    <t>Rent (Due on 7/1)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</si>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</sst>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65" formatCode="&quot;$&quot;#,##0.00"/>
    </dxf>
    <dxf>
      <numFmt numFmtId="164" formatCode="_([$$-409]* #,##0.00_);_([$$-409]* \(#,##0.00\);_([$$-409]* &quot;-&quot;??_);_(@_)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DFB80A-5413-442E-BFF1-23A3DA2E7F78}" name="Table2" displayName="Table2" ref="A1:F21" totalsRowCount="1" headerRowDxfId="6" headerRowBorderDxfId="4" tableBorderDxfId="5">
  <autoFilter ref="A1:F20" xr:uid="{6FDFB80A-5413-442E-BFF1-23A3DA2E7F78}"/>
  <tableColumns count="6">
    <tableColumn id="1" xr3:uid="{3B4CA080-CB09-4A38-AEBB-2AB457D3A944}" name="Date" totalsRowLabel="Total" dataDxfId="3"/>
    <tableColumn id="2" xr3:uid="{01608D05-B8FA-42A0-B9C1-7715E7AE7B05}" name="Category"/>
    <tableColumn id="3" xr3:uid="{DAAADC30-CF1C-4002-A17F-7727CCACBA0C}" name="Subcategory"/>
    <tableColumn id="4" xr3:uid="{41BB0D47-F1AA-46AC-B10A-CF650E9BC68B}" name="Description"/>
    <tableColumn id="5" xr3:uid="{54F8A28C-0934-40AB-B4E1-2CD6DAAEAA6D}" name="Amount" totalsRowFunction="custom" dataDxfId="1" totalsRowDxfId="2">
      <totalsRowFormula>SUBTOTAL(109,E2:E20)</totalsRowFormula>
    </tableColumn>
    <tableColumn id="6" xr3:uid="{ECA4433F-9573-4215-B203-96F8F288AE0E}" name="Category and Subcategory" dataDxfId="0">
      <calculatedColumnFormula>Table2[[#This Row],[Category]]&amp;"-"&amp;Table2[[#This Row],[Subcategory]]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5487C9-890D-4079-AD96-7561EECED275}">
  <we:reference id="wa200006575" version="1.0.0.1" store="en-US" storeType="OMEX"/>
  <we:alternateReferences>
    <we:reference id="wa200006575" version="1.0.0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K6" sqref="K6"/>
    </sheetView>
  </sheetViews>
  <sheetFormatPr defaultRowHeight="15"/>
  <cols>
    <col min="1" max="1" width="11.140625" bestFit="1" customWidth="1"/>
    <col min="2" max="2" width="17.85546875" bestFit="1" customWidth="1"/>
    <col min="3" max="3" width="14.42578125" bestFit="1" customWidth="1"/>
    <col min="4" max="4" width="30.7109375" bestFit="1" customWidth="1"/>
    <col min="5" max="5" width="11.85546875" bestFit="1" customWidth="1"/>
    <col min="6" max="6" width="31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45450</v>
      </c>
      <c r="B2" t="s">
        <v>31</v>
      </c>
      <c r="C2" t="s">
        <v>32</v>
      </c>
      <c r="D2" t="s">
        <v>33</v>
      </c>
      <c r="E2" s="4">
        <v>4166</v>
      </c>
      <c r="F2" s="2" t="str">
        <f>Table2[[#This Row],[Category]]&amp;"-"&amp;Table2[[#This Row],[Subcategory]]</f>
        <v>Income-Salary</v>
      </c>
    </row>
    <row r="3" spans="1:6">
      <c r="A3" s="3">
        <v>45464</v>
      </c>
      <c r="B3" t="s">
        <v>31</v>
      </c>
      <c r="C3" t="s">
        <v>32</v>
      </c>
      <c r="D3" t="s">
        <v>35</v>
      </c>
      <c r="E3" s="4">
        <v>4166</v>
      </c>
      <c r="F3" s="2" t="str">
        <f>Table2[[#This Row],[Category]]&amp;"-"&amp;Table2[[#This Row],[Subcategory]]</f>
        <v>Income-Salary</v>
      </c>
    </row>
    <row r="4" spans="1:6">
      <c r="A4" s="3">
        <v>45444</v>
      </c>
      <c r="B4" t="s">
        <v>6</v>
      </c>
      <c r="C4" t="s">
        <v>9</v>
      </c>
      <c r="D4" t="s">
        <v>10</v>
      </c>
      <c r="E4" s="4">
        <v>-789</v>
      </c>
      <c r="F4" s="2" t="str">
        <f>Table2[[#This Row],[Category]]&amp;"-"&amp;Table2[[#This Row],[Subcategory]]</f>
        <v>Expenses-Healthcare</v>
      </c>
    </row>
    <row r="5" spans="1:6">
      <c r="A5" s="3">
        <v>45444</v>
      </c>
      <c r="B5" t="s">
        <v>6</v>
      </c>
      <c r="C5" t="s">
        <v>11</v>
      </c>
      <c r="D5" t="s">
        <v>12</v>
      </c>
      <c r="E5" s="4">
        <v>-1475</v>
      </c>
      <c r="F5" s="2" t="str">
        <f>Table2[[#This Row],[Category]]&amp;"-"&amp;Table2[[#This Row],[Subcategory]]</f>
        <v>Expenses-Housing</v>
      </c>
    </row>
    <row r="6" spans="1:6">
      <c r="A6" s="3">
        <v>45444</v>
      </c>
      <c r="B6" t="s">
        <v>6</v>
      </c>
      <c r="C6" t="s">
        <v>13</v>
      </c>
      <c r="D6" t="s">
        <v>14</v>
      </c>
      <c r="E6" s="4">
        <v>-59</v>
      </c>
      <c r="F6" s="2" t="str">
        <f>Table2[[#This Row],[Category]]&amp;"-"&amp;Table2[[#This Row],[Subcategory]]</f>
        <v>Expenses-Fitness</v>
      </c>
    </row>
    <row r="7" spans="1:6">
      <c r="A7" s="3">
        <v>45443</v>
      </c>
      <c r="B7" t="s">
        <v>6</v>
      </c>
      <c r="C7" t="s">
        <v>7</v>
      </c>
      <c r="D7" t="s">
        <v>8</v>
      </c>
      <c r="E7" s="4">
        <v>-99</v>
      </c>
      <c r="F7" s="2" t="str">
        <f>Table2[[#This Row],[Category]]&amp;"-"&amp;Table2[[#This Row],[Subcategory]]</f>
        <v>Expenses-Subscriptions</v>
      </c>
    </row>
    <row r="8" spans="1:6">
      <c r="A8" s="3">
        <v>45444</v>
      </c>
      <c r="B8" t="s">
        <v>6</v>
      </c>
      <c r="C8" t="s">
        <v>15</v>
      </c>
      <c r="D8" t="s">
        <v>16</v>
      </c>
      <c r="E8" s="4">
        <v>-69</v>
      </c>
      <c r="F8" s="2" t="str">
        <f>Table2[[#This Row],[Category]]&amp;"-"&amp;Table2[[#This Row],[Subcategory]]</f>
        <v>Expenses-Transportation</v>
      </c>
    </row>
    <row r="9" spans="1:6">
      <c r="A9" s="3">
        <v>45444</v>
      </c>
      <c r="B9" t="s">
        <v>6</v>
      </c>
      <c r="C9" t="s">
        <v>15</v>
      </c>
      <c r="D9" t="s">
        <v>17</v>
      </c>
      <c r="E9" s="4">
        <v>-33</v>
      </c>
      <c r="F9" s="2" t="str">
        <f>Table2[[#This Row],[Category]]&amp;"-"&amp;Table2[[#This Row],[Subcategory]]</f>
        <v>Expenses-Transportation</v>
      </c>
    </row>
    <row r="10" spans="1:6">
      <c r="A10" s="3">
        <v>45444</v>
      </c>
      <c r="B10" t="s">
        <v>6</v>
      </c>
      <c r="C10" t="s">
        <v>15</v>
      </c>
      <c r="D10" t="s">
        <v>18</v>
      </c>
      <c r="E10" s="4">
        <v>-99</v>
      </c>
      <c r="F10" s="2" t="str">
        <f>Table2[[#This Row],[Category]]&amp;"-"&amp;Table2[[#This Row],[Subcategory]]</f>
        <v>Expenses-Transportation</v>
      </c>
    </row>
    <row r="11" spans="1:6">
      <c r="A11" s="3">
        <v>45444</v>
      </c>
      <c r="B11" t="s">
        <v>6</v>
      </c>
      <c r="C11" t="s">
        <v>19</v>
      </c>
      <c r="D11" t="s">
        <v>20</v>
      </c>
      <c r="E11" s="4">
        <v>-461</v>
      </c>
      <c r="F11" s="2" t="str">
        <f>Table2[[#This Row],[Category]]&amp;"-"&amp;Table2[[#This Row],[Subcategory]]</f>
        <v>Expenses-Groceries</v>
      </c>
    </row>
    <row r="12" spans="1:6">
      <c r="A12" s="3">
        <v>45446</v>
      </c>
      <c r="B12" t="s">
        <v>6</v>
      </c>
      <c r="C12" t="s">
        <v>28</v>
      </c>
      <c r="D12" t="s">
        <v>30</v>
      </c>
      <c r="E12" s="4">
        <v>-60</v>
      </c>
      <c r="F12" s="2" t="str">
        <f>Table2[[#This Row],[Category]]&amp;"-"&amp;Table2[[#This Row],[Subcategory]]</f>
        <v>Expenses-Personal Care</v>
      </c>
    </row>
    <row r="13" spans="1:6">
      <c r="A13" s="3">
        <v>45474</v>
      </c>
      <c r="B13" t="s">
        <v>6</v>
      </c>
      <c r="C13" t="s">
        <v>11</v>
      </c>
      <c r="D13" t="s">
        <v>36</v>
      </c>
      <c r="E13" s="4">
        <v>-1475</v>
      </c>
      <c r="F13" s="2" t="str">
        <f>Table2[[#This Row],[Category]]&amp;"-"&amp;Table2[[#This Row],[Subcategory]]</f>
        <v>Expenses-Housing</v>
      </c>
    </row>
    <row r="14" spans="1:6">
      <c r="A14" s="3">
        <v>45444</v>
      </c>
      <c r="B14" t="s">
        <v>21</v>
      </c>
      <c r="C14" t="s">
        <v>13</v>
      </c>
      <c r="D14" t="s">
        <v>22</v>
      </c>
      <c r="E14" s="4">
        <v>-60</v>
      </c>
      <c r="F14" s="2" t="str">
        <f>Table2[[#This Row],[Category]]&amp;"-"&amp;Table2[[#This Row],[Subcategory]]</f>
        <v>Canceled Expenses-Fitness</v>
      </c>
    </row>
    <row r="15" spans="1:6">
      <c r="A15" s="3">
        <v>45444</v>
      </c>
      <c r="B15" t="s">
        <v>21</v>
      </c>
      <c r="C15" t="s">
        <v>7</v>
      </c>
      <c r="D15" t="s">
        <v>23</v>
      </c>
      <c r="E15" s="4">
        <v>-100</v>
      </c>
      <c r="F15" s="2" t="str">
        <f>Table2[[#This Row],[Category]]&amp;"-"&amp;Table2[[#This Row],[Subcategory]]</f>
        <v>Canceled Expenses-Subscriptions</v>
      </c>
    </row>
    <row r="16" spans="1:6">
      <c r="A16" s="3">
        <v>45444</v>
      </c>
      <c r="B16" t="s">
        <v>21</v>
      </c>
      <c r="C16" t="s">
        <v>24</v>
      </c>
      <c r="D16" t="s">
        <v>25</v>
      </c>
      <c r="E16" s="4">
        <v>-240</v>
      </c>
      <c r="F16" s="2" t="str">
        <f>Table2[[#This Row],[Category]]&amp;"-"&amp;Table2[[#This Row],[Subcategory]]</f>
        <v>Canceled Expenses-Entertainment</v>
      </c>
    </row>
    <row r="17" spans="1:6">
      <c r="A17" s="3">
        <v>45444</v>
      </c>
      <c r="B17" t="s">
        <v>21</v>
      </c>
      <c r="C17" t="s">
        <v>13</v>
      </c>
      <c r="D17" t="s">
        <v>26</v>
      </c>
      <c r="E17" s="4">
        <v>-39</v>
      </c>
      <c r="F17" s="2" t="str">
        <f>Table2[[#This Row],[Category]]&amp;"-"&amp;Table2[[#This Row],[Subcategory]]</f>
        <v>Canceled Expenses-Fitness</v>
      </c>
    </row>
    <row r="18" spans="1:6">
      <c r="A18" s="3">
        <v>45450</v>
      </c>
      <c r="B18" t="s">
        <v>21</v>
      </c>
      <c r="C18" t="s">
        <v>24</v>
      </c>
      <c r="D18" t="s">
        <v>34</v>
      </c>
      <c r="E18" s="4">
        <v>-80</v>
      </c>
      <c r="F18" s="2" t="str">
        <f>Table2[[#This Row],[Category]]&amp;"-"&amp;Table2[[#This Row],[Subcategory]]</f>
        <v>Canceled Expenses-Entertainment</v>
      </c>
    </row>
    <row r="19" spans="1:6">
      <c r="A19" s="3">
        <v>45444</v>
      </c>
      <c r="B19" t="s">
        <v>21</v>
      </c>
      <c r="C19" t="s">
        <v>7</v>
      </c>
      <c r="D19" t="s">
        <v>27</v>
      </c>
      <c r="E19" s="4">
        <v>-99</v>
      </c>
      <c r="F19" s="2" t="str">
        <f>Table2[[#This Row],[Category]]&amp;"-"&amp;Table2[[#This Row],[Subcategory]]</f>
        <v>Canceled Expenses-Subscriptions</v>
      </c>
    </row>
    <row r="20" spans="1:6">
      <c r="A20" s="3">
        <v>45444</v>
      </c>
      <c r="B20" t="s">
        <v>21</v>
      </c>
      <c r="C20" t="s">
        <v>28</v>
      </c>
      <c r="D20" t="s">
        <v>29</v>
      </c>
      <c r="E20" s="4">
        <v>-60</v>
      </c>
      <c r="F20" s="2" t="str">
        <f>Table2[[#This Row],[Category]]&amp;"-"&amp;Table2[[#This Row],[Subcategory]]</f>
        <v>Canceled Expenses-Personal Care</v>
      </c>
    </row>
    <row r="21" spans="1:6">
      <c r="A21" t="s">
        <v>37</v>
      </c>
      <c r="E21" s="4">
        <f>SUBTOTAL(109,E2:E20)</f>
        <v>3035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Bryan Blair</cp:lastModifiedBy>
  <cp:revision/>
  <dcterms:created xsi:type="dcterms:W3CDTF">2024-05-27T13:40:15Z</dcterms:created>
  <dcterms:modified xsi:type="dcterms:W3CDTF">2024-05-27T16:48:06Z</dcterms:modified>
  <cp:category/>
  <cp:contentStatus/>
</cp:coreProperties>
</file>