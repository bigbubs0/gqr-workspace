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wyndenstark-my.sharepoint.com/personal/bryan_blair_gqr_com/Documents/"/>
    </mc:Choice>
  </mc:AlternateContent>
  <xr:revisionPtr revIDLastSave="0" documentId="8_{83C33908-1674-4553-B232-2C8CDFC3286B}" xr6:coauthVersionLast="47" xr6:coauthVersionMax="47" xr10:uidLastSave="{00000000-0000-0000-0000-000000000000}"/>
  <bookViews>
    <workbookView xWindow="9940" yWindow="1069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2" i="1" l="1"/>
  <c r="C20" i="1" l="1"/>
  <c r="G32" i="1" l="1"/>
  <c r="C25" i="1"/>
  <c r="A1" i="1"/>
  <c r="C24" i="1" l="1"/>
  <c r="C22" i="1"/>
  <c r="C23" i="1"/>
</calcChain>
</file>

<file path=xl/sharedStrings.xml><?xml version="1.0" encoding="utf-8"?>
<sst xmlns="http://schemas.openxmlformats.org/spreadsheetml/2006/main" count="40" uniqueCount="38">
  <si>
    <t>Request By:</t>
  </si>
  <si>
    <t>Date Requested:</t>
  </si>
  <si>
    <t>Company Name:</t>
  </si>
  <si>
    <t>Address:</t>
  </si>
  <si>
    <t>Phone Number:</t>
  </si>
  <si>
    <t>Website:</t>
  </si>
  <si>
    <t>Contact Name:</t>
  </si>
  <si>
    <t>Email:</t>
  </si>
  <si>
    <t>Work Type</t>
  </si>
  <si>
    <t>Expected Number of Contractors:</t>
  </si>
  <si>
    <t>Perm</t>
  </si>
  <si>
    <t>Contract</t>
  </si>
  <si>
    <t>Average Weeky Invoice Amount</t>
  </si>
  <si>
    <t>Credit Clearance Form</t>
  </si>
  <si>
    <t>Authorized By:</t>
  </si>
  <si>
    <t>Average Daily Pay Rate:</t>
  </si>
  <si>
    <t>Authorized Credit Limit:</t>
  </si>
  <si>
    <t>Authorized Payment Terms:</t>
  </si>
  <si>
    <t>To Be Completed by Finance</t>
  </si>
  <si>
    <t>Authorized Number of Contractors:</t>
  </si>
  <si>
    <t>Projected Exposure 7 Day Payment Terms</t>
  </si>
  <si>
    <t>Projected Exposure 14 Day Payment Terms</t>
  </si>
  <si>
    <t>Projected Exposure 30 Day Payment Terms</t>
  </si>
  <si>
    <t>Projected Exposure 45 Day Payment Terms</t>
  </si>
  <si>
    <t>If Contract, please complete table below</t>
  </si>
  <si>
    <t>MarkUp</t>
  </si>
  <si>
    <t>Comments:</t>
  </si>
  <si>
    <t>Date of Approval:</t>
  </si>
  <si>
    <t>Additional Comments (if any):</t>
  </si>
  <si>
    <t>Dunn &amp; Bradstreet No. (if available)</t>
  </si>
  <si>
    <t>Please send completed form to creditchecks@gqrgm.com</t>
  </si>
  <si>
    <t>Atorus Inc</t>
  </si>
  <si>
    <t>25 Glen Rd, Mountain Lakes, NJ 07046-1141</t>
  </si>
  <si>
    <t>https://www.atorusresearch.com/about/why-atorus/</t>
  </si>
  <si>
    <t xml:space="preserve"> Christine Kanalis</t>
  </si>
  <si>
    <t>christine.kanalis@atorusresearch.com</t>
  </si>
  <si>
    <t>Bryan Blair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</si>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</sst>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Protection="1">
      <protection locked="0"/>
    </xf>
    <xf numFmtId="0" fontId="0" fillId="4" borderId="0" xfId="0" applyFill="1" applyAlignment="1">
      <alignment horizontal="center"/>
    </xf>
    <xf numFmtId="0" fontId="0" fillId="4" borderId="0" xfId="0" applyFill="1"/>
    <xf numFmtId="0" fontId="4" fillId="5" borderId="0" xfId="0" applyFont="1" applyFill="1"/>
    <xf numFmtId="0" fontId="5" fillId="0" borderId="0" xfId="0" applyFont="1"/>
    <xf numFmtId="9" fontId="0" fillId="2" borderId="0" xfId="2" applyFont="1" applyFill="1" applyProtection="1">
      <protection locked="0"/>
    </xf>
    <xf numFmtId="164" fontId="0" fillId="0" borderId="0" xfId="1" applyNumberFormat="1" applyFont="1"/>
    <xf numFmtId="0" fontId="0" fillId="2" borderId="0" xfId="0" applyFill="1" applyAlignment="1" applyProtection="1">
      <alignment horizontal="center"/>
      <protection locked="0"/>
    </xf>
    <xf numFmtId="0" fontId="2" fillId="0" borderId="0" xfId="0" applyFont="1"/>
    <xf numFmtId="15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 applyProtection="1">
      <alignment horizontal="center"/>
      <protection locked="0"/>
    </xf>
    <xf numFmtId="0" fontId="0" fillId="3" borderId="0" xfId="0" applyFill="1" applyAlignment="1">
      <alignment horizontal="center"/>
    </xf>
    <xf numFmtId="164" fontId="0" fillId="2" borderId="0" xfId="1" applyNumberFormat="1" applyFont="1" applyFill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2" borderId="0" xfId="0" applyFill="1" applyAlignment="1" applyProtection="1">
      <alignment horizontal="center" wrapText="1"/>
      <protection locked="0"/>
    </xf>
    <xf numFmtId="0" fontId="2" fillId="2" borderId="0" xfId="0" applyFont="1" applyFill="1" applyAlignment="1" applyProtection="1">
      <alignment horizontal="center"/>
      <protection locked="0"/>
    </xf>
    <xf numFmtId="14" fontId="2" fillId="2" borderId="0" xfId="0" applyNumberFormat="1" applyFont="1" applyFill="1" applyAlignment="1" applyProtection="1">
      <alignment horizont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lightGray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85724</xdr:colOff>
      <xdr:row>0</xdr:row>
      <xdr:rowOff>57151</xdr:rowOff>
    </xdr:from>
    <xdr:to>
      <xdr:col>1</xdr:col>
      <xdr:colOff>1657350</xdr:colOff>
      <xdr:row>2</xdr:row>
      <xdr:rowOff>19175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DAE5FE-84F5-497F-84AA-C5905009C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4" y="57151"/>
          <a:ext cx="2171701" cy="409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7"/>
  <sheetViews>
    <sheetView showGridLines="0" tabSelected="1" workbookViewId="0">
      <selection activeCell="C27" sqref="C27:K27"/>
    </sheetView>
  </sheetViews>
  <sheetFormatPr defaultRowHeight="15" x14ac:dyDescent="0.25"/>
  <cols>
    <col min="2" max="2" width="39.42578125" bestFit="1" customWidth="1"/>
    <col min="3" max="3" width="10.5703125" bestFit="1" customWidth="1"/>
    <col min="8" max="8" width="15.85546875" bestFit="1" customWidth="1"/>
    <col min="13" max="13" width="0" hidden="1" customWidth="1"/>
  </cols>
  <sheetData>
    <row r="1" spans="1:13" ht="21" x14ac:dyDescent="0.35">
      <c r="A1" s="5">
        <f>IF(I13="Perm",1,2)</f>
        <v>2</v>
      </c>
      <c r="B1" s="16" t="s">
        <v>13</v>
      </c>
      <c r="C1" s="16"/>
      <c r="D1" s="16"/>
      <c r="E1" s="16"/>
      <c r="F1" s="16"/>
      <c r="G1" s="16"/>
      <c r="H1" s="16"/>
      <c r="I1" s="16"/>
      <c r="J1" s="16"/>
      <c r="K1" s="16"/>
    </row>
    <row r="3" spans="1:13" x14ac:dyDescent="0.25">
      <c r="B3" t="s">
        <v>2</v>
      </c>
      <c r="C3" s="13" t="s">
        <v>31</v>
      </c>
      <c r="D3" s="13"/>
      <c r="E3" s="13"/>
      <c r="F3" s="13"/>
      <c r="G3" s="1"/>
      <c r="H3" t="s">
        <v>0</v>
      </c>
      <c r="I3" s="19" t="s">
        <v>36</v>
      </c>
      <c r="J3" s="19"/>
      <c r="K3" s="19"/>
    </row>
    <row r="4" spans="1:13" x14ac:dyDescent="0.25">
      <c r="B4" t="s">
        <v>3</v>
      </c>
      <c r="C4" s="18" t="s">
        <v>32</v>
      </c>
      <c r="D4" s="13"/>
      <c r="E4" s="13"/>
      <c r="F4" s="13"/>
      <c r="G4" s="1"/>
      <c r="H4" t="s">
        <v>1</v>
      </c>
      <c r="I4" s="20">
        <v>45734</v>
      </c>
      <c r="J4" s="19"/>
      <c r="K4" s="19"/>
    </row>
    <row r="5" spans="1:13" x14ac:dyDescent="0.25">
      <c r="C5" s="13"/>
      <c r="D5" s="13"/>
      <c r="E5" s="13"/>
      <c r="F5" s="13"/>
      <c r="G5" s="1"/>
      <c r="H5" t="s">
        <v>30</v>
      </c>
    </row>
    <row r="7" spans="1:13" x14ac:dyDescent="0.25">
      <c r="B7" t="s">
        <v>4</v>
      </c>
      <c r="C7" s="13">
        <v>7243666252</v>
      </c>
      <c r="D7" s="13"/>
      <c r="E7" s="13"/>
      <c r="F7" s="13"/>
    </row>
    <row r="8" spans="1:13" x14ac:dyDescent="0.25">
      <c r="B8" t="s">
        <v>5</v>
      </c>
      <c r="C8" s="13" t="s">
        <v>33</v>
      </c>
      <c r="D8" s="13"/>
      <c r="E8" s="13"/>
      <c r="F8" s="13"/>
    </row>
    <row r="9" spans="1:13" x14ac:dyDescent="0.25">
      <c r="B9" t="s">
        <v>29</v>
      </c>
      <c r="C9" s="9"/>
      <c r="D9" s="9"/>
      <c r="E9" s="9"/>
      <c r="F9" s="9"/>
    </row>
    <row r="12" spans="1:13" x14ac:dyDescent="0.25">
      <c r="B12" s="10" t="s">
        <v>6</v>
      </c>
      <c r="C12" s="13" t="s">
        <v>34</v>
      </c>
      <c r="D12" s="13"/>
      <c r="E12" s="13"/>
      <c r="F12" s="13"/>
    </row>
    <row r="13" spans="1:13" x14ac:dyDescent="0.25">
      <c r="B13" t="s">
        <v>7</v>
      </c>
      <c r="C13" s="13" t="s">
        <v>35</v>
      </c>
      <c r="D13" s="13"/>
      <c r="E13" s="13"/>
      <c r="F13" s="13"/>
      <c r="H13" t="s">
        <v>8</v>
      </c>
      <c r="I13" s="2" t="s">
        <v>11</v>
      </c>
      <c r="M13" t="s">
        <v>10</v>
      </c>
    </row>
    <row r="14" spans="1:13" x14ac:dyDescent="0.25">
      <c r="B14" t="s">
        <v>4</v>
      </c>
      <c r="C14" s="13">
        <v>7243666252</v>
      </c>
      <c r="D14" s="13"/>
      <c r="E14" s="13"/>
      <c r="F14" s="13"/>
      <c r="I14" s="6" t="s">
        <v>24</v>
      </c>
      <c r="M14" t="s">
        <v>11</v>
      </c>
    </row>
    <row r="17" spans="1:11" x14ac:dyDescent="0.25">
      <c r="B17" t="s">
        <v>9</v>
      </c>
      <c r="C17" s="2">
        <v>2</v>
      </c>
    </row>
    <row r="18" spans="1:11" x14ac:dyDescent="0.25">
      <c r="B18" t="s">
        <v>15</v>
      </c>
      <c r="C18" s="2">
        <v>600</v>
      </c>
    </row>
    <row r="19" spans="1:11" x14ac:dyDescent="0.25">
      <c r="B19" t="s">
        <v>25</v>
      </c>
      <c r="C19" s="7">
        <v>0.5</v>
      </c>
    </row>
    <row r="20" spans="1:11" x14ac:dyDescent="0.25">
      <c r="B20" t="s">
        <v>12</v>
      </c>
      <c r="C20" s="8">
        <f>C17*C18*5*(1+C19)</f>
        <v>9000</v>
      </c>
    </row>
    <row r="21" spans="1:11" x14ac:dyDescent="0.25">
      <c r="C21" s="8"/>
    </row>
    <row r="22" spans="1:11" x14ac:dyDescent="0.25">
      <c r="B22" t="s">
        <v>20</v>
      </c>
      <c r="C22" s="8">
        <f>C20*2</f>
        <v>18000</v>
      </c>
    </row>
    <row r="23" spans="1:11" x14ac:dyDescent="0.25">
      <c r="B23" t="s">
        <v>21</v>
      </c>
      <c r="C23" s="8">
        <f>C20*3</f>
        <v>27000</v>
      </c>
    </row>
    <row r="24" spans="1:11" x14ac:dyDescent="0.25">
      <c r="B24" t="s">
        <v>22</v>
      </c>
      <c r="C24" s="8">
        <f>C20*5</f>
        <v>45000</v>
      </c>
    </row>
    <row r="25" spans="1:11" x14ac:dyDescent="0.25">
      <c r="B25" t="s">
        <v>23</v>
      </c>
      <c r="C25" s="8">
        <f>C20*7</f>
        <v>63000</v>
      </c>
    </row>
    <row r="26" spans="1:11" x14ac:dyDescent="0.25">
      <c r="C26" s="8"/>
    </row>
    <row r="27" spans="1:11" x14ac:dyDescent="0.25">
      <c r="B27" t="s">
        <v>28</v>
      </c>
      <c r="C27" s="15" t="s">
        <v>37</v>
      </c>
      <c r="D27" s="15"/>
      <c r="E27" s="15"/>
      <c r="F27" s="15"/>
      <c r="G27" s="15"/>
      <c r="H27" s="15"/>
      <c r="I27" s="15"/>
      <c r="J27" s="15"/>
      <c r="K27" s="15"/>
    </row>
    <row r="29" spans="1:11" x14ac:dyDescent="0.25">
      <c r="A29" s="14" t="s">
        <v>18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spans="1:1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25">
      <c r="B31" t="s">
        <v>16</v>
      </c>
      <c r="C31" s="17"/>
      <c r="D31" s="17"/>
      <c r="E31" s="17"/>
      <c r="F31" s="17"/>
    </row>
    <row r="32" spans="1:11" x14ac:dyDescent="0.25">
      <c r="B32" t="s">
        <v>19</v>
      </c>
      <c r="C32" s="12" t="str">
        <f>IF(C31=0," ",IF(C31&gt;499999,"Unlimited",IF(C31&gt;99999,25,IF(C31&gt;49999,25,0))))</f>
        <v xml:space="preserve"> </v>
      </c>
      <c r="D32" s="12"/>
      <c r="E32" s="12"/>
      <c r="F32" s="12"/>
      <c r="G32" t="str">
        <f>IF(C32&lt;25,"Director Approval Required"," ")</f>
        <v xml:space="preserve"> </v>
      </c>
    </row>
    <row r="33" spans="1:11" x14ac:dyDescent="0.25">
      <c r="B33" t="s">
        <v>17</v>
      </c>
      <c r="C33" s="12"/>
      <c r="D33" s="12"/>
      <c r="E33" s="12"/>
      <c r="F33" s="12"/>
    </row>
    <row r="34" spans="1:11" x14ac:dyDescent="0.25">
      <c r="B34" t="s">
        <v>14</v>
      </c>
      <c r="C34" s="12"/>
      <c r="D34" s="12"/>
      <c r="E34" s="12"/>
      <c r="F34" s="12"/>
    </row>
    <row r="35" spans="1:11" x14ac:dyDescent="0.25">
      <c r="B35" t="s">
        <v>27</v>
      </c>
      <c r="C35" s="11"/>
    </row>
    <row r="36" spans="1:11" x14ac:dyDescent="0.25">
      <c r="B36" t="s">
        <v>26</v>
      </c>
    </row>
    <row r="37" spans="1:1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</sheetData>
  <sheetProtection algorithmName="SHA-512" hashValue="4wy393/PBRkhjw6MsWvn4lKEmGsdPlfPjvKtZzyoXfWKp7XJXKtIos4lMuBWy9C542gdMe12ulFRwEnIpX/Geg==" saltValue="p3y7C10/3go2O+sm+Hik5w==" spinCount="100000" sheet="1" objects="1" scenarios="1"/>
  <mergeCells count="17">
    <mergeCell ref="C8:F8"/>
    <mergeCell ref="B1:K1"/>
    <mergeCell ref="C31:F31"/>
    <mergeCell ref="C33:F33"/>
    <mergeCell ref="C3:F3"/>
    <mergeCell ref="C4:F4"/>
    <mergeCell ref="C5:F5"/>
    <mergeCell ref="I3:K3"/>
    <mergeCell ref="I4:K4"/>
    <mergeCell ref="C7:F7"/>
    <mergeCell ref="C34:F34"/>
    <mergeCell ref="C12:F12"/>
    <mergeCell ref="C13:F13"/>
    <mergeCell ref="C14:F14"/>
    <mergeCell ref="C32:F32"/>
    <mergeCell ref="A29:K29"/>
    <mergeCell ref="C27:K27"/>
  </mergeCells>
  <conditionalFormatting sqref="B17:C20">
    <cfRule type="expression" dxfId="3" priority="1">
      <formula>$A$1=1</formula>
    </cfRule>
  </conditionalFormatting>
  <conditionalFormatting sqref="C32">
    <cfRule type="containsText" dxfId="2" priority="2" operator="containsText" text="Unlimited">
      <formula>NOT(ISERROR(SEARCH("Unlimited",C32)))</formula>
    </cfRule>
    <cfRule type="cellIs" dxfId="1" priority="4" operator="between">
      <formula>1</formula>
      <formula>100</formula>
    </cfRule>
    <cfRule type="cellIs" dxfId="0" priority="5" operator="lessThan">
      <formula>1</formula>
    </cfRule>
  </conditionalFormatting>
  <dataValidations count="1">
    <dataValidation type="list" allowBlank="1" showInputMessage="1" showErrorMessage="1" sqref="I13" xr:uid="{00000000-0002-0000-0000-000000000000}">
      <formula1>$M$13:$M$14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Zakariasen</dc:creator>
  <cp:lastModifiedBy>Bryan Blair</cp:lastModifiedBy>
  <dcterms:created xsi:type="dcterms:W3CDTF">2018-02-15T17:25:15Z</dcterms:created>
  <dcterms:modified xsi:type="dcterms:W3CDTF">2025-03-18T13:51:33Z</dcterms:modified>
</cp:coreProperties>
</file>