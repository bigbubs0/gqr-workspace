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gm_com/Documents/"/>
    </mc:Choice>
  </mc:AlternateContent>
  <xr:revisionPtr revIDLastSave="0" documentId="8_{4401702A-7BED-4739-94CE-02E9147A32A6}" xr6:coauthVersionLast="47" xr6:coauthVersionMax="47" xr10:uidLastSave="{00000000-0000-0000-0000-000000000000}"/>
  <workbookProtection workbookAlgorithmName="SHA-512" workbookHashValue="AicUGD4Sw8JYww3vxYFEEjmThHQKYrUSLCg7bEsf/SVOUoXDv6ymLz26Y8fiUktODK67WrwDWmtg4deQKL8eSA==" workbookSaltValue="9CyD1H3FF2jwKJ/1MqjmiA==" workbookSpinCount="100000" lockStructure="1"/>
  <bookViews>
    <workbookView xWindow="795" yWindow="795" windowWidth="21600" windowHeight="11175" activeTab="2" xr2:uid="{00000000-000D-0000-FFFF-FFFF00000000}"/>
  </bookViews>
  <sheets>
    <sheet name="Questionaire" sheetId="1" r:id="rId1"/>
    <sheet name="Scoring sheet" sheetId="2" state="hidden" r:id="rId2"/>
    <sheet name="Colour Chart" sheetId="4" r:id="rId3"/>
    <sheet name="Colour table" sheetId="3" state="hidden" r:id="rId4"/>
  </sheets>
  <definedNames>
    <definedName name="_xlnm._FilterDatabase" localSheetId="0" hidden="1">Questionaire!$E$10:$E$109</definedName>
    <definedName name="_xlnm.Print_Area" localSheetId="0">Questionaire!$A$1:$J$109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  <c r="G106" i="1"/>
  <c r="G10" i="1"/>
  <c r="I91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0" i="1"/>
  <c r="B1" i="3" l="1"/>
  <c r="B4" i="3"/>
  <c r="B2" i="3"/>
  <c r="B3" i="3"/>
  <c r="B5" i="3" l="1"/>
</calcChain>
</file>

<file path=xl/sharedStrings.xml><?xml version="1.0" encoding="utf-8"?>
<sst xmlns="http://schemas.openxmlformats.org/spreadsheetml/2006/main" count="346" uniqueCount="246">
  <si>
    <t>Identifying your Personal Style</t>
  </si>
  <si>
    <t>Part 1 – Style Questionnaire</t>
  </si>
  <si>
    <t xml:space="preserve">             Your Name:</t>
  </si>
  <si>
    <t>How to complete Part 1 of this questionnaire:</t>
  </si>
  <si>
    <t>Caution in relationships</t>
  </si>
  <si>
    <t>Routine</t>
  </si>
  <si>
    <t>Causing change</t>
  </si>
  <si>
    <t>People</t>
  </si>
  <si>
    <t>2) You most desire:</t>
  </si>
  <si>
    <t>To organise</t>
  </si>
  <si>
    <t>To control</t>
  </si>
  <si>
    <t>To relate to others</t>
  </si>
  <si>
    <t>To get involved</t>
  </si>
  <si>
    <t>3) Your personal timeframe is:</t>
  </si>
  <si>
    <t>Right now</t>
  </si>
  <si>
    <t>This week</t>
  </si>
  <si>
    <t>Next year</t>
  </si>
  <si>
    <t>Past years</t>
  </si>
  <si>
    <t>4) Your task completion is:</t>
  </si>
  <si>
    <t>5) Your greatest priority is for:</t>
  </si>
  <si>
    <t>6) You tend to:</t>
  </si>
  <si>
    <t>Reject conflict</t>
  </si>
  <si>
    <t>Reject inaction</t>
  </si>
  <si>
    <t>Reject involvement</t>
  </si>
  <si>
    <t>Reject isolation</t>
  </si>
  <si>
    <t>Conclusions &amp; actions</t>
  </si>
  <si>
    <t>Principles &amp; thinking</t>
  </si>
  <si>
    <t>Dream &amp; intuition</t>
  </si>
  <si>
    <t>Delayed</t>
  </si>
  <si>
    <t>Timely</t>
  </si>
  <si>
    <t>Cautious</t>
  </si>
  <si>
    <t>Immediate</t>
  </si>
  <si>
    <t>Feelings &amp; relationships</t>
  </si>
  <si>
    <t>7) You’re most orientated to:</t>
  </si>
  <si>
    <t>8) You tend to be:</t>
  </si>
  <si>
    <t>9) You tend to be:</t>
  </si>
  <si>
    <t>Others</t>
  </si>
  <si>
    <t>Intuition</t>
  </si>
  <si>
    <t>Action</t>
  </si>
  <si>
    <t>Analysing</t>
  </si>
  <si>
    <t>Impulsive</t>
  </si>
  <si>
    <t>Direct</t>
  </si>
  <si>
    <t>Hesitant</t>
  </si>
  <si>
    <t>Supportive</t>
  </si>
  <si>
    <t>Criticising</t>
  </si>
  <si>
    <t>Pushy</t>
  </si>
  <si>
    <t>Conforming</t>
  </si>
  <si>
    <t>Manipulative</t>
  </si>
  <si>
    <t>10) You tend to be:</t>
  </si>
  <si>
    <t>11) You tend to be:</t>
  </si>
  <si>
    <t>12) You tend to be:</t>
  </si>
  <si>
    <t>Determined</t>
  </si>
  <si>
    <t>Industrious</t>
  </si>
  <si>
    <t>Non controversial</t>
  </si>
  <si>
    <t>Personable</t>
  </si>
  <si>
    <t>Judgemental</t>
  </si>
  <si>
    <t>Indecisive</t>
  </si>
  <si>
    <t>Harsh</t>
  </si>
  <si>
    <t>Self-promoting</t>
  </si>
  <si>
    <t>Dominating</t>
  </si>
  <si>
    <t>Reacting</t>
  </si>
  <si>
    <t>Exacting</t>
  </si>
  <si>
    <t>Dependant</t>
  </si>
  <si>
    <t>13) You tend to be:</t>
  </si>
  <si>
    <t>14) You tend to be:</t>
  </si>
  <si>
    <t>15) You tend to be:</t>
  </si>
  <si>
    <t>Demanding</t>
  </si>
  <si>
    <t>Persistent</t>
  </si>
  <si>
    <t>Respectful</t>
  </si>
  <si>
    <t>Stimulating</t>
  </si>
  <si>
    <t>Enthusiastic</t>
  </si>
  <si>
    <t>Forceful</t>
  </si>
  <si>
    <t>Precise</t>
  </si>
  <si>
    <t>Willing</t>
  </si>
  <si>
    <t>Decisive</t>
  </si>
  <si>
    <t>Dramatic</t>
  </si>
  <si>
    <t>Dependable</t>
  </si>
  <si>
    <t>Vigilant</t>
  </si>
  <si>
    <t xml:space="preserve">16) You tend to be: </t>
  </si>
  <si>
    <t>17) You tend to be:</t>
  </si>
  <si>
    <t>18) You tend to be:</t>
  </si>
  <si>
    <t>Gregarious</t>
  </si>
  <si>
    <t>Orderly</t>
  </si>
  <si>
    <t>Efficient</t>
  </si>
  <si>
    <t>Agreeable</t>
  </si>
  <si>
    <t>Pliable</t>
  </si>
  <si>
    <t>Undisciplined</t>
  </si>
  <si>
    <t>Tough-minded</t>
  </si>
  <si>
    <t>Stuffy</t>
  </si>
  <si>
    <t>Tentative</t>
  </si>
  <si>
    <t>Retiring</t>
  </si>
  <si>
    <t>Severe</t>
  </si>
  <si>
    <t>Excitable</t>
  </si>
  <si>
    <t>19) You tend to be:</t>
  </si>
  <si>
    <t>20) You tend to be:</t>
  </si>
  <si>
    <t>21) You tend to be:</t>
  </si>
  <si>
    <t>Creative</t>
  </si>
  <si>
    <t>Reserved</t>
  </si>
  <si>
    <t>Serious</t>
  </si>
  <si>
    <t>Yielding</t>
  </si>
  <si>
    <t>Secretive</t>
  </si>
  <si>
    <t>Stern</t>
  </si>
  <si>
    <t xml:space="preserve">Independent </t>
  </si>
  <si>
    <t>Helpful</t>
  </si>
  <si>
    <t>Thorough</t>
  </si>
  <si>
    <t>Sympathetic</t>
  </si>
  <si>
    <t>Interesting</t>
  </si>
  <si>
    <t>Opinionated</t>
  </si>
  <si>
    <t>22) You tend to be:</t>
  </si>
  <si>
    <t>23) You tend to be:</t>
  </si>
  <si>
    <t>24) You tend to be:</t>
  </si>
  <si>
    <t>Bold</t>
  </si>
  <si>
    <t>Gentle</t>
  </si>
  <si>
    <t>Humorous</t>
  </si>
  <si>
    <t>Meticulous</t>
  </si>
  <si>
    <t>Boisterous</t>
  </si>
  <si>
    <t>Insistent</t>
  </si>
  <si>
    <t>Compliant</t>
  </si>
  <si>
    <t>Rigid</t>
  </si>
  <si>
    <t>Relaxed</t>
  </si>
  <si>
    <t>Disciplined</t>
  </si>
  <si>
    <t>Expressive</t>
  </si>
  <si>
    <t>Factual</t>
  </si>
  <si>
    <t>25) You tend to be:</t>
  </si>
  <si>
    <t>Insensitive</t>
  </si>
  <si>
    <t>Impatient</t>
  </si>
  <si>
    <t>Egotistical</t>
  </si>
  <si>
    <t>Appeasing</t>
  </si>
  <si>
    <t>Red</t>
  </si>
  <si>
    <t>Yellow</t>
  </si>
  <si>
    <t>Green</t>
  </si>
  <si>
    <t>Blue</t>
  </si>
  <si>
    <t>RED</t>
  </si>
  <si>
    <t>YELLOW</t>
  </si>
  <si>
    <t>GREEN</t>
  </si>
  <si>
    <t>BLUE</t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</si>
  <si>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Least concerned with caution in relationships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</si>
  <si>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Control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</si>
  <si>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Right Now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</si>
  <si>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Immediate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</si>
  <si>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Conclusions &amp; actions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</si>
  <si>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Rejects inaction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</si>
  <si>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Action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</si>
  <si>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Direct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</si>
  <si>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Pushy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</si>
  <si>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Determined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</si>
  <si>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Harsh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</si>
  <si>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Dominating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</si>
  <si>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Demanding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</si>
  <si>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Forceful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</si>
  <si>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Decisive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</si>
  <si>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Efficient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</si>
  <si>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Tough minded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</si>
  <si>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Severe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</si>
  <si>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Serious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</si>
  <si>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Secretive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</si>
  <si>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Independent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</si>
  <si>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Bold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</si>
  <si>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Insistent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</si>
  <si>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Disciplined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</si>
  <si>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Impatient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</si>
  <si>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Least concerned with routine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</si>
  <si>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Least concerned with causing change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</si>
  <si>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Least concerned with people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</si>
  <si>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Get involved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</si>
  <si>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Relate to others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</si>
  <si>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Organise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</si>
  <si>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Next year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</si>
  <si>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This week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</si>
  <si>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Past years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</si>
  <si>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Timely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</si>
  <si>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Cautious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</si>
  <si>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Delayed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</si>
  <si>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Dreams &amp; intuitions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</si>
  <si>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Feelings &amp; relationships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</si>
  <si>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Principles &amp; thinking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</si>
  <si>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Rejects isolation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</si>
  <si>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Rejects conflict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</si>
  <si>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Rejects involvement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</si>
  <si>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Intuition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</si>
  <si>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Others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</si>
  <si>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Analysing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</si>
  <si>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Impulsive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</si>
  <si>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Supportive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</si>
  <si>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Hesitant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</si>
  <si>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Manipulative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</si>
  <si>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Conforming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</si>
  <si>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Criticising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</si>
  <si>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Personable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</si>
  <si>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Non-controversial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</si>
  <si>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Industrious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</si>
  <si>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Self-promoting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</si>
  <si>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Indecisive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</si>
  <si>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Judgemental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</si>
  <si>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Reacting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</si>
  <si>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Dependent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</si>
  <si>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Exacting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</si>
  <si>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Stimulating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</si>
  <si>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Respectful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</si>
  <si>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Persistent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</si>
  <si>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Enthusiastic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</si>
  <si>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Willing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</si>
  <si>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Precise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</si>
  <si>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Dramatic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</si>
  <si>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Dependable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</si>
  <si>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Vigilant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</si>
  <si>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Gregarious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</si>
  <si>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Agreeable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</si>
  <si>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Orderly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</si>
  <si>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Undisciplined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</si>
  <si>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Pliable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</si>
  <si>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Stuffy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</si>
  <si>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Excitable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</si>
  <si>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Retiring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</si>
  <si>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Tentative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</si>
  <si>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Creative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</si>
  <si>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Sympathetic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</si>
  <si>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Reserved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</si>
  <si>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Opinionated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</si>
  <si>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Yielding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</si>
  <si>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Stern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</si>
  <si>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Interesting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</si>
  <si>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Helpful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</si>
  <si>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Thorough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</si>
  <si>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Humorous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</si>
  <si>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Gentle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</si>
  <si>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Meticulous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</si>
  <si>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Boisterous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</si>
  <si>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Compliant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</si>
  <si>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Rigid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</si>
  <si>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Expressive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</si>
  <si>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Relaxed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</si>
  <si>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Factual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</si>
  <si>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Egotistical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</si>
  <si>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Appeasing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</si>
  <si>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Insensitive</t>
    </r>
  </si>
  <si>
    <t>1) Your least concern is for:</t>
  </si>
  <si>
    <t>Your Name:</t>
  </si>
  <si>
    <t>Question</t>
  </si>
  <si>
    <t>Answer</t>
  </si>
  <si>
    <r>
      <t>Ø</t>
    </r>
    <r>
      <rPr>
        <b/>
        <sz val="11"/>
        <rFont val="Times New Roman"/>
        <family val="1"/>
      </rPr>
      <t xml:space="preserve">  </t>
    </r>
    <r>
      <rPr>
        <b/>
        <sz val="11"/>
        <rFont val="Calibri"/>
        <family val="2"/>
      </rPr>
      <t>Place a tick beside the one word that best describes you – only choose one.</t>
    </r>
  </si>
  <si>
    <r>
      <t>Ø</t>
    </r>
    <r>
      <rPr>
        <b/>
        <sz val="11"/>
        <rFont val="Times New Roman"/>
        <family val="1"/>
      </rPr>
      <t xml:space="preserve">  </t>
    </r>
    <r>
      <rPr>
        <b/>
        <sz val="11"/>
        <rFont val="Calibri"/>
        <family val="2"/>
      </rPr>
      <t>Make your choices quickly – the first one you think of is probably most accurate.</t>
    </r>
  </si>
  <si>
    <r>
      <t>Ø</t>
    </r>
    <r>
      <rPr>
        <b/>
        <sz val="11"/>
        <rFont val="Times New Roman"/>
        <family val="1"/>
      </rPr>
      <t xml:space="preserve">   </t>
    </r>
    <r>
      <rPr>
        <b/>
        <sz val="11"/>
        <rFont val="Calibri"/>
        <family val="2"/>
      </rPr>
      <t>Read all four words/phrases contained in each question</t>
    </r>
  </si>
  <si>
    <t>Comments</t>
  </si>
  <si>
    <t>Total</t>
  </si>
  <si>
    <t xml:space="preserve">Bryan Blair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</si>
</sst>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8"/>
      <name val="Wingdings"/>
      <charset val="2"/>
    </font>
    <font>
      <sz val="7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4"/>
      <name val="Calibri"/>
      <family val="2"/>
      <scheme val="minor"/>
    </font>
    <font>
      <b/>
      <sz val="11"/>
      <name val="Wingdings"/>
      <charset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Wingdings"/>
      <charset val="2"/>
    </font>
    <font>
      <sz val="8"/>
      <name val="Calibri"/>
      <family val="2"/>
      <scheme val="minor"/>
    </font>
    <font>
      <b/>
      <sz val="11"/>
      <name val="Times New Roman"/>
      <family val="1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3" borderId="12" xfId="0" applyFont="1" applyFill="1" applyBorder="1" applyAlignment="1">
      <alignment horizontal="left" vertical="center" wrapText="1" indent="2"/>
    </xf>
    <xf numFmtId="0" fontId="1" fillId="3" borderId="11" xfId="0" applyFont="1" applyFill="1" applyBorder="1" applyAlignment="1">
      <alignment horizontal="left" vertical="center" wrapText="1" indent="2"/>
    </xf>
    <xf numFmtId="0" fontId="1" fillId="3" borderId="21" xfId="0" applyFont="1" applyFill="1" applyBorder="1" applyAlignment="1">
      <alignment horizontal="left" vertical="center" wrapText="1" indent="2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0" xfId="0" applyFont="1"/>
    <xf numFmtId="0" fontId="6" fillId="0" borderId="16" xfId="0" applyFont="1" applyBorder="1" applyAlignment="1">
      <alignment horizontal="left" vertical="center" wrapText="1" indent="2"/>
    </xf>
    <xf numFmtId="0" fontId="1" fillId="4" borderId="12" xfId="0" applyFont="1" applyFill="1" applyBorder="1" applyAlignment="1">
      <alignment horizontal="left" vertical="center" wrapText="1" indent="2"/>
    </xf>
    <xf numFmtId="0" fontId="1" fillId="5" borderId="12" xfId="0" applyFont="1" applyFill="1" applyBorder="1" applyAlignment="1">
      <alignment horizontal="left" vertical="center" wrapText="1" indent="2"/>
    </xf>
    <xf numFmtId="0" fontId="1" fillId="6" borderId="17" xfId="0" applyFont="1" applyFill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 indent="2"/>
    </xf>
    <xf numFmtId="0" fontId="1" fillId="4" borderId="11" xfId="0" applyFont="1" applyFill="1" applyBorder="1" applyAlignment="1">
      <alignment horizontal="left" vertical="center" wrapText="1" indent="2"/>
    </xf>
    <xf numFmtId="0" fontId="1" fillId="5" borderId="11" xfId="0" applyFont="1" applyFill="1" applyBorder="1" applyAlignment="1">
      <alignment horizontal="left" vertical="center" wrapText="1" indent="2"/>
    </xf>
    <xf numFmtId="0" fontId="1" fillId="6" borderId="19" xfId="0" applyFont="1" applyFill="1" applyBorder="1" applyAlignment="1">
      <alignment vertical="center" wrapText="1"/>
    </xf>
    <xf numFmtId="0" fontId="6" fillId="0" borderId="20" xfId="0" applyFont="1" applyBorder="1" applyAlignment="1">
      <alignment horizontal="left" vertical="center" wrapText="1" indent="2"/>
    </xf>
    <xf numFmtId="0" fontId="1" fillId="4" borderId="21" xfId="0" applyFont="1" applyFill="1" applyBorder="1" applyAlignment="1">
      <alignment horizontal="left" vertical="center" wrapText="1" indent="2"/>
    </xf>
    <xf numFmtId="0" fontId="1" fillId="5" borderId="21" xfId="0" applyFont="1" applyFill="1" applyBorder="1" applyAlignment="1">
      <alignment horizontal="left" vertical="center" wrapText="1" indent="2"/>
    </xf>
    <xf numFmtId="0" fontId="1" fillId="6" borderId="22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0" fillId="0" borderId="11" xfId="0" applyBorder="1"/>
    <xf numFmtId="0" fontId="10" fillId="7" borderId="0" xfId="0" applyFont="1" applyFill="1"/>
    <xf numFmtId="0" fontId="11" fillId="0" borderId="2" xfId="0" applyFont="1" applyBorder="1"/>
    <xf numFmtId="0" fontId="11" fillId="0" borderId="5" xfId="0" applyFont="1" applyBorder="1"/>
    <xf numFmtId="0" fontId="11" fillId="0" borderId="7" xfId="0" applyFont="1" applyBorder="1"/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0" xfId="0" applyFont="1"/>
    <xf numFmtId="0" fontId="11" fillId="2" borderId="23" xfId="0" applyFont="1" applyFill="1" applyBorder="1" applyAlignment="1">
      <alignment horizontal="center" vertical="center"/>
    </xf>
    <xf numFmtId="0" fontId="5" fillId="2" borderId="10" xfId="0" applyFont="1" applyFill="1" applyBorder="1"/>
    <xf numFmtId="0" fontId="9" fillId="0" borderId="3" xfId="0" applyFont="1" applyBorder="1"/>
    <xf numFmtId="0" fontId="9" fillId="0" borderId="4" xfId="0" applyFont="1" applyBorder="1"/>
    <xf numFmtId="0" fontId="9" fillId="0" borderId="0" xfId="0" applyFont="1"/>
    <xf numFmtId="0" fontId="9" fillId="0" borderId="6" xfId="0" applyFont="1" applyBorder="1"/>
    <xf numFmtId="0" fontId="9" fillId="0" borderId="8" xfId="0" applyFont="1" applyBorder="1"/>
    <xf numFmtId="0" fontId="9" fillId="0" borderId="9" xfId="0" applyFont="1" applyBorder="1"/>
    <xf numFmtId="0" fontId="17" fillId="0" borderId="3" xfId="0" applyFont="1" applyBorder="1" applyAlignment="1">
      <alignment horizontal="left" vertical="center" wrapText="1" indent="5"/>
    </xf>
    <xf numFmtId="0" fontId="17" fillId="0" borderId="0" xfId="0" applyFont="1" applyAlignment="1">
      <alignment horizontal="left" vertical="center" wrapText="1" indent="5"/>
    </xf>
    <xf numFmtId="0" fontId="17" fillId="0" borderId="8" xfId="0" applyFont="1" applyBorder="1" applyAlignment="1">
      <alignment horizontal="left" vertical="center" wrapText="1" indent="5"/>
    </xf>
    <xf numFmtId="0" fontId="18" fillId="0" borderId="0" xfId="0" applyFont="1"/>
    <xf numFmtId="0" fontId="18" fillId="2" borderId="23" xfId="0" applyFont="1" applyFill="1" applyBorder="1"/>
    <xf numFmtId="0" fontId="18" fillId="0" borderId="3" xfId="0" applyFont="1" applyBorder="1"/>
    <xf numFmtId="0" fontId="18" fillId="0" borderId="8" xfId="0" applyFont="1" applyBorder="1"/>
    <xf numFmtId="0" fontId="7" fillId="0" borderId="3" xfId="0" applyFont="1" applyBorder="1" applyAlignment="1">
      <alignment horizontal="left" vertical="center"/>
    </xf>
    <xf numFmtId="0" fontId="8" fillId="0" borderId="8" xfId="0" applyFont="1" applyBorder="1" applyAlignment="1">
      <alignment horizontal="left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8" xfId="0" applyFont="1" applyBorder="1"/>
    <xf numFmtId="0" fontId="7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5" fillId="0" borderId="0" xfId="0" applyFont="1" applyProtection="1">
      <protection locked="0" hidden="1"/>
    </xf>
    <xf numFmtId="0" fontId="11" fillId="7" borderId="0" xfId="0" applyFont="1" applyFill="1" applyAlignment="1">
      <alignment horizontal="left"/>
    </xf>
    <xf numFmtId="0" fontId="14" fillId="7" borderId="0" xfId="0" applyFont="1" applyFill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21" fillId="2" borderId="11" xfId="0" applyFont="1" applyFill="1" applyBorder="1"/>
    <xf numFmtId="0" fontId="9" fillId="2" borderId="24" xfId="0" applyFont="1" applyFill="1" applyBorder="1"/>
    <xf numFmtId="0" fontId="9" fillId="2" borderId="11" xfId="0" applyFont="1" applyFill="1" applyBorder="1"/>
    <xf numFmtId="0" fontId="9" fillId="2" borderId="21" xfId="0" applyFont="1" applyFill="1" applyBorder="1"/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0" fillId="2" borderId="23" xfId="0" applyFont="1" applyFill="1" applyBorder="1" applyAlignment="1" applyProtection="1">
      <alignment horizontal="center"/>
      <protection locked="0"/>
    </xf>
    <xf numFmtId="0" fontId="10" fillId="2" borderId="10" xfId="0" applyFont="1" applyFill="1" applyBorder="1" applyAlignment="1" applyProtection="1">
      <alignment horizontal="center"/>
      <protection locked="0"/>
    </xf>
    <xf numFmtId="0" fontId="16" fillId="2" borderId="23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0" fontId="14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3600"/>
              <a:t>Colour Chart Results</a:t>
            </a:r>
          </a:p>
          <a:p>
            <a:pPr>
              <a:defRPr/>
            </a:pPr>
            <a:r>
              <a:rPr lang="en-GB" sz="1000"/>
              <a:t>NB : If no Chart appears below you have missed a question or ticked</a:t>
            </a:r>
            <a:r>
              <a:rPr lang="en-GB" sz="1000" baseline="0"/>
              <a:t> 2 boxes in one question.  Please re-check your answers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5F1-4D5C-834D-6CC4173A2582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5F1-4D5C-834D-6CC4173A2582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5F1-4D5C-834D-6CC4173A2582}"/>
              </c:ext>
            </c:extLst>
          </c:dPt>
          <c:cat>
            <c:strRef>
              <c:f>'Colour table'!$A$1:$A$4</c:f>
              <c:strCache>
                <c:ptCount val="4"/>
                <c:pt idx="0">
                  <c:v>Red</c:v>
                </c:pt>
                <c:pt idx="1">
                  <c:v>Yellow</c:v>
                </c:pt>
                <c:pt idx="2">
                  <c:v>Green</c:v>
                </c:pt>
                <c:pt idx="3">
                  <c:v>Blue</c:v>
                </c:pt>
              </c:strCache>
            </c:strRef>
          </c:cat>
          <c:val>
            <c:numRef>
              <c:f>'Colour table'!$B$1:$B$4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10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F1-4D5C-834D-6CC4173A2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956288"/>
        <c:axId val="109957408"/>
        <c:axId val="0"/>
      </c:bar3DChart>
      <c:catAx>
        <c:axId val="10995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7408"/>
        <c:crosses val="autoZero"/>
        <c:auto val="1"/>
        <c:lblAlgn val="ctr"/>
        <c:lblOffset val="100"/>
        <c:noMultiLvlLbl val="0"/>
      </c:catAx>
      <c:valAx>
        <c:axId val="10995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zoomScale="71" workbookViewId="0" zoomToFit="1"/>
  </sheetViews>
  <pageMargins left="0.7" right="0.7" top="0.75" bottom="0.75" header="0.3" footer="0.3"/>
  <pageSetup paperSize="9" orientation="landscape" horizontalDpi="4294967293" r:id="rId1"/>
  <drawing r:id="rId2"/>
</chartsheet>
</file>

<file path=xl/ctrlProps/ctrlProp1.xml><?xml version="1.0" encoding="utf-8"?>
<formControlPr xmlns="http://schemas.microsoft.com/office/spreadsheetml/2009/9/main" objectType="CheckBox" fmlaLink="$H$10" lockText="1" noThreeD="1"/>
</file>

<file path=xl/ctrlProps/ctrlProp2.xml><?xml version="1.0" encoding="utf-8"?>
<formControlPr xmlns="http://schemas.microsoft.com/office/spreadsheetml/2009/9/main" objectType="CheckBox" fmlaLink="$H$12" lockText="1" noThreeD="1"/>
</file>

<file path=xl/ctrlProps/ctrlProp3.xml><?xml version="1.0" encoding="utf-8"?>
<formControlPr xmlns="http://schemas.microsoft.com/office/spreadsheetml/2009/9/main" objectType="CheckBox" checked="Checked" fmlaLink="$H$11" lockText="1" noThreeD="1"/>
</file>

<file path=xl/ctrlProps/ctrlProp4.xml><?xml version="1.0" encoding="utf-8"?>
<formControlPr xmlns="http://schemas.microsoft.com/office/spreadsheetml/2009/9/main" objectType="CheckBox" fmlaLink="$H$13" lockText="1" noThreeD="1"/>
</file>

<file path=xl/ctrlProps/ctrlProp5.xml><?xml version="1.0" encoding="utf-8"?>
<formControlPr xmlns="http://schemas.microsoft.com/office/spreadsheetml/2009/9/main" objectType="CheckBox" fmlaLink="$H$15" lockText="1" noThreeD="1"/>
</file>

<file path=xl/ctrlProps/ctrlProp6.xml><?xml version="1.0" encoding="utf-8"?>
<formControlPr xmlns="http://schemas.microsoft.com/office/spreadsheetml/2009/9/main" objectType="CheckBox" fmlaLink="$H$16" lockText="1" noThreeD="1"/>
</file>

<file path=xl/ctrlProps/ctrlProp7.xml><?xml version="1.0" encoding="utf-8"?>
<formControlPr xmlns="http://schemas.microsoft.com/office/spreadsheetml/2009/9/main" objectType="CheckBox" fmlaLink="$H$17" lockText="1" noThreeD="1"/>
</file>

<file path=xl/ctrlProps/ctrlProp8.xml><?xml version="1.0" encoding="utf-8"?>
<formControlPr xmlns="http://schemas.microsoft.com/office/spreadsheetml/2009/9/main" objectType="CheckBox" checked="Checked" fmlaLink="$H$18" lockText="1" noThreeD="1"/>
</file>

<file path=xl/ctrlProps/ctrlProp9.xml><?xml version="1.0" encoding="utf-8"?>
<formControlPr xmlns="http://schemas.microsoft.com/office/spreadsheetml/2009/9/main" objectType="CheckBox" fmlaLink="$H$19" lockText="1" noThreeD="1"/>
</file>

<file path=xl/ctrlProps/ctrlProp10.xml><?xml version="1.0" encoding="utf-8"?>
<formControlPr xmlns="http://schemas.microsoft.com/office/spreadsheetml/2009/9/main" objectType="CheckBox" fmlaLink="$H$20" lockText="1" noThreeD="1"/>
</file>

<file path=xl/ctrlProps/ctrlProp11.xml><?xml version="1.0" encoding="utf-8"?>
<formControlPr xmlns="http://schemas.microsoft.com/office/spreadsheetml/2009/9/main" objectType="CheckBox" fmlaLink="$H$21" lockText="1" noThreeD="1"/>
</file>

<file path=xl/ctrlProps/ctrlProp12.xml><?xml version="1.0" encoding="utf-8"?>
<formControlPr xmlns="http://schemas.microsoft.com/office/spreadsheetml/2009/9/main" objectType="CheckBox" fmlaLink="$H$22" lockText="1" noThreeD="1"/>
</file>

<file path=xl/ctrlProps/ctrlProp13.xml><?xml version="1.0" encoding="utf-8"?>
<formControlPr xmlns="http://schemas.microsoft.com/office/spreadsheetml/2009/9/main" objectType="CheckBox" checked="Checked" fmlaLink="$H$23" lockText="1" noThreeD="1"/>
</file>

<file path=xl/ctrlProps/ctrlProp14.xml><?xml version="1.0" encoding="utf-8"?>
<formControlPr xmlns="http://schemas.microsoft.com/office/spreadsheetml/2009/9/main" objectType="CheckBox" fmlaLink="$H$24" lockText="1" noThreeD="1"/>
</file>

<file path=xl/ctrlProps/ctrlProp15.xml><?xml version="1.0" encoding="utf-8"?>
<formControlPr xmlns="http://schemas.microsoft.com/office/spreadsheetml/2009/9/main" objectType="CheckBox" fmlaLink="$H$25" lockText="1" noThreeD="1"/>
</file>

<file path=xl/ctrlProps/ctrlProp16.xml><?xml version="1.0" encoding="utf-8"?>
<formControlPr xmlns="http://schemas.microsoft.com/office/spreadsheetml/2009/9/main" objectType="CheckBox" fmlaLink="$H$26" lockText="1" noThreeD="1"/>
</file>

<file path=xl/ctrlProps/ctrlProp17.xml><?xml version="1.0" encoding="utf-8"?>
<formControlPr xmlns="http://schemas.microsoft.com/office/spreadsheetml/2009/9/main" objectType="CheckBox" checked="Checked" fmlaLink="$H$27" lockText="1" noThreeD="1"/>
</file>

<file path=xl/ctrlProps/ctrlProp18.xml><?xml version="1.0" encoding="utf-8"?>
<formControlPr xmlns="http://schemas.microsoft.com/office/spreadsheetml/2009/9/main" objectType="CheckBox" fmlaLink="$H$28" lockText="1" noThreeD="1"/>
</file>

<file path=xl/ctrlProps/ctrlProp19.xml><?xml version="1.0" encoding="utf-8"?>
<formControlPr xmlns="http://schemas.microsoft.com/office/spreadsheetml/2009/9/main" objectType="CheckBox" fmlaLink="$H$29" lockText="1" noThreeD="1"/>
</file>

<file path=xl/ctrlProps/ctrlProp20.xml><?xml version="1.0" encoding="utf-8"?>
<formControlPr xmlns="http://schemas.microsoft.com/office/spreadsheetml/2009/9/main" objectType="CheckBox" fmlaLink="$H$30" lockText="1"/>
</file>

<file path=xl/ctrlProps/ctrlProp21.xml><?xml version="1.0" encoding="utf-8"?>
<formControlPr xmlns="http://schemas.microsoft.com/office/spreadsheetml/2009/9/main" objectType="CheckBox" checked="Checked" fmlaLink="$H$31" lockText="1" noThreeD="1"/>
</file>

<file path=xl/ctrlProps/ctrlProp22.xml><?xml version="1.0" encoding="utf-8"?>
<formControlPr xmlns="http://schemas.microsoft.com/office/spreadsheetml/2009/9/main" objectType="CheckBox" fmlaLink="$H$32" lockText="1" noThreeD="1"/>
</file>

<file path=xl/ctrlProps/ctrlProp23.xml><?xml version="1.0" encoding="utf-8"?>
<formControlPr xmlns="http://schemas.microsoft.com/office/spreadsheetml/2009/9/main" objectType="CheckBox" fmlaLink="$H$33" lockText="1" noThreeD="1"/>
</file>

<file path=xl/ctrlProps/ctrlProp24.xml><?xml version="1.0" encoding="utf-8"?>
<formControlPr xmlns="http://schemas.microsoft.com/office/spreadsheetml/2009/9/main" objectType="CheckBox" checked="Checked" fmlaLink="$H$34" lockText="1" noThreeD="1"/>
</file>

<file path=xl/ctrlProps/ctrlProp25.xml><?xml version="1.0" encoding="utf-8"?>
<formControlPr xmlns="http://schemas.microsoft.com/office/spreadsheetml/2009/9/main" objectType="CheckBox" fmlaLink="$H$35" lockText="1" noThreeD="1"/>
</file>

<file path=xl/ctrlProps/ctrlProp26.xml><?xml version="1.0" encoding="utf-8"?>
<formControlPr xmlns="http://schemas.microsoft.com/office/spreadsheetml/2009/9/main" objectType="CheckBox" fmlaLink="$H$36" lockText="1" noThreeD="1"/>
</file>

<file path=xl/ctrlProps/ctrlProp27.xml><?xml version="1.0" encoding="utf-8"?>
<formControlPr xmlns="http://schemas.microsoft.com/office/spreadsheetml/2009/9/main" objectType="CheckBox" fmlaLink="$H$37" lockText="1" noThreeD="1"/>
</file>

<file path=xl/ctrlProps/ctrlProp28.xml><?xml version="1.0" encoding="utf-8"?>
<formControlPr xmlns="http://schemas.microsoft.com/office/spreadsheetml/2009/9/main" objectType="CheckBox" fmlaLink="$H$38" lockText="1" noThreeD="1"/>
</file>

<file path=xl/ctrlProps/ctrlProp29.xml><?xml version="1.0" encoding="utf-8"?>
<formControlPr xmlns="http://schemas.microsoft.com/office/spreadsheetml/2009/9/main" objectType="CheckBox" checked="Checked" fmlaLink="$H$39" lockText="1" noThreeD="1"/>
</file>

<file path=xl/ctrlProps/ctrlProp30.xml><?xml version="1.0" encoding="utf-8"?>
<formControlPr xmlns="http://schemas.microsoft.com/office/spreadsheetml/2009/9/main" objectType="CheckBox" fmlaLink="$H$40" lockText="1" noThreeD="1"/>
</file>

<file path=xl/ctrlProps/ctrlProp31.xml><?xml version="1.0" encoding="utf-8"?>
<formControlPr xmlns="http://schemas.microsoft.com/office/spreadsheetml/2009/9/main" objectType="CheckBox" fmlaLink="$H$41" lockText="1" noThreeD="1"/>
</file>

<file path=xl/ctrlProps/ctrlProp32.xml><?xml version="1.0" encoding="utf-8"?>
<formControlPr xmlns="http://schemas.microsoft.com/office/spreadsheetml/2009/9/main" objectType="CheckBox" fmlaLink="$H$42" lockText="1" noThreeD="1"/>
</file>

<file path=xl/ctrlProps/ctrlProp33.xml><?xml version="1.0" encoding="utf-8"?>
<formControlPr xmlns="http://schemas.microsoft.com/office/spreadsheetml/2009/9/main" objectType="CheckBox" checked="Checked" fmlaLink="$H$43" lockText="1" noThreeD="1"/>
</file>

<file path=xl/ctrlProps/ctrlProp34.xml><?xml version="1.0" encoding="utf-8"?>
<formControlPr xmlns="http://schemas.microsoft.com/office/spreadsheetml/2009/9/main" objectType="CheckBox" fmlaLink="$H$44" lockText="1" noThreeD="1"/>
</file>

<file path=xl/ctrlProps/ctrlProp35.xml><?xml version="1.0" encoding="utf-8"?>
<formControlPr xmlns="http://schemas.microsoft.com/office/spreadsheetml/2009/9/main" objectType="CheckBox" fmlaLink="$H$45" lockText="1" noThreeD="1"/>
</file>

<file path=xl/ctrlProps/ctrlProp36.xml><?xml version="1.0" encoding="utf-8"?>
<formControlPr xmlns="http://schemas.microsoft.com/office/spreadsheetml/2009/9/main" objectType="CheckBox" checked="Checked" fmlaLink="$H$46" lockText="1" noThreeD="1"/>
</file>

<file path=xl/ctrlProps/ctrlProp37.xml><?xml version="1.0" encoding="utf-8"?>
<formControlPr xmlns="http://schemas.microsoft.com/office/spreadsheetml/2009/9/main" objectType="CheckBox" fmlaLink="$H$47" lockText="1" noThreeD="1"/>
</file>

<file path=xl/ctrlProps/ctrlProp38.xml><?xml version="1.0" encoding="utf-8"?>
<formControlPr xmlns="http://schemas.microsoft.com/office/spreadsheetml/2009/9/main" objectType="CheckBox" fmlaLink="$H$48" lockText="1" noThreeD="1"/>
</file>

<file path=xl/ctrlProps/ctrlProp39.xml><?xml version="1.0" encoding="utf-8"?>
<formControlPr xmlns="http://schemas.microsoft.com/office/spreadsheetml/2009/9/main" objectType="CheckBox" fmlaLink="$H$49" lockText="1" noThreeD="1"/>
</file>

<file path=xl/ctrlProps/ctrlProp40.xml><?xml version="1.0" encoding="utf-8"?>
<formControlPr xmlns="http://schemas.microsoft.com/office/spreadsheetml/2009/9/main" objectType="CheckBox" fmlaLink="$H$50" lockText="1" noThreeD="1"/>
</file>

<file path=xl/ctrlProps/ctrlProp41.xml><?xml version="1.0" encoding="utf-8"?>
<formControlPr xmlns="http://schemas.microsoft.com/office/spreadsheetml/2009/9/main" objectType="CheckBox" fmlaLink="$H$51" lockText="1" noThreeD="1"/>
</file>

<file path=xl/ctrlProps/ctrlProp42.xml><?xml version="1.0" encoding="utf-8"?>
<formControlPr xmlns="http://schemas.microsoft.com/office/spreadsheetml/2009/9/main" objectType="CheckBox" fmlaLink="$H$52" lockText="1" noThreeD="1"/>
</file>

<file path=xl/ctrlProps/ctrlProp43.xml><?xml version="1.0" encoding="utf-8"?>
<formControlPr xmlns="http://schemas.microsoft.com/office/spreadsheetml/2009/9/main" objectType="CheckBox" checked="Checked" fmlaLink="$H$53" lockText="1" noThreeD="1"/>
</file>

<file path=xl/ctrlProps/ctrlProp44.xml><?xml version="1.0" encoding="utf-8"?>
<formControlPr xmlns="http://schemas.microsoft.com/office/spreadsheetml/2009/9/main" objectType="CheckBox" checked="Checked" fmlaLink="$H$54" lockText="1" noThreeD="1"/>
</file>

<file path=xl/ctrlProps/ctrlProp45.xml><?xml version="1.0" encoding="utf-8"?>
<formControlPr xmlns="http://schemas.microsoft.com/office/spreadsheetml/2009/9/main" objectType="CheckBox" fmlaLink="$H$55" lockText="1" noThreeD="1"/>
</file>

<file path=xl/ctrlProps/ctrlProp46.xml><?xml version="1.0" encoding="utf-8"?>
<formControlPr xmlns="http://schemas.microsoft.com/office/spreadsheetml/2009/9/main" objectType="CheckBox" fmlaLink="$H$56" lockText="1" noThreeD="1"/>
</file>

<file path=xl/ctrlProps/ctrlProp47.xml><?xml version="1.0" encoding="utf-8"?>
<formControlPr xmlns="http://schemas.microsoft.com/office/spreadsheetml/2009/9/main" objectType="CheckBox" fmlaLink="$H$57" lockText="1" noThreeD="1"/>
</file>

<file path=xl/ctrlProps/ctrlProp48.xml><?xml version="1.0" encoding="utf-8"?>
<formControlPr xmlns="http://schemas.microsoft.com/office/spreadsheetml/2009/9/main" objectType="CheckBox" fmlaLink="$H$58" lockText="1" noThreeD="1"/>
</file>

<file path=xl/ctrlProps/ctrlProp49.xml><?xml version="1.0" encoding="utf-8"?>
<formControlPr xmlns="http://schemas.microsoft.com/office/spreadsheetml/2009/9/main" objectType="CheckBox" fmlaLink="$H$59" lockText="1" noThreeD="1"/>
</file>

<file path=xl/ctrlProps/ctrlProp50.xml><?xml version="1.0" encoding="utf-8"?>
<formControlPr xmlns="http://schemas.microsoft.com/office/spreadsheetml/2009/9/main" objectType="CheckBox" fmlaLink="$H$60" lockText="1" noThreeD="1"/>
</file>

<file path=xl/ctrlProps/ctrlProp51.xml><?xml version="1.0" encoding="utf-8"?>
<formControlPr xmlns="http://schemas.microsoft.com/office/spreadsheetml/2009/9/main" objectType="CheckBox" checked="Checked" fmlaLink="$H$61" lockText="1" noThreeD="1"/>
</file>

<file path=xl/ctrlProps/ctrlProp52.xml><?xml version="1.0" encoding="utf-8"?>
<formControlPr xmlns="http://schemas.microsoft.com/office/spreadsheetml/2009/9/main" objectType="CheckBox" fmlaLink="$H$62" lockText="1" noThreeD="1"/>
</file>

<file path=xl/ctrlProps/ctrlProp53.xml><?xml version="1.0" encoding="utf-8"?>
<formControlPr xmlns="http://schemas.microsoft.com/office/spreadsheetml/2009/9/main" objectType="CheckBox" fmlaLink="$H$63" lockText="1" noThreeD="1"/>
</file>

<file path=xl/ctrlProps/ctrlProp54.xml><?xml version="1.0" encoding="utf-8"?>
<formControlPr xmlns="http://schemas.microsoft.com/office/spreadsheetml/2009/9/main" objectType="CheckBox" fmlaLink="$H$64" lockText="1" noThreeD="1"/>
</file>

<file path=xl/ctrlProps/ctrlProp55.xml><?xml version="1.0" encoding="utf-8"?>
<formControlPr xmlns="http://schemas.microsoft.com/office/spreadsheetml/2009/9/main" objectType="CheckBox" checked="Checked" fmlaLink="$H$65" lockText="1" noThreeD="1"/>
</file>

<file path=xl/ctrlProps/ctrlProp56.xml><?xml version="1.0" encoding="utf-8"?>
<formControlPr xmlns="http://schemas.microsoft.com/office/spreadsheetml/2009/9/main" objectType="CheckBox" fmlaLink="$H$66" lockText="1" noThreeD="1"/>
</file>

<file path=xl/ctrlProps/ctrlProp57.xml><?xml version="1.0" encoding="utf-8"?>
<formControlPr xmlns="http://schemas.microsoft.com/office/spreadsheetml/2009/9/main" objectType="CheckBox" fmlaLink="$H$67" lockText="1" noThreeD="1"/>
</file>

<file path=xl/ctrlProps/ctrlProp58.xml><?xml version="1.0" encoding="utf-8"?>
<formControlPr xmlns="http://schemas.microsoft.com/office/spreadsheetml/2009/9/main" objectType="CheckBox" checked="Checked" fmlaLink="$H$68" lockText="1" noThreeD="1"/>
</file>

<file path=xl/ctrlProps/ctrlProp59.xml><?xml version="1.0" encoding="utf-8"?>
<formControlPr xmlns="http://schemas.microsoft.com/office/spreadsheetml/2009/9/main" objectType="CheckBox" fmlaLink="$H$69" lockText="1" noThreeD="1"/>
</file>

<file path=xl/ctrlProps/ctrlProp60.xml><?xml version="1.0" encoding="utf-8"?>
<formControlPr xmlns="http://schemas.microsoft.com/office/spreadsheetml/2009/9/main" objectType="CheckBox" fmlaLink="$H$70" lockText="1" noThreeD="1"/>
</file>

<file path=xl/ctrlProps/ctrlProp61.xml><?xml version="1.0" encoding="utf-8"?>
<formControlPr xmlns="http://schemas.microsoft.com/office/spreadsheetml/2009/9/main" objectType="CheckBox" fmlaLink="$H$71" lockText="1" noThreeD="1"/>
</file>

<file path=xl/ctrlProps/ctrlProp62.xml><?xml version="1.0" encoding="utf-8"?>
<formControlPr xmlns="http://schemas.microsoft.com/office/spreadsheetml/2009/9/main" objectType="CheckBox" fmlaLink="$H$72" lockText="1" noThreeD="1"/>
</file>

<file path=xl/ctrlProps/ctrlProp63.xml><?xml version="1.0" encoding="utf-8"?>
<formControlPr xmlns="http://schemas.microsoft.com/office/spreadsheetml/2009/9/main" objectType="CheckBox" checked="Checked" fmlaLink="$H$73" lockText="1" noThreeD="1"/>
</file>

<file path=xl/ctrlProps/ctrlProp64.xml><?xml version="1.0" encoding="utf-8"?>
<formControlPr xmlns="http://schemas.microsoft.com/office/spreadsheetml/2009/9/main" objectType="CheckBox" checked="Checked" fmlaLink="$H$74" lockText="1" noThreeD="1"/>
</file>

<file path=xl/ctrlProps/ctrlProp65.xml><?xml version="1.0" encoding="utf-8"?>
<formControlPr xmlns="http://schemas.microsoft.com/office/spreadsheetml/2009/9/main" objectType="CheckBox" fmlaLink="$H$75" lockText="1" noThreeD="1"/>
</file>

<file path=xl/ctrlProps/ctrlProp66.xml><?xml version="1.0" encoding="utf-8"?>
<formControlPr xmlns="http://schemas.microsoft.com/office/spreadsheetml/2009/9/main" objectType="CheckBox" fmlaLink="$H$76" lockText="1" noThreeD="1"/>
</file>

<file path=xl/ctrlProps/ctrlProp67.xml><?xml version="1.0" encoding="utf-8"?>
<formControlPr xmlns="http://schemas.microsoft.com/office/spreadsheetml/2009/9/main" objectType="CheckBox" fmlaLink="$H$77" lockText="1" noThreeD="1"/>
</file>

<file path=xl/ctrlProps/ctrlProp68.xml><?xml version="1.0" encoding="utf-8"?>
<formControlPr xmlns="http://schemas.microsoft.com/office/spreadsheetml/2009/9/main" objectType="CheckBox" fmlaLink="$H$78" lockText="1" noThreeD="1"/>
</file>

<file path=xl/ctrlProps/ctrlProp69.xml><?xml version="1.0" encoding="utf-8"?>
<formControlPr xmlns="http://schemas.microsoft.com/office/spreadsheetml/2009/9/main" objectType="CheckBox" fmlaLink="$H$79" lockText="1" noThreeD="1"/>
</file>

<file path=xl/ctrlProps/ctrlProp70.xml><?xml version="1.0" encoding="utf-8"?>
<formControlPr xmlns="http://schemas.microsoft.com/office/spreadsheetml/2009/9/main" objectType="CheckBox" fmlaLink="$H$80" lockText="1" noThreeD="1"/>
</file>

<file path=xl/ctrlProps/ctrlProp71.xml><?xml version="1.0" encoding="utf-8"?>
<formControlPr xmlns="http://schemas.microsoft.com/office/spreadsheetml/2009/9/main" objectType="CheckBox" checked="Checked" fmlaLink="$H$81" lockText="1" noThreeD="1"/>
</file>

<file path=xl/ctrlProps/ctrlProp72.xml><?xml version="1.0" encoding="utf-8"?>
<formControlPr xmlns="http://schemas.microsoft.com/office/spreadsheetml/2009/9/main" objectType="CheckBox" fmlaLink="$H$82" lockText="1" noThreeD="1"/>
</file>

<file path=xl/ctrlProps/ctrlProp73.xml><?xml version="1.0" encoding="utf-8"?>
<formControlPr xmlns="http://schemas.microsoft.com/office/spreadsheetml/2009/9/main" objectType="CheckBox" checked="Checked" fmlaLink="$H$83" lockText="1" noThreeD="1"/>
</file>

<file path=xl/ctrlProps/ctrlProp74.xml><?xml version="1.0" encoding="utf-8"?>
<formControlPr xmlns="http://schemas.microsoft.com/office/spreadsheetml/2009/9/main" objectType="CheckBox" fmlaLink="$H$85" lockText="1" noThreeD="1"/>
</file>

<file path=xl/ctrlProps/ctrlProp75.xml><?xml version="1.0" encoding="utf-8"?>
<formControlPr xmlns="http://schemas.microsoft.com/office/spreadsheetml/2009/9/main" objectType="CheckBox" fmlaLink="$H$84" lockText="1" noThreeD="1"/>
</file>

<file path=xl/ctrlProps/ctrlProp76.xml><?xml version="1.0" encoding="utf-8"?>
<formControlPr xmlns="http://schemas.microsoft.com/office/spreadsheetml/2009/9/main" objectType="CheckBox" checked="Checked" fmlaLink="$H$86" lockText="1" noThreeD="1"/>
</file>

<file path=xl/ctrlProps/ctrlProp77.xml><?xml version="1.0" encoding="utf-8"?>
<formControlPr xmlns="http://schemas.microsoft.com/office/spreadsheetml/2009/9/main" objectType="CheckBox" fmlaLink="$H$87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fmlaLink="$H$88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fmlaLink="$H$90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fmlaLink="$H$91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fmlaLink="$H$92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fmlaLink="$H$93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fmlaLink="$H$94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fmlaLink="$H$95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fmlaLink="$H$96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fmlaLink="$H$97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fmlaLink="$H$98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fmlaLink="$H$99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fmlaLink="$H$100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fmlaLink="$H$101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fmlaLink="$H$102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fmlaLink="$H$103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fmlaLink="$H$104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checked="Checked" fmlaLink="$H$105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fmlaLink="$H$106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fmlaLink="$H$107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fmlaLink="$H$108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fmlaLink="$H$109" lockText="1" noThreeD="1"/>
</file>

<file path=xl/ctrlProps/ctrlProp120.xml><?xml version="1.0" encoding="utf-8"?>
<formControlPr xmlns="http://schemas.microsoft.com/office/spreadsheetml/2009/9/main" objectType="CheckBox" fmlaLink="$H$89" lockText="1" noThreeD="1"/>
</file>

<file path=xl/ctrlProps/ctrlProp121.xml><?xml version="1.0" encoding="utf-8"?>
<formControlPr xmlns="http://schemas.microsoft.com/office/spreadsheetml/2009/9/main" objectType="CheckBox" checked="Checked" fmlaLink="$H$1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9</xdr:row>
          <xdr:rowOff>9525</xdr:rowOff>
        </xdr:from>
        <xdr:to>
          <xdr:col>5</xdr:col>
          <xdr:colOff>1819275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Routine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11</xdr:row>
          <xdr:rowOff>0</xdr:rowOff>
        </xdr:from>
        <xdr:to>
          <xdr:col>5</xdr:col>
          <xdr:colOff>1790700</xdr:colOff>
          <xdr:row>12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People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</xdr:row>
          <xdr:rowOff>180975</xdr:rowOff>
        </xdr:from>
        <xdr:to>
          <xdr:col>5</xdr:col>
          <xdr:colOff>1800225</xdr:colOff>
          <xdr:row>11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Causing Change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11</xdr:row>
          <xdr:rowOff>180975</xdr:rowOff>
        </xdr:from>
        <xdr:to>
          <xdr:col>5</xdr:col>
          <xdr:colOff>1800225</xdr:colOff>
          <xdr:row>13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Caution in relationships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13</xdr:row>
          <xdr:rowOff>180975</xdr:rowOff>
        </xdr:from>
        <xdr:to>
          <xdr:col>5</xdr:col>
          <xdr:colOff>1752600</xdr:colOff>
          <xdr:row>15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 relate to others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14</xdr:row>
          <xdr:rowOff>180975</xdr:rowOff>
        </xdr:from>
        <xdr:to>
          <xdr:col>5</xdr:col>
          <xdr:colOff>1752600</xdr:colOff>
          <xdr:row>16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 Get involved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15</xdr:row>
          <xdr:rowOff>180975</xdr:rowOff>
        </xdr:from>
        <xdr:to>
          <xdr:col>5</xdr:col>
          <xdr:colOff>1752600</xdr:colOff>
          <xdr:row>16</xdr:row>
          <xdr:rowOff>200025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 Organise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16</xdr:row>
          <xdr:rowOff>180975</xdr:rowOff>
        </xdr:from>
        <xdr:to>
          <xdr:col>5</xdr:col>
          <xdr:colOff>1752600</xdr:colOff>
          <xdr:row>17</xdr:row>
          <xdr:rowOff>190500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This week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17</xdr:row>
          <xdr:rowOff>180975</xdr:rowOff>
        </xdr:from>
        <xdr:to>
          <xdr:col>5</xdr:col>
          <xdr:colOff>1752600</xdr:colOff>
          <xdr:row>19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Next Week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18</xdr:row>
          <xdr:rowOff>180975</xdr:rowOff>
        </xdr:from>
        <xdr:to>
          <xdr:col>5</xdr:col>
          <xdr:colOff>1752600</xdr:colOff>
          <xdr:row>20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Past Years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19</xdr:row>
          <xdr:rowOff>180975</xdr:rowOff>
        </xdr:from>
        <xdr:to>
          <xdr:col>5</xdr:col>
          <xdr:colOff>1752600</xdr:colOff>
          <xdr:row>20</xdr:row>
          <xdr:rowOff>200025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Right now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20</xdr:row>
          <xdr:rowOff>180975</xdr:rowOff>
        </xdr:from>
        <xdr:to>
          <xdr:col>5</xdr:col>
          <xdr:colOff>1752600</xdr:colOff>
          <xdr:row>21</xdr:row>
          <xdr:rowOff>190500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Delayed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21</xdr:row>
          <xdr:rowOff>180975</xdr:rowOff>
        </xdr:from>
        <xdr:to>
          <xdr:col>5</xdr:col>
          <xdr:colOff>1752600</xdr:colOff>
          <xdr:row>23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Timely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22</xdr:row>
          <xdr:rowOff>180975</xdr:rowOff>
        </xdr:from>
        <xdr:to>
          <xdr:col>5</xdr:col>
          <xdr:colOff>1752600</xdr:colOff>
          <xdr:row>24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Cautious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23</xdr:row>
          <xdr:rowOff>180975</xdr:rowOff>
        </xdr:from>
        <xdr:to>
          <xdr:col>5</xdr:col>
          <xdr:colOff>1752600</xdr:colOff>
          <xdr:row>24</xdr:row>
          <xdr:rowOff>200025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Immediate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24</xdr:row>
          <xdr:rowOff>180975</xdr:rowOff>
        </xdr:from>
        <xdr:to>
          <xdr:col>5</xdr:col>
          <xdr:colOff>1752600</xdr:colOff>
          <xdr:row>25</xdr:row>
          <xdr:rowOff>190500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Feelings &amp; relationship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25</xdr:row>
          <xdr:rowOff>180975</xdr:rowOff>
        </xdr:from>
        <xdr:to>
          <xdr:col>5</xdr:col>
          <xdr:colOff>1752600</xdr:colOff>
          <xdr:row>27</xdr:row>
          <xdr:rowOff>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Conclusions &amp; actions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26</xdr:row>
          <xdr:rowOff>180975</xdr:rowOff>
        </xdr:from>
        <xdr:to>
          <xdr:col>5</xdr:col>
          <xdr:colOff>1752600</xdr:colOff>
          <xdr:row>28</xdr:row>
          <xdr:rowOff>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Principles &amp; Thinking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27</xdr:row>
          <xdr:rowOff>180975</xdr:rowOff>
        </xdr:from>
        <xdr:to>
          <xdr:col>5</xdr:col>
          <xdr:colOff>1752600</xdr:colOff>
          <xdr:row>28</xdr:row>
          <xdr:rowOff>200025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Dreams &amp; intuition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28</xdr:row>
          <xdr:rowOff>180975</xdr:rowOff>
        </xdr:from>
        <xdr:to>
          <xdr:col>5</xdr:col>
          <xdr:colOff>1752600</xdr:colOff>
          <xdr:row>29</xdr:row>
          <xdr:rowOff>190500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Conflict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29</xdr:row>
          <xdr:rowOff>180975</xdr:rowOff>
        </xdr:from>
        <xdr:to>
          <xdr:col>5</xdr:col>
          <xdr:colOff>1752600</xdr:colOff>
          <xdr:row>31</xdr:row>
          <xdr:rowOff>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inaction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30</xdr:row>
          <xdr:rowOff>180975</xdr:rowOff>
        </xdr:from>
        <xdr:to>
          <xdr:col>5</xdr:col>
          <xdr:colOff>1752600</xdr:colOff>
          <xdr:row>32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involvement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31</xdr:row>
          <xdr:rowOff>180975</xdr:rowOff>
        </xdr:from>
        <xdr:to>
          <xdr:col>5</xdr:col>
          <xdr:colOff>1752600</xdr:colOff>
          <xdr:row>32</xdr:row>
          <xdr:rowOff>200025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isolation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32</xdr:row>
          <xdr:rowOff>180975</xdr:rowOff>
        </xdr:from>
        <xdr:to>
          <xdr:col>5</xdr:col>
          <xdr:colOff>1752600</xdr:colOff>
          <xdr:row>33</xdr:row>
          <xdr:rowOff>190500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33</xdr:row>
          <xdr:rowOff>180975</xdr:rowOff>
        </xdr:from>
        <xdr:to>
          <xdr:col>5</xdr:col>
          <xdr:colOff>1752600</xdr:colOff>
          <xdr:row>35</xdr:row>
          <xdr:rowOff>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Intuition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34</xdr:row>
          <xdr:rowOff>180975</xdr:rowOff>
        </xdr:from>
        <xdr:to>
          <xdr:col>5</xdr:col>
          <xdr:colOff>1752600</xdr:colOff>
          <xdr:row>36</xdr:row>
          <xdr:rowOff>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35</xdr:row>
          <xdr:rowOff>180975</xdr:rowOff>
        </xdr:from>
        <xdr:to>
          <xdr:col>5</xdr:col>
          <xdr:colOff>1752600</xdr:colOff>
          <xdr:row>36</xdr:row>
          <xdr:rowOff>200025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Analysing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36</xdr:row>
          <xdr:rowOff>180975</xdr:rowOff>
        </xdr:from>
        <xdr:to>
          <xdr:col>5</xdr:col>
          <xdr:colOff>1752600</xdr:colOff>
          <xdr:row>37</xdr:row>
          <xdr:rowOff>190500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Impulsive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37</xdr:row>
          <xdr:rowOff>180975</xdr:rowOff>
        </xdr:from>
        <xdr:to>
          <xdr:col>5</xdr:col>
          <xdr:colOff>1752600</xdr:colOff>
          <xdr:row>39</xdr:row>
          <xdr:rowOff>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Direct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38</xdr:row>
          <xdr:rowOff>180975</xdr:rowOff>
        </xdr:from>
        <xdr:to>
          <xdr:col>5</xdr:col>
          <xdr:colOff>1752600</xdr:colOff>
          <xdr:row>40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Hesitant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39</xdr:row>
          <xdr:rowOff>180975</xdr:rowOff>
        </xdr:from>
        <xdr:to>
          <xdr:col>5</xdr:col>
          <xdr:colOff>1752600</xdr:colOff>
          <xdr:row>40</xdr:row>
          <xdr:rowOff>200025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Supportive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40</xdr:row>
          <xdr:rowOff>180975</xdr:rowOff>
        </xdr:from>
        <xdr:to>
          <xdr:col>5</xdr:col>
          <xdr:colOff>1752600</xdr:colOff>
          <xdr:row>41</xdr:row>
          <xdr:rowOff>190500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Criticising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41</xdr:row>
          <xdr:rowOff>180975</xdr:rowOff>
        </xdr:from>
        <xdr:to>
          <xdr:col>5</xdr:col>
          <xdr:colOff>1752600</xdr:colOff>
          <xdr:row>43</xdr:row>
          <xdr:rowOff>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Pushy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42</xdr:row>
          <xdr:rowOff>180975</xdr:rowOff>
        </xdr:from>
        <xdr:to>
          <xdr:col>5</xdr:col>
          <xdr:colOff>1752600</xdr:colOff>
          <xdr:row>44</xdr:row>
          <xdr:rowOff>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Conforming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43</xdr:row>
          <xdr:rowOff>180975</xdr:rowOff>
        </xdr:from>
        <xdr:to>
          <xdr:col>5</xdr:col>
          <xdr:colOff>1752600</xdr:colOff>
          <xdr:row>44</xdr:row>
          <xdr:rowOff>200025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Manipulative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44</xdr:row>
          <xdr:rowOff>180975</xdr:rowOff>
        </xdr:from>
        <xdr:to>
          <xdr:col>5</xdr:col>
          <xdr:colOff>1752600</xdr:colOff>
          <xdr:row>45</xdr:row>
          <xdr:rowOff>190500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Determined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45</xdr:row>
          <xdr:rowOff>180975</xdr:rowOff>
        </xdr:from>
        <xdr:to>
          <xdr:col>5</xdr:col>
          <xdr:colOff>1752600</xdr:colOff>
          <xdr:row>47</xdr:row>
          <xdr:rowOff>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Industrious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46</xdr:row>
          <xdr:rowOff>180975</xdr:rowOff>
        </xdr:from>
        <xdr:to>
          <xdr:col>5</xdr:col>
          <xdr:colOff>1752600</xdr:colOff>
          <xdr:row>48</xdr:row>
          <xdr:rowOff>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Non controversial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47</xdr:row>
          <xdr:rowOff>180975</xdr:rowOff>
        </xdr:from>
        <xdr:to>
          <xdr:col>5</xdr:col>
          <xdr:colOff>1752600</xdr:colOff>
          <xdr:row>48</xdr:row>
          <xdr:rowOff>200025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Personable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48</xdr:row>
          <xdr:rowOff>180975</xdr:rowOff>
        </xdr:from>
        <xdr:to>
          <xdr:col>5</xdr:col>
          <xdr:colOff>1752600</xdr:colOff>
          <xdr:row>49</xdr:row>
          <xdr:rowOff>190500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Judgemental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49</xdr:row>
          <xdr:rowOff>180975</xdr:rowOff>
        </xdr:from>
        <xdr:to>
          <xdr:col>5</xdr:col>
          <xdr:colOff>1752600</xdr:colOff>
          <xdr:row>51</xdr:row>
          <xdr:rowOff>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Indecisive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50</xdr:row>
          <xdr:rowOff>180975</xdr:rowOff>
        </xdr:from>
        <xdr:to>
          <xdr:col>5</xdr:col>
          <xdr:colOff>1752600</xdr:colOff>
          <xdr:row>52</xdr:row>
          <xdr:rowOff>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Harsh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51</xdr:row>
          <xdr:rowOff>180975</xdr:rowOff>
        </xdr:from>
        <xdr:to>
          <xdr:col>5</xdr:col>
          <xdr:colOff>1752600</xdr:colOff>
          <xdr:row>52</xdr:row>
          <xdr:rowOff>200025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Self-Promoting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52</xdr:row>
          <xdr:rowOff>180975</xdr:rowOff>
        </xdr:from>
        <xdr:to>
          <xdr:col>5</xdr:col>
          <xdr:colOff>1752600</xdr:colOff>
          <xdr:row>53</xdr:row>
          <xdr:rowOff>190500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Dominating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53</xdr:row>
          <xdr:rowOff>180975</xdr:rowOff>
        </xdr:from>
        <xdr:to>
          <xdr:col>5</xdr:col>
          <xdr:colOff>1752600</xdr:colOff>
          <xdr:row>55</xdr:row>
          <xdr:rowOff>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Reacting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54</xdr:row>
          <xdr:rowOff>180975</xdr:rowOff>
        </xdr:from>
        <xdr:to>
          <xdr:col>5</xdr:col>
          <xdr:colOff>1752600</xdr:colOff>
          <xdr:row>56</xdr:row>
          <xdr:rowOff>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Exacting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55</xdr:row>
          <xdr:rowOff>180975</xdr:rowOff>
        </xdr:from>
        <xdr:to>
          <xdr:col>5</xdr:col>
          <xdr:colOff>1752600</xdr:colOff>
          <xdr:row>56</xdr:row>
          <xdr:rowOff>200025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Dependant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56</xdr:row>
          <xdr:rowOff>180975</xdr:rowOff>
        </xdr:from>
        <xdr:to>
          <xdr:col>5</xdr:col>
          <xdr:colOff>1752600</xdr:colOff>
          <xdr:row>57</xdr:row>
          <xdr:rowOff>190500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Demanding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57</xdr:row>
          <xdr:rowOff>180975</xdr:rowOff>
        </xdr:from>
        <xdr:to>
          <xdr:col>5</xdr:col>
          <xdr:colOff>1752600</xdr:colOff>
          <xdr:row>59</xdr:row>
          <xdr:rowOff>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Persistent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58</xdr:row>
          <xdr:rowOff>180975</xdr:rowOff>
        </xdr:from>
        <xdr:to>
          <xdr:col>5</xdr:col>
          <xdr:colOff>1752600</xdr:colOff>
          <xdr:row>60</xdr:row>
          <xdr:rowOff>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Respectful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59</xdr:row>
          <xdr:rowOff>180975</xdr:rowOff>
        </xdr:from>
        <xdr:to>
          <xdr:col>5</xdr:col>
          <xdr:colOff>1752600</xdr:colOff>
          <xdr:row>60</xdr:row>
          <xdr:rowOff>200025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Stimulating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60</xdr:row>
          <xdr:rowOff>180975</xdr:rowOff>
        </xdr:from>
        <xdr:to>
          <xdr:col>5</xdr:col>
          <xdr:colOff>1752600</xdr:colOff>
          <xdr:row>61</xdr:row>
          <xdr:rowOff>190500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Enthusiastic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61</xdr:row>
          <xdr:rowOff>180975</xdr:rowOff>
        </xdr:from>
        <xdr:to>
          <xdr:col>5</xdr:col>
          <xdr:colOff>1752600</xdr:colOff>
          <xdr:row>63</xdr:row>
          <xdr:rowOff>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Forceful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62</xdr:row>
          <xdr:rowOff>180975</xdr:rowOff>
        </xdr:from>
        <xdr:to>
          <xdr:col>5</xdr:col>
          <xdr:colOff>1752600</xdr:colOff>
          <xdr:row>64</xdr:row>
          <xdr:rowOff>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Precise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63</xdr:row>
          <xdr:rowOff>180975</xdr:rowOff>
        </xdr:from>
        <xdr:to>
          <xdr:col>5</xdr:col>
          <xdr:colOff>1752600</xdr:colOff>
          <xdr:row>64</xdr:row>
          <xdr:rowOff>200025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Willing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64</xdr:row>
          <xdr:rowOff>180975</xdr:rowOff>
        </xdr:from>
        <xdr:to>
          <xdr:col>5</xdr:col>
          <xdr:colOff>1752600</xdr:colOff>
          <xdr:row>65</xdr:row>
          <xdr:rowOff>190500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Decisive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65</xdr:row>
          <xdr:rowOff>180975</xdr:rowOff>
        </xdr:from>
        <xdr:to>
          <xdr:col>5</xdr:col>
          <xdr:colOff>1752600</xdr:colOff>
          <xdr:row>67</xdr:row>
          <xdr:rowOff>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Dramatic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66</xdr:row>
          <xdr:rowOff>180975</xdr:rowOff>
        </xdr:from>
        <xdr:to>
          <xdr:col>5</xdr:col>
          <xdr:colOff>1752600</xdr:colOff>
          <xdr:row>68</xdr:row>
          <xdr:rowOff>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Dependable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67</xdr:row>
          <xdr:rowOff>180975</xdr:rowOff>
        </xdr:from>
        <xdr:to>
          <xdr:col>5</xdr:col>
          <xdr:colOff>1752600</xdr:colOff>
          <xdr:row>68</xdr:row>
          <xdr:rowOff>200025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Vigilant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68</xdr:row>
          <xdr:rowOff>180975</xdr:rowOff>
        </xdr:from>
        <xdr:to>
          <xdr:col>5</xdr:col>
          <xdr:colOff>1752600</xdr:colOff>
          <xdr:row>69</xdr:row>
          <xdr:rowOff>190500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Gregarious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69</xdr:row>
          <xdr:rowOff>180975</xdr:rowOff>
        </xdr:from>
        <xdr:to>
          <xdr:col>5</xdr:col>
          <xdr:colOff>1752600</xdr:colOff>
          <xdr:row>71</xdr:row>
          <xdr:rowOff>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Orderly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70</xdr:row>
          <xdr:rowOff>180975</xdr:rowOff>
        </xdr:from>
        <xdr:to>
          <xdr:col>5</xdr:col>
          <xdr:colOff>1752600</xdr:colOff>
          <xdr:row>72</xdr:row>
          <xdr:rowOff>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Efficient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71</xdr:row>
          <xdr:rowOff>180975</xdr:rowOff>
        </xdr:from>
        <xdr:to>
          <xdr:col>5</xdr:col>
          <xdr:colOff>1752600</xdr:colOff>
          <xdr:row>72</xdr:row>
          <xdr:rowOff>200025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Agreeable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72</xdr:row>
          <xdr:rowOff>180975</xdr:rowOff>
        </xdr:from>
        <xdr:to>
          <xdr:col>5</xdr:col>
          <xdr:colOff>1752600</xdr:colOff>
          <xdr:row>73</xdr:row>
          <xdr:rowOff>190500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Pliable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73</xdr:row>
          <xdr:rowOff>180975</xdr:rowOff>
        </xdr:from>
        <xdr:to>
          <xdr:col>5</xdr:col>
          <xdr:colOff>1752600</xdr:colOff>
          <xdr:row>75</xdr:row>
          <xdr:rowOff>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Undisciplined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74</xdr:row>
          <xdr:rowOff>180975</xdr:rowOff>
        </xdr:from>
        <xdr:to>
          <xdr:col>5</xdr:col>
          <xdr:colOff>1752600</xdr:colOff>
          <xdr:row>76</xdr:row>
          <xdr:rowOff>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Tough-Minded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75</xdr:row>
          <xdr:rowOff>180975</xdr:rowOff>
        </xdr:from>
        <xdr:to>
          <xdr:col>5</xdr:col>
          <xdr:colOff>1752600</xdr:colOff>
          <xdr:row>76</xdr:row>
          <xdr:rowOff>200025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Stuffy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76</xdr:row>
          <xdr:rowOff>180975</xdr:rowOff>
        </xdr:from>
        <xdr:to>
          <xdr:col>5</xdr:col>
          <xdr:colOff>1752600</xdr:colOff>
          <xdr:row>77</xdr:row>
          <xdr:rowOff>190500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Tentative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77</xdr:row>
          <xdr:rowOff>180975</xdr:rowOff>
        </xdr:from>
        <xdr:to>
          <xdr:col>5</xdr:col>
          <xdr:colOff>1752600</xdr:colOff>
          <xdr:row>79</xdr:row>
          <xdr:rowOff>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Retiring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78</xdr:row>
          <xdr:rowOff>180975</xdr:rowOff>
        </xdr:from>
        <xdr:to>
          <xdr:col>5</xdr:col>
          <xdr:colOff>1752600</xdr:colOff>
          <xdr:row>80</xdr:row>
          <xdr:rowOff>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Severe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79</xdr:row>
          <xdr:rowOff>180975</xdr:rowOff>
        </xdr:from>
        <xdr:to>
          <xdr:col>5</xdr:col>
          <xdr:colOff>1752600</xdr:colOff>
          <xdr:row>80</xdr:row>
          <xdr:rowOff>200025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Excitable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80</xdr:row>
          <xdr:rowOff>180975</xdr:rowOff>
        </xdr:from>
        <xdr:to>
          <xdr:col>5</xdr:col>
          <xdr:colOff>1752600</xdr:colOff>
          <xdr:row>81</xdr:row>
          <xdr:rowOff>190500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Creative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81</xdr:row>
          <xdr:rowOff>180975</xdr:rowOff>
        </xdr:from>
        <xdr:to>
          <xdr:col>5</xdr:col>
          <xdr:colOff>1752600</xdr:colOff>
          <xdr:row>83</xdr:row>
          <xdr:rowOff>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Sympathetic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83</xdr:row>
          <xdr:rowOff>180975</xdr:rowOff>
        </xdr:from>
        <xdr:to>
          <xdr:col>5</xdr:col>
          <xdr:colOff>1752600</xdr:colOff>
          <xdr:row>84</xdr:row>
          <xdr:rowOff>200025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Serious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82</xdr:row>
          <xdr:rowOff>180975</xdr:rowOff>
        </xdr:from>
        <xdr:to>
          <xdr:col>5</xdr:col>
          <xdr:colOff>1752600</xdr:colOff>
          <xdr:row>84</xdr:row>
          <xdr:rowOff>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Reserved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84</xdr:row>
          <xdr:rowOff>180975</xdr:rowOff>
        </xdr:from>
        <xdr:to>
          <xdr:col>5</xdr:col>
          <xdr:colOff>1752600</xdr:colOff>
          <xdr:row>85</xdr:row>
          <xdr:rowOff>190500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Yielding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85</xdr:row>
          <xdr:rowOff>180975</xdr:rowOff>
        </xdr:from>
        <xdr:to>
          <xdr:col>5</xdr:col>
          <xdr:colOff>1752600</xdr:colOff>
          <xdr:row>87</xdr:row>
          <xdr:rowOff>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Secretive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86</xdr:row>
          <xdr:rowOff>180975</xdr:rowOff>
        </xdr:from>
        <xdr:to>
          <xdr:col>5</xdr:col>
          <xdr:colOff>1752600</xdr:colOff>
          <xdr:row>88</xdr:row>
          <xdr:rowOff>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Stern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86</xdr:row>
          <xdr:rowOff>180975</xdr:rowOff>
        </xdr:from>
        <xdr:to>
          <xdr:col>5</xdr:col>
          <xdr:colOff>1752600</xdr:colOff>
          <xdr:row>88</xdr:row>
          <xdr:rowOff>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Stern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88</xdr:row>
          <xdr:rowOff>180975</xdr:rowOff>
        </xdr:from>
        <xdr:to>
          <xdr:col>5</xdr:col>
          <xdr:colOff>1752600</xdr:colOff>
          <xdr:row>89</xdr:row>
          <xdr:rowOff>190500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Interesting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88</xdr:row>
          <xdr:rowOff>180975</xdr:rowOff>
        </xdr:from>
        <xdr:to>
          <xdr:col>5</xdr:col>
          <xdr:colOff>1752600</xdr:colOff>
          <xdr:row>89</xdr:row>
          <xdr:rowOff>190500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89</xdr:row>
          <xdr:rowOff>180975</xdr:rowOff>
        </xdr:from>
        <xdr:to>
          <xdr:col>5</xdr:col>
          <xdr:colOff>1752600</xdr:colOff>
          <xdr:row>91</xdr:row>
          <xdr:rowOff>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Independent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89</xdr:row>
          <xdr:rowOff>180975</xdr:rowOff>
        </xdr:from>
        <xdr:to>
          <xdr:col>5</xdr:col>
          <xdr:colOff>1752600</xdr:colOff>
          <xdr:row>91</xdr:row>
          <xdr:rowOff>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90</xdr:row>
          <xdr:rowOff>180975</xdr:rowOff>
        </xdr:from>
        <xdr:to>
          <xdr:col>5</xdr:col>
          <xdr:colOff>1752600</xdr:colOff>
          <xdr:row>92</xdr:row>
          <xdr:rowOff>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Helpful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90</xdr:row>
          <xdr:rowOff>180975</xdr:rowOff>
        </xdr:from>
        <xdr:to>
          <xdr:col>5</xdr:col>
          <xdr:colOff>1752600</xdr:colOff>
          <xdr:row>92</xdr:row>
          <xdr:rowOff>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91</xdr:row>
          <xdr:rowOff>180975</xdr:rowOff>
        </xdr:from>
        <xdr:to>
          <xdr:col>5</xdr:col>
          <xdr:colOff>1752600</xdr:colOff>
          <xdr:row>92</xdr:row>
          <xdr:rowOff>200025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Thorough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91</xdr:row>
          <xdr:rowOff>180975</xdr:rowOff>
        </xdr:from>
        <xdr:to>
          <xdr:col>5</xdr:col>
          <xdr:colOff>1752600</xdr:colOff>
          <xdr:row>92</xdr:row>
          <xdr:rowOff>200025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92</xdr:row>
          <xdr:rowOff>180975</xdr:rowOff>
        </xdr:from>
        <xdr:to>
          <xdr:col>5</xdr:col>
          <xdr:colOff>1752600</xdr:colOff>
          <xdr:row>93</xdr:row>
          <xdr:rowOff>190500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Bold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92</xdr:row>
          <xdr:rowOff>180975</xdr:rowOff>
        </xdr:from>
        <xdr:to>
          <xdr:col>5</xdr:col>
          <xdr:colOff>1752600</xdr:colOff>
          <xdr:row>93</xdr:row>
          <xdr:rowOff>190500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93</xdr:row>
          <xdr:rowOff>180975</xdr:rowOff>
        </xdr:from>
        <xdr:to>
          <xdr:col>5</xdr:col>
          <xdr:colOff>1752600</xdr:colOff>
          <xdr:row>95</xdr:row>
          <xdr:rowOff>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Gentle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93</xdr:row>
          <xdr:rowOff>180975</xdr:rowOff>
        </xdr:from>
        <xdr:to>
          <xdr:col>5</xdr:col>
          <xdr:colOff>1752600</xdr:colOff>
          <xdr:row>95</xdr:row>
          <xdr:rowOff>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94</xdr:row>
          <xdr:rowOff>180975</xdr:rowOff>
        </xdr:from>
        <xdr:to>
          <xdr:col>5</xdr:col>
          <xdr:colOff>1752600</xdr:colOff>
          <xdr:row>96</xdr:row>
          <xdr:rowOff>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Humorous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94</xdr:row>
          <xdr:rowOff>180975</xdr:rowOff>
        </xdr:from>
        <xdr:to>
          <xdr:col>5</xdr:col>
          <xdr:colOff>1752600</xdr:colOff>
          <xdr:row>96</xdr:row>
          <xdr:rowOff>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95</xdr:row>
          <xdr:rowOff>180975</xdr:rowOff>
        </xdr:from>
        <xdr:to>
          <xdr:col>5</xdr:col>
          <xdr:colOff>1752600</xdr:colOff>
          <xdr:row>96</xdr:row>
          <xdr:rowOff>200025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Meticulous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95</xdr:row>
          <xdr:rowOff>180975</xdr:rowOff>
        </xdr:from>
        <xdr:to>
          <xdr:col>5</xdr:col>
          <xdr:colOff>1752600</xdr:colOff>
          <xdr:row>96</xdr:row>
          <xdr:rowOff>200025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96</xdr:row>
          <xdr:rowOff>180975</xdr:rowOff>
        </xdr:from>
        <xdr:to>
          <xdr:col>5</xdr:col>
          <xdr:colOff>1752600</xdr:colOff>
          <xdr:row>97</xdr:row>
          <xdr:rowOff>190500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Boisterous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96</xdr:row>
          <xdr:rowOff>180975</xdr:rowOff>
        </xdr:from>
        <xdr:to>
          <xdr:col>5</xdr:col>
          <xdr:colOff>1752600</xdr:colOff>
          <xdr:row>97</xdr:row>
          <xdr:rowOff>190500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97</xdr:row>
          <xdr:rowOff>180975</xdr:rowOff>
        </xdr:from>
        <xdr:to>
          <xdr:col>5</xdr:col>
          <xdr:colOff>1752600</xdr:colOff>
          <xdr:row>99</xdr:row>
          <xdr:rowOff>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Insistent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97</xdr:row>
          <xdr:rowOff>180975</xdr:rowOff>
        </xdr:from>
        <xdr:to>
          <xdr:col>5</xdr:col>
          <xdr:colOff>1752600</xdr:colOff>
          <xdr:row>99</xdr:row>
          <xdr:rowOff>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98</xdr:row>
          <xdr:rowOff>180975</xdr:rowOff>
        </xdr:from>
        <xdr:to>
          <xdr:col>5</xdr:col>
          <xdr:colOff>1752600</xdr:colOff>
          <xdr:row>100</xdr:row>
          <xdr:rowOff>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Compliant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98</xdr:row>
          <xdr:rowOff>180975</xdr:rowOff>
        </xdr:from>
        <xdr:to>
          <xdr:col>5</xdr:col>
          <xdr:colOff>1752600</xdr:colOff>
          <xdr:row>100</xdr:row>
          <xdr:rowOff>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99</xdr:row>
          <xdr:rowOff>180975</xdr:rowOff>
        </xdr:from>
        <xdr:to>
          <xdr:col>5</xdr:col>
          <xdr:colOff>1752600</xdr:colOff>
          <xdr:row>100</xdr:row>
          <xdr:rowOff>200025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Rigid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99</xdr:row>
          <xdr:rowOff>180975</xdr:rowOff>
        </xdr:from>
        <xdr:to>
          <xdr:col>5</xdr:col>
          <xdr:colOff>1752600</xdr:colOff>
          <xdr:row>100</xdr:row>
          <xdr:rowOff>200025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100</xdr:row>
          <xdr:rowOff>180975</xdr:rowOff>
        </xdr:from>
        <xdr:to>
          <xdr:col>5</xdr:col>
          <xdr:colOff>1752600</xdr:colOff>
          <xdr:row>101</xdr:row>
          <xdr:rowOff>190500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Relaxed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100</xdr:row>
          <xdr:rowOff>180975</xdr:rowOff>
        </xdr:from>
        <xdr:to>
          <xdr:col>5</xdr:col>
          <xdr:colOff>1752600</xdr:colOff>
          <xdr:row>101</xdr:row>
          <xdr:rowOff>190500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101</xdr:row>
          <xdr:rowOff>180975</xdr:rowOff>
        </xdr:from>
        <xdr:to>
          <xdr:col>5</xdr:col>
          <xdr:colOff>1752600</xdr:colOff>
          <xdr:row>103</xdr:row>
          <xdr:rowOff>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Disciplined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101</xdr:row>
          <xdr:rowOff>180975</xdr:rowOff>
        </xdr:from>
        <xdr:to>
          <xdr:col>5</xdr:col>
          <xdr:colOff>1752600</xdr:colOff>
          <xdr:row>103</xdr:row>
          <xdr:rowOff>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102</xdr:row>
          <xdr:rowOff>180975</xdr:rowOff>
        </xdr:from>
        <xdr:to>
          <xdr:col>5</xdr:col>
          <xdr:colOff>1752600</xdr:colOff>
          <xdr:row>104</xdr:row>
          <xdr:rowOff>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Expressive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102</xdr:row>
          <xdr:rowOff>180975</xdr:rowOff>
        </xdr:from>
        <xdr:to>
          <xdr:col>5</xdr:col>
          <xdr:colOff>1752600</xdr:colOff>
          <xdr:row>104</xdr:row>
          <xdr:rowOff>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103</xdr:row>
          <xdr:rowOff>180975</xdr:rowOff>
        </xdr:from>
        <xdr:to>
          <xdr:col>5</xdr:col>
          <xdr:colOff>1752600</xdr:colOff>
          <xdr:row>104</xdr:row>
          <xdr:rowOff>200025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Factual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103</xdr:row>
          <xdr:rowOff>180975</xdr:rowOff>
        </xdr:from>
        <xdr:to>
          <xdr:col>5</xdr:col>
          <xdr:colOff>1752600</xdr:colOff>
          <xdr:row>104</xdr:row>
          <xdr:rowOff>200025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104</xdr:row>
          <xdr:rowOff>180975</xdr:rowOff>
        </xdr:from>
        <xdr:to>
          <xdr:col>5</xdr:col>
          <xdr:colOff>1752600</xdr:colOff>
          <xdr:row>105</xdr:row>
          <xdr:rowOff>190500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Insensitive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104</xdr:row>
          <xdr:rowOff>180975</xdr:rowOff>
        </xdr:from>
        <xdr:to>
          <xdr:col>5</xdr:col>
          <xdr:colOff>1752600</xdr:colOff>
          <xdr:row>105</xdr:row>
          <xdr:rowOff>190500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105</xdr:row>
          <xdr:rowOff>180975</xdr:rowOff>
        </xdr:from>
        <xdr:to>
          <xdr:col>5</xdr:col>
          <xdr:colOff>1752600</xdr:colOff>
          <xdr:row>107</xdr:row>
          <xdr:rowOff>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Impatient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105</xdr:row>
          <xdr:rowOff>180975</xdr:rowOff>
        </xdr:from>
        <xdr:to>
          <xdr:col>5</xdr:col>
          <xdr:colOff>1752600</xdr:colOff>
          <xdr:row>107</xdr:row>
          <xdr:rowOff>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106</xdr:row>
          <xdr:rowOff>180975</xdr:rowOff>
        </xdr:from>
        <xdr:to>
          <xdr:col>5</xdr:col>
          <xdr:colOff>1752600</xdr:colOff>
          <xdr:row>108</xdr:row>
          <xdr:rowOff>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Egotistical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106</xdr:row>
          <xdr:rowOff>180975</xdr:rowOff>
        </xdr:from>
        <xdr:to>
          <xdr:col>5</xdr:col>
          <xdr:colOff>1752600</xdr:colOff>
          <xdr:row>108</xdr:row>
          <xdr:rowOff>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107</xdr:row>
          <xdr:rowOff>180975</xdr:rowOff>
        </xdr:from>
        <xdr:to>
          <xdr:col>5</xdr:col>
          <xdr:colOff>1752600</xdr:colOff>
          <xdr:row>108</xdr:row>
          <xdr:rowOff>200025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Appeasing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107</xdr:row>
          <xdr:rowOff>180975</xdr:rowOff>
        </xdr:from>
        <xdr:to>
          <xdr:col>5</xdr:col>
          <xdr:colOff>1752600</xdr:colOff>
          <xdr:row>108</xdr:row>
          <xdr:rowOff>200025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87</xdr:row>
          <xdr:rowOff>180975</xdr:rowOff>
        </xdr:from>
        <xdr:to>
          <xdr:col>5</xdr:col>
          <xdr:colOff>1752600</xdr:colOff>
          <xdr:row>88</xdr:row>
          <xdr:rowOff>200025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Opinionated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12</xdr:row>
          <xdr:rowOff>200025</xdr:rowOff>
        </xdr:from>
        <xdr:to>
          <xdr:col>5</xdr:col>
          <xdr:colOff>1800225</xdr:colOff>
          <xdr:row>14</xdr:row>
          <xdr:rowOff>28575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 Control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1754" cy="60846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111"/>
  <sheetViews>
    <sheetView showGridLines="0" topLeftCell="A100" zoomScale="110" zoomScaleNormal="110" workbookViewId="0">
      <selection activeCell="F3" sqref="F3:G3"/>
    </sheetView>
  </sheetViews>
  <sheetFormatPr defaultColWidth="0" defaultRowHeight="18.75" zeroHeight="1" x14ac:dyDescent="0.3"/>
  <cols>
    <col min="1" max="1" width="29.140625" style="7" customWidth="1"/>
    <col min="2" max="2" width="1.140625" style="7" customWidth="1"/>
    <col min="3" max="3" width="20.140625" style="21" hidden="1" customWidth="1"/>
    <col min="4" max="4" width="4.140625" style="7" hidden="1" customWidth="1"/>
    <col min="5" max="5" width="6.42578125" style="43" hidden="1" customWidth="1"/>
    <col min="6" max="6" width="28.85546875" style="31" customWidth="1"/>
    <col min="7" max="7" width="24.85546875" style="22" customWidth="1"/>
    <col min="8" max="8" width="8.85546875" style="7" hidden="1" customWidth="1"/>
    <col min="9" max="9" width="8.85546875" style="22" hidden="1" customWidth="1"/>
    <col min="10" max="10" width="2.5703125" style="7" customWidth="1"/>
    <col min="11" max="12" width="8.85546875" style="7" customWidth="1"/>
    <col min="13" max="16384" width="8.85546875" style="7" hidden="1"/>
  </cols>
  <sheetData>
    <row r="1" spans="1:10" ht="27.6" customHeight="1" x14ac:dyDescent="0.2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8.600000000000001" customHeight="1" thickBot="1" x14ac:dyDescent="0.35">
      <c r="A2" s="55" t="s">
        <v>1</v>
      </c>
    </row>
    <row r="3" spans="1:10" ht="21.75" thickBot="1" x14ac:dyDescent="0.4">
      <c r="A3" s="32" t="s">
        <v>237</v>
      </c>
      <c r="B3" s="33"/>
      <c r="C3" s="20" t="s">
        <v>2</v>
      </c>
      <c r="E3" s="44"/>
      <c r="F3" s="73" t="s">
        <v>245</v>
      </c>
      <c r="G3" s="74"/>
      <c r="H3" s="24"/>
      <c r="I3" s="24"/>
      <c r="J3" s="24"/>
    </row>
    <row r="4" spans="1:10" x14ac:dyDescent="0.3"/>
    <row r="5" spans="1:10" ht="15.6" customHeight="1" thickBot="1" x14ac:dyDescent="0.3">
      <c r="A5" s="71" t="s">
        <v>3</v>
      </c>
      <c r="B5" s="71"/>
      <c r="C5" s="71"/>
      <c r="D5" s="71"/>
      <c r="E5" s="71"/>
      <c r="F5" s="71"/>
      <c r="G5" s="71"/>
      <c r="H5" s="71"/>
      <c r="I5" s="71"/>
      <c r="J5" s="71"/>
    </row>
    <row r="6" spans="1:10" ht="15" x14ac:dyDescent="0.25">
      <c r="A6" s="77" t="s">
        <v>242</v>
      </c>
      <c r="B6" s="78"/>
      <c r="C6" s="78"/>
      <c r="D6" s="78"/>
      <c r="E6" s="78"/>
      <c r="F6" s="78"/>
      <c r="G6" s="79"/>
      <c r="H6" s="62"/>
      <c r="I6" s="62"/>
    </row>
    <row r="7" spans="1:10" ht="18" customHeight="1" x14ac:dyDescent="0.25">
      <c r="A7" s="80" t="s">
        <v>240</v>
      </c>
      <c r="B7" s="81"/>
      <c r="C7" s="81"/>
      <c r="D7" s="81"/>
      <c r="E7" s="81"/>
      <c r="F7" s="81"/>
      <c r="G7" s="82"/>
      <c r="H7" s="61"/>
      <c r="I7" s="63"/>
    </row>
    <row r="8" spans="1:10" ht="15.75" thickBot="1" x14ac:dyDescent="0.3">
      <c r="A8" s="83" t="s">
        <v>241</v>
      </c>
      <c r="B8" s="84"/>
      <c r="C8" s="84"/>
      <c r="D8" s="84"/>
      <c r="E8" s="84"/>
      <c r="F8" s="84"/>
      <c r="G8" s="85"/>
      <c r="H8" s="61"/>
      <c r="I8" s="63"/>
    </row>
    <row r="9" spans="1:10" ht="19.5" thickBot="1" x14ac:dyDescent="0.3">
      <c r="A9" s="75" t="s">
        <v>238</v>
      </c>
      <c r="B9" s="76"/>
      <c r="C9" s="57"/>
      <c r="D9" s="56"/>
      <c r="E9" s="58"/>
      <c r="F9" s="59" t="s">
        <v>239</v>
      </c>
      <c r="G9" s="59" t="s">
        <v>243</v>
      </c>
    </row>
    <row r="10" spans="1:10" ht="15.75" x14ac:dyDescent="0.25">
      <c r="A10" s="25" t="s">
        <v>236</v>
      </c>
      <c r="B10" s="34"/>
      <c r="C10" s="47" t="s">
        <v>5</v>
      </c>
      <c r="D10" s="35"/>
      <c r="E10" s="45" t="s">
        <v>129</v>
      </c>
      <c r="F10" s="65"/>
      <c r="G10" s="68" t="str">
        <f>IF(COUNTIF(H10:H13,TRUE)&gt;1,"Only Select 1 answer",IF(COUNTIF(H10:H13,TRUE)&lt;1,"Please select an answer",""))</f>
        <v/>
      </c>
      <c r="H10" s="60" t="b">
        <v>0</v>
      </c>
      <c r="I10" s="22" t="str">
        <f>IF(H10=TRUE,E10,"")</f>
        <v/>
      </c>
    </row>
    <row r="11" spans="1:10" ht="15.75" x14ac:dyDescent="0.25">
      <c r="A11" s="26"/>
      <c r="B11" s="36"/>
      <c r="C11" s="20" t="s">
        <v>6</v>
      </c>
      <c r="D11" s="37"/>
      <c r="E11" s="43" t="s">
        <v>130</v>
      </c>
      <c r="F11" s="66"/>
      <c r="G11" s="69"/>
      <c r="H11" s="60" t="b">
        <v>1</v>
      </c>
      <c r="I11" s="22" t="str">
        <f t="shared" ref="I11:I74" si="0">IF(H11=TRUE,E11,"")</f>
        <v>Green</v>
      </c>
    </row>
    <row r="12" spans="1:10" ht="15.75" x14ac:dyDescent="0.25">
      <c r="A12" s="26"/>
      <c r="B12" s="36"/>
      <c r="C12" s="20" t="s">
        <v>7</v>
      </c>
      <c r="D12" s="37"/>
      <c r="E12" s="43" t="s">
        <v>131</v>
      </c>
      <c r="F12" s="66"/>
      <c r="G12" s="69"/>
      <c r="H12" s="60" t="b">
        <v>0</v>
      </c>
      <c r="I12" s="22" t="str">
        <f t="shared" si="0"/>
        <v/>
      </c>
    </row>
    <row r="13" spans="1:10" ht="16.5" thickBot="1" x14ac:dyDescent="0.3">
      <c r="A13" s="27"/>
      <c r="B13" s="38"/>
      <c r="C13" s="48" t="s">
        <v>4</v>
      </c>
      <c r="D13" s="39"/>
      <c r="E13" s="46" t="s">
        <v>128</v>
      </c>
      <c r="F13" s="67"/>
      <c r="G13" s="70"/>
      <c r="H13" s="60" t="b">
        <v>0</v>
      </c>
      <c r="I13" s="22" t="str">
        <f t="shared" si="0"/>
        <v/>
      </c>
    </row>
    <row r="14" spans="1:10" ht="15.75" x14ac:dyDescent="0.25">
      <c r="A14" s="25" t="s">
        <v>8</v>
      </c>
      <c r="B14" s="34"/>
      <c r="C14" s="47" t="s">
        <v>10</v>
      </c>
      <c r="D14" s="35"/>
      <c r="E14" s="45" t="s">
        <v>128</v>
      </c>
      <c r="F14" s="65"/>
      <c r="G14" s="68" t="str">
        <f t="shared" ref="G14" si="1">IF(COUNTIF(H14:H17,TRUE)&gt;1,"Only Select 1 answer",IF(COUNTIF(H14:H17,TRUE)&lt;1,"Please select an answer",""))</f>
        <v/>
      </c>
      <c r="H14" s="60" t="b">
        <v>1</v>
      </c>
      <c r="I14" s="22" t="str">
        <f t="shared" si="0"/>
        <v>Red</v>
      </c>
    </row>
    <row r="15" spans="1:10" ht="15.75" x14ac:dyDescent="0.25">
      <c r="A15" s="26"/>
      <c r="B15" s="36"/>
      <c r="C15" s="20" t="s">
        <v>11</v>
      </c>
      <c r="D15" s="37"/>
      <c r="E15" s="43" t="s">
        <v>130</v>
      </c>
      <c r="F15" s="66"/>
      <c r="G15" s="69"/>
      <c r="H15" s="60" t="b">
        <v>0</v>
      </c>
      <c r="I15" s="22" t="str">
        <f t="shared" si="0"/>
        <v/>
      </c>
    </row>
    <row r="16" spans="1:10" ht="15.75" x14ac:dyDescent="0.25">
      <c r="A16" s="26"/>
      <c r="B16" s="36"/>
      <c r="C16" s="20" t="s">
        <v>12</v>
      </c>
      <c r="D16" s="37"/>
      <c r="E16" s="43" t="s">
        <v>129</v>
      </c>
      <c r="F16" s="66"/>
      <c r="G16" s="69"/>
      <c r="H16" s="60" t="b">
        <v>0</v>
      </c>
      <c r="I16" s="22" t="str">
        <f t="shared" si="0"/>
        <v/>
      </c>
    </row>
    <row r="17" spans="1:9" ht="16.5" thickBot="1" x14ac:dyDescent="0.3">
      <c r="A17" s="27"/>
      <c r="B17" s="38"/>
      <c r="C17" s="48" t="s">
        <v>9</v>
      </c>
      <c r="D17" s="39"/>
      <c r="E17" s="46" t="s">
        <v>131</v>
      </c>
      <c r="F17" s="67"/>
      <c r="G17" s="70"/>
      <c r="H17" s="60" t="b">
        <v>0</v>
      </c>
      <c r="I17" s="22" t="str">
        <f t="shared" si="0"/>
        <v/>
      </c>
    </row>
    <row r="18" spans="1:9" ht="15.75" x14ac:dyDescent="0.25">
      <c r="A18" s="25" t="s">
        <v>13</v>
      </c>
      <c r="B18" s="34"/>
      <c r="C18" s="49" t="s">
        <v>15</v>
      </c>
      <c r="D18" s="35"/>
      <c r="E18" s="45" t="s">
        <v>130</v>
      </c>
      <c r="F18" s="65"/>
      <c r="G18" s="68" t="str">
        <f t="shared" ref="G18" si="2">IF(COUNTIF(H18:H21,TRUE)&gt;1,"Only Select 1 answer",IF(COUNTIF(H18:H21,TRUE)&lt;1,"Please select an answer",""))</f>
        <v/>
      </c>
      <c r="H18" s="60" t="b">
        <v>1</v>
      </c>
      <c r="I18" s="22" t="str">
        <f t="shared" si="0"/>
        <v>Green</v>
      </c>
    </row>
    <row r="19" spans="1:9" ht="15.75" x14ac:dyDescent="0.25">
      <c r="A19" s="26"/>
      <c r="B19" s="36"/>
      <c r="C19" s="50" t="s">
        <v>16</v>
      </c>
      <c r="D19" s="37"/>
      <c r="E19" s="43" t="s">
        <v>129</v>
      </c>
      <c r="F19" s="66"/>
      <c r="G19" s="69"/>
      <c r="H19" s="60" t="b">
        <v>0</v>
      </c>
      <c r="I19" s="22" t="str">
        <f t="shared" si="0"/>
        <v/>
      </c>
    </row>
    <row r="20" spans="1:9" ht="15.75" x14ac:dyDescent="0.25">
      <c r="A20" s="26"/>
      <c r="B20" s="36"/>
      <c r="C20" s="50" t="s">
        <v>17</v>
      </c>
      <c r="D20" s="37"/>
      <c r="E20" s="43" t="s">
        <v>131</v>
      </c>
      <c r="F20" s="66"/>
      <c r="G20" s="69"/>
      <c r="H20" s="60" t="b">
        <v>0</v>
      </c>
      <c r="I20" s="22" t="str">
        <f t="shared" si="0"/>
        <v/>
      </c>
    </row>
    <row r="21" spans="1:9" ht="16.5" thickBot="1" x14ac:dyDescent="0.3">
      <c r="A21" s="27"/>
      <c r="B21" s="38"/>
      <c r="C21" s="51" t="s">
        <v>14</v>
      </c>
      <c r="D21" s="39"/>
      <c r="E21" s="46" t="s">
        <v>128</v>
      </c>
      <c r="F21" s="67"/>
      <c r="G21" s="70"/>
      <c r="H21" s="60" t="b">
        <v>0</v>
      </c>
      <c r="I21" s="22" t="str">
        <f t="shared" si="0"/>
        <v/>
      </c>
    </row>
    <row r="22" spans="1:9" ht="15.75" x14ac:dyDescent="0.25">
      <c r="A22" s="30" t="s">
        <v>18</v>
      </c>
      <c r="B22" s="34"/>
      <c r="C22" s="52" t="s">
        <v>28</v>
      </c>
      <c r="D22" s="35"/>
      <c r="E22" s="45" t="s">
        <v>131</v>
      </c>
      <c r="F22" s="65"/>
      <c r="G22" s="68" t="str">
        <f t="shared" ref="G22" si="3">IF(COUNTIF(H22:H25,TRUE)&gt;1,"Only Select 1 answer",IF(COUNTIF(H22:H25,TRUE)&lt;1,"Please select an answer",""))</f>
        <v/>
      </c>
      <c r="H22" s="60" t="b">
        <v>0</v>
      </c>
      <c r="I22" s="22" t="str">
        <f t="shared" si="0"/>
        <v/>
      </c>
    </row>
    <row r="23" spans="1:9" ht="15.75" x14ac:dyDescent="0.25">
      <c r="A23" s="28"/>
      <c r="B23" s="36"/>
      <c r="C23" s="53" t="s">
        <v>29</v>
      </c>
      <c r="D23" s="37"/>
      <c r="E23" s="43" t="s">
        <v>129</v>
      </c>
      <c r="F23" s="66"/>
      <c r="G23" s="69"/>
      <c r="H23" s="60" t="b">
        <v>1</v>
      </c>
      <c r="I23" s="22" t="str">
        <f t="shared" si="0"/>
        <v>Yellow</v>
      </c>
    </row>
    <row r="24" spans="1:9" ht="15.75" x14ac:dyDescent="0.25">
      <c r="A24" s="28"/>
      <c r="B24" s="36"/>
      <c r="C24" s="53" t="s">
        <v>30</v>
      </c>
      <c r="D24" s="37"/>
      <c r="E24" s="43" t="s">
        <v>130</v>
      </c>
      <c r="F24" s="66"/>
      <c r="G24" s="69"/>
      <c r="H24" s="60" t="b">
        <v>0</v>
      </c>
      <c r="I24" s="22" t="str">
        <f t="shared" si="0"/>
        <v/>
      </c>
    </row>
    <row r="25" spans="1:9" ht="16.5" thickBot="1" x14ac:dyDescent="0.3">
      <c r="A25" s="29"/>
      <c r="B25" s="38"/>
      <c r="C25" s="54" t="s">
        <v>31</v>
      </c>
      <c r="D25" s="39"/>
      <c r="E25" s="46" t="s">
        <v>128</v>
      </c>
      <c r="F25" s="67"/>
      <c r="G25" s="70"/>
      <c r="H25" s="60" t="b">
        <v>0</v>
      </c>
      <c r="I25" s="22" t="str">
        <f t="shared" si="0"/>
        <v/>
      </c>
    </row>
    <row r="26" spans="1:9" ht="15.75" x14ac:dyDescent="0.25">
      <c r="A26" s="30" t="s">
        <v>19</v>
      </c>
      <c r="B26" s="40"/>
      <c r="C26" s="49" t="s">
        <v>32</v>
      </c>
      <c r="D26" s="35"/>
      <c r="E26" s="45" t="s">
        <v>130</v>
      </c>
      <c r="F26" s="65"/>
      <c r="G26" s="68" t="str">
        <f t="shared" ref="G26" si="4">IF(COUNTIF(H26:H29,TRUE)&gt;1,"Only Select 1 answer",IF(COUNTIF(H26:H29,TRUE)&lt;1,"Please select an answer",""))</f>
        <v/>
      </c>
      <c r="H26" s="60" t="b">
        <v>0</v>
      </c>
      <c r="I26" s="22" t="str">
        <f t="shared" si="0"/>
        <v/>
      </c>
    </row>
    <row r="27" spans="1:9" ht="15.75" x14ac:dyDescent="0.25">
      <c r="A27" s="28"/>
      <c r="B27" s="41"/>
      <c r="C27" s="53" t="s">
        <v>25</v>
      </c>
      <c r="D27" s="37"/>
      <c r="E27" s="43" t="s">
        <v>128</v>
      </c>
      <c r="F27" s="66"/>
      <c r="G27" s="69"/>
      <c r="H27" s="60" t="b">
        <v>1</v>
      </c>
      <c r="I27" s="22" t="str">
        <f t="shared" si="0"/>
        <v>Red</v>
      </c>
    </row>
    <row r="28" spans="1:9" ht="15.75" x14ac:dyDescent="0.25">
      <c r="A28" s="28"/>
      <c r="B28" s="41"/>
      <c r="C28" s="53" t="s">
        <v>26</v>
      </c>
      <c r="D28" s="37"/>
      <c r="E28" s="43" t="s">
        <v>131</v>
      </c>
      <c r="F28" s="66"/>
      <c r="G28" s="69"/>
      <c r="H28" s="60" t="b">
        <v>0</v>
      </c>
      <c r="I28" s="22" t="str">
        <f t="shared" si="0"/>
        <v/>
      </c>
    </row>
    <row r="29" spans="1:9" ht="16.5" thickBot="1" x14ac:dyDescent="0.3">
      <c r="A29" s="29"/>
      <c r="B29" s="42"/>
      <c r="C29" s="54" t="s">
        <v>27</v>
      </c>
      <c r="D29" s="39"/>
      <c r="E29" s="46" t="s">
        <v>129</v>
      </c>
      <c r="F29" s="67"/>
      <c r="G29" s="70"/>
      <c r="H29" s="60" t="b">
        <v>0</v>
      </c>
      <c r="I29" s="22" t="str">
        <f t="shared" si="0"/>
        <v/>
      </c>
    </row>
    <row r="30" spans="1:9" ht="15.75" x14ac:dyDescent="0.25">
      <c r="A30" s="30" t="s">
        <v>20</v>
      </c>
      <c r="B30" s="34"/>
      <c r="C30" s="52" t="s">
        <v>21</v>
      </c>
      <c r="D30" s="35"/>
      <c r="E30" s="45" t="s">
        <v>130</v>
      </c>
      <c r="F30" s="65"/>
      <c r="G30" s="68" t="str">
        <f t="shared" ref="G30" si="5">IF(COUNTIF(H30:H33,TRUE)&gt;1,"Only Select 1 answer",IF(COUNTIF(H30:H33,TRUE)&lt;1,"Please select an answer",""))</f>
        <v/>
      </c>
      <c r="H30" s="60" t="b">
        <v>0</v>
      </c>
      <c r="I30" s="22" t="str">
        <f t="shared" si="0"/>
        <v/>
      </c>
    </row>
    <row r="31" spans="1:9" ht="15.75" x14ac:dyDescent="0.25">
      <c r="A31" s="26"/>
      <c r="B31" s="36"/>
      <c r="C31" s="53" t="s">
        <v>22</v>
      </c>
      <c r="D31" s="37"/>
      <c r="E31" s="43" t="s">
        <v>128</v>
      </c>
      <c r="F31" s="66"/>
      <c r="G31" s="69"/>
      <c r="H31" s="60" t="b">
        <v>1</v>
      </c>
      <c r="I31" s="22" t="str">
        <f t="shared" si="0"/>
        <v>Red</v>
      </c>
    </row>
    <row r="32" spans="1:9" ht="15.75" x14ac:dyDescent="0.25">
      <c r="A32" s="26"/>
      <c r="B32" s="36"/>
      <c r="C32" s="53" t="s">
        <v>23</v>
      </c>
      <c r="D32" s="37"/>
      <c r="E32" s="43" t="s">
        <v>131</v>
      </c>
      <c r="F32" s="66"/>
      <c r="G32" s="69"/>
      <c r="H32" s="60" t="b">
        <v>0</v>
      </c>
      <c r="I32" s="22" t="str">
        <f t="shared" si="0"/>
        <v/>
      </c>
    </row>
    <row r="33" spans="1:9" ht="16.5" thickBot="1" x14ac:dyDescent="0.3">
      <c r="A33" s="27"/>
      <c r="B33" s="38"/>
      <c r="C33" s="54" t="s">
        <v>24</v>
      </c>
      <c r="D33" s="39"/>
      <c r="E33" s="46" t="s">
        <v>129</v>
      </c>
      <c r="F33" s="67"/>
      <c r="G33" s="70"/>
      <c r="H33" s="60" t="b">
        <v>0</v>
      </c>
      <c r="I33" s="22" t="str">
        <f t="shared" si="0"/>
        <v/>
      </c>
    </row>
    <row r="34" spans="1:9" ht="15.75" x14ac:dyDescent="0.25">
      <c r="A34" s="30" t="s">
        <v>33</v>
      </c>
      <c r="B34" s="34"/>
      <c r="C34" s="52" t="s">
        <v>36</v>
      </c>
      <c r="D34" s="35"/>
      <c r="E34" s="45" t="s">
        <v>130</v>
      </c>
      <c r="F34" s="65"/>
      <c r="G34" s="68" t="str">
        <f t="shared" ref="G34" si="6">IF(COUNTIF(H34:H37,TRUE)&gt;1,"Only Select 1 answer",IF(COUNTIF(H34:H37,TRUE)&lt;1,"Please select an answer",""))</f>
        <v/>
      </c>
      <c r="H34" s="60" t="b">
        <v>1</v>
      </c>
      <c r="I34" s="22" t="str">
        <f t="shared" si="0"/>
        <v>Green</v>
      </c>
    </row>
    <row r="35" spans="1:9" ht="15.75" x14ac:dyDescent="0.25">
      <c r="A35" s="26"/>
      <c r="B35" s="36"/>
      <c r="C35" s="53" t="s">
        <v>37</v>
      </c>
      <c r="D35" s="37"/>
      <c r="E35" s="43" t="s">
        <v>129</v>
      </c>
      <c r="F35" s="66"/>
      <c r="G35" s="69"/>
      <c r="H35" s="60" t="b">
        <v>0</v>
      </c>
      <c r="I35" s="22" t="str">
        <f t="shared" si="0"/>
        <v/>
      </c>
    </row>
    <row r="36" spans="1:9" ht="15.75" x14ac:dyDescent="0.25">
      <c r="A36" s="26"/>
      <c r="B36" s="36"/>
      <c r="C36" s="53" t="s">
        <v>38</v>
      </c>
      <c r="D36" s="37"/>
      <c r="E36" s="43" t="s">
        <v>128</v>
      </c>
      <c r="F36" s="66"/>
      <c r="G36" s="69"/>
      <c r="H36" s="60" t="b">
        <v>0</v>
      </c>
      <c r="I36" s="22" t="str">
        <f t="shared" si="0"/>
        <v/>
      </c>
    </row>
    <row r="37" spans="1:9" ht="16.5" thickBot="1" x14ac:dyDescent="0.3">
      <c r="A37" s="27"/>
      <c r="B37" s="38"/>
      <c r="C37" s="54" t="s">
        <v>39</v>
      </c>
      <c r="D37" s="39"/>
      <c r="E37" s="46" t="s">
        <v>131</v>
      </c>
      <c r="F37" s="67"/>
      <c r="G37" s="70"/>
      <c r="H37" s="60" t="b">
        <v>0</v>
      </c>
      <c r="I37" s="22" t="str">
        <f t="shared" si="0"/>
        <v/>
      </c>
    </row>
    <row r="38" spans="1:9" ht="15.75" x14ac:dyDescent="0.25">
      <c r="A38" s="30" t="s">
        <v>34</v>
      </c>
      <c r="B38" s="34"/>
      <c r="C38" s="52" t="s">
        <v>40</v>
      </c>
      <c r="D38" s="35"/>
      <c r="E38" s="45" t="s">
        <v>129</v>
      </c>
      <c r="F38" s="65"/>
      <c r="G38" s="68" t="str">
        <f t="shared" ref="G38" si="7">IF(COUNTIF(H38:H41,TRUE)&gt;1,"Only Select 1 answer",IF(COUNTIF(H38:H41,TRUE)&lt;1,"Please select an answer",""))</f>
        <v/>
      </c>
      <c r="H38" s="60" t="b">
        <v>0</v>
      </c>
      <c r="I38" s="22" t="str">
        <f t="shared" si="0"/>
        <v/>
      </c>
    </row>
    <row r="39" spans="1:9" ht="15.75" x14ac:dyDescent="0.25">
      <c r="A39" s="26"/>
      <c r="B39" s="36"/>
      <c r="C39" s="53" t="s">
        <v>41</v>
      </c>
      <c r="D39" s="37"/>
      <c r="E39" s="43" t="s">
        <v>128</v>
      </c>
      <c r="F39" s="66"/>
      <c r="G39" s="69"/>
      <c r="H39" s="60" t="b">
        <v>1</v>
      </c>
      <c r="I39" s="22" t="str">
        <f t="shared" si="0"/>
        <v>Red</v>
      </c>
    </row>
    <row r="40" spans="1:9" ht="15.75" x14ac:dyDescent="0.25">
      <c r="A40" s="26"/>
      <c r="B40" s="36"/>
      <c r="C40" s="53" t="s">
        <v>42</v>
      </c>
      <c r="D40" s="37"/>
      <c r="E40" s="43" t="s">
        <v>131</v>
      </c>
      <c r="F40" s="66"/>
      <c r="G40" s="69"/>
      <c r="H40" s="60" t="b">
        <v>0</v>
      </c>
      <c r="I40" s="22" t="str">
        <f t="shared" si="0"/>
        <v/>
      </c>
    </row>
    <row r="41" spans="1:9" ht="16.5" thickBot="1" x14ac:dyDescent="0.3">
      <c r="A41" s="27"/>
      <c r="B41" s="38"/>
      <c r="C41" s="54" t="s">
        <v>43</v>
      </c>
      <c r="D41" s="39"/>
      <c r="E41" s="46" t="s">
        <v>130</v>
      </c>
      <c r="F41" s="67"/>
      <c r="G41" s="70"/>
      <c r="H41" s="60" t="b">
        <v>0</v>
      </c>
      <c r="I41" s="22" t="str">
        <f t="shared" si="0"/>
        <v/>
      </c>
    </row>
    <row r="42" spans="1:9" ht="15.75" x14ac:dyDescent="0.25">
      <c r="A42" s="30" t="s">
        <v>35</v>
      </c>
      <c r="B42" s="34"/>
      <c r="C42" s="52" t="s">
        <v>44</v>
      </c>
      <c r="D42" s="35"/>
      <c r="E42" s="45" t="s">
        <v>131</v>
      </c>
      <c r="F42" s="65"/>
      <c r="G42" s="68" t="str">
        <f t="shared" ref="G42" si="8">IF(COUNTIF(H42:H45,TRUE)&gt;1,"Only Select 1 answer",IF(COUNTIF(H42:H45,TRUE)&lt;1,"Please select an answer",""))</f>
        <v/>
      </c>
      <c r="H42" s="60" t="b">
        <v>0</v>
      </c>
      <c r="I42" s="22" t="str">
        <f t="shared" si="0"/>
        <v/>
      </c>
    </row>
    <row r="43" spans="1:9" ht="15.75" x14ac:dyDescent="0.25">
      <c r="A43" s="26"/>
      <c r="B43" s="36"/>
      <c r="C43" s="53" t="s">
        <v>45</v>
      </c>
      <c r="D43" s="37"/>
      <c r="E43" s="43" t="s">
        <v>128</v>
      </c>
      <c r="F43" s="66"/>
      <c r="G43" s="69"/>
      <c r="H43" s="60" t="b">
        <v>1</v>
      </c>
      <c r="I43" s="22" t="str">
        <f t="shared" si="0"/>
        <v>Red</v>
      </c>
    </row>
    <row r="44" spans="1:9" ht="15.75" x14ac:dyDescent="0.25">
      <c r="A44" s="26"/>
      <c r="B44" s="36"/>
      <c r="C44" s="53" t="s">
        <v>46</v>
      </c>
      <c r="D44" s="37"/>
      <c r="E44" s="43" t="s">
        <v>130</v>
      </c>
      <c r="F44" s="66"/>
      <c r="G44" s="69"/>
      <c r="H44" s="60" t="b">
        <v>0</v>
      </c>
      <c r="I44" s="22" t="str">
        <f t="shared" si="0"/>
        <v/>
      </c>
    </row>
    <row r="45" spans="1:9" ht="16.5" thickBot="1" x14ac:dyDescent="0.3">
      <c r="A45" s="27"/>
      <c r="B45" s="38"/>
      <c r="C45" s="54" t="s">
        <v>47</v>
      </c>
      <c r="D45" s="39"/>
      <c r="E45" s="46" t="s">
        <v>129</v>
      </c>
      <c r="F45" s="67"/>
      <c r="G45" s="70"/>
      <c r="H45" s="60" t="b">
        <v>0</v>
      </c>
      <c r="I45" s="22" t="str">
        <f t="shared" si="0"/>
        <v/>
      </c>
    </row>
    <row r="46" spans="1:9" ht="15.75" x14ac:dyDescent="0.25">
      <c r="A46" s="30" t="s">
        <v>48</v>
      </c>
      <c r="B46" s="34"/>
      <c r="C46" s="52" t="s">
        <v>51</v>
      </c>
      <c r="D46" s="35"/>
      <c r="E46" s="45" t="s">
        <v>128</v>
      </c>
      <c r="F46" s="65"/>
      <c r="G46" s="68" t="str">
        <f t="shared" ref="G46" si="9">IF(COUNTIF(H46:H49,TRUE)&gt;1,"Only Select 1 answer",IF(COUNTIF(H46:H49,TRUE)&lt;1,"Please select an answer",""))</f>
        <v/>
      </c>
      <c r="H46" s="60" t="b">
        <v>1</v>
      </c>
      <c r="I46" s="22" t="str">
        <f t="shared" si="0"/>
        <v>Red</v>
      </c>
    </row>
    <row r="47" spans="1:9" ht="15.75" x14ac:dyDescent="0.25">
      <c r="A47" s="26"/>
      <c r="B47" s="36"/>
      <c r="C47" s="53" t="s">
        <v>52</v>
      </c>
      <c r="D47" s="37"/>
      <c r="E47" s="43" t="s">
        <v>131</v>
      </c>
      <c r="F47" s="66"/>
      <c r="G47" s="69"/>
      <c r="H47" s="60" t="b">
        <v>0</v>
      </c>
      <c r="I47" s="22" t="str">
        <f t="shared" si="0"/>
        <v/>
      </c>
    </row>
    <row r="48" spans="1:9" ht="15.75" x14ac:dyDescent="0.25">
      <c r="A48" s="26"/>
      <c r="B48" s="36"/>
      <c r="C48" s="53" t="s">
        <v>53</v>
      </c>
      <c r="D48" s="37"/>
      <c r="E48" s="43" t="s">
        <v>130</v>
      </c>
      <c r="F48" s="66"/>
      <c r="G48" s="69"/>
      <c r="H48" s="60" t="b">
        <v>0</v>
      </c>
      <c r="I48" s="22" t="str">
        <f t="shared" si="0"/>
        <v/>
      </c>
    </row>
    <row r="49" spans="1:9" ht="16.5" thickBot="1" x14ac:dyDescent="0.3">
      <c r="A49" s="27"/>
      <c r="B49" s="38"/>
      <c r="C49" s="54" t="s">
        <v>54</v>
      </c>
      <c r="D49" s="39"/>
      <c r="E49" s="46" t="s">
        <v>129</v>
      </c>
      <c r="F49" s="67"/>
      <c r="G49" s="70"/>
      <c r="H49" s="60" t="b">
        <v>0</v>
      </c>
      <c r="I49" s="22" t="str">
        <f t="shared" si="0"/>
        <v/>
      </c>
    </row>
    <row r="50" spans="1:9" ht="15.75" x14ac:dyDescent="0.25">
      <c r="A50" s="30" t="s">
        <v>49</v>
      </c>
      <c r="B50" s="34"/>
      <c r="C50" s="52" t="s">
        <v>55</v>
      </c>
      <c r="D50" s="35"/>
      <c r="E50" s="45" t="s">
        <v>131</v>
      </c>
      <c r="F50" s="65"/>
      <c r="G50" s="68" t="str">
        <f t="shared" ref="G50" si="10">IF(COUNTIF(H50:H53,TRUE)&gt;1,"Only Select 1 answer",IF(COUNTIF(H50:H53,TRUE)&lt;1,"Please select an answer",""))</f>
        <v/>
      </c>
      <c r="H50" s="60" t="b">
        <v>0</v>
      </c>
      <c r="I50" s="22" t="str">
        <f t="shared" si="0"/>
        <v/>
      </c>
    </row>
    <row r="51" spans="1:9" ht="15.75" x14ac:dyDescent="0.25">
      <c r="A51" s="26"/>
      <c r="B51" s="36"/>
      <c r="C51" s="53" t="s">
        <v>56</v>
      </c>
      <c r="D51" s="37"/>
      <c r="E51" s="43" t="s">
        <v>130</v>
      </c>
      <c r="F51" s="66"/>
      <c r="G51" s="69"/>
      <c r="H51" s="60" t="b">
        <v>0</v>
      </c>
      <c r="I51" s="22" t="str">
        <f t="shared" si="0"/>
        <v/>
      </c>
    </row>
    <row r="52" spans="1:9" ht="15.75" x14ac:dyDescent="0.25">
      <c r="A52" s="26"/>
      <c r="B52" s="36"/>
      <c r="C52" s="53" t="s">
        <v>57</v>
      </c>
      <c r="D52" s="37"/>
      <c r="E52" s="43" t="s">
        <v>128</v>
      </c>
      <c r="F52" s="66"/>
      <c r="G52" s="69"/>
      <c r="H52" s="60" t="b">
        <v>0</v>
      </c>
      <c r="I52" s="22" t="str">
        <f t="shared" si="0"/>
        <v/>
      </c>
    </row>
    <row r="53" spans="1:9" ht="16.5" thickBot="1" x14ac:dyDescent="0.3">
      <c r="A53" s="27"/>
      <c r="B53" s="38"/>
      <c r="C53" s="54" t="s">
        <v>58</v>
      </c>
      <c r="D53" s="39"/>
      <c r="E53" s="46" t="s">
        <v>129</v>
      </c>
      <c r="F53" s="67"/>
      <c r="G53" s="70"/>
      <c r="H53" s="60" t="b">
        <v>1</v>
      </c>
      <c r="I53" s="22" t="str">
        <f t="shared" si="0"/>
        <v>Yellow</v>
      </c>
    </row>
    <row r="54" spans="1:9" ht="15.75" x14ac:dyDescent="0.25">
      <c r="A54" s="30" t="s">
        <v>50</v>
      </c>
      <c r="B54" s="34"/>
      <c r="C54" s="52" t="s">
        <v>59</v>
      </c>
      <c r="D54" s="35"/>
      <c r="E54" s="45" t="s">
        <v>128</v>
      </c>
      <c r="F54" s="65"/>
      <c r="G54" s="68" t="str">
        <f t="shared" ref="G54" si="11">IF(COUNTIF(H54:H57,TRUE)&gt;1,"Only Select 1 answer",IF(COUNTIF(H54:H57,TRUE)&lt;1,"Please select an answer",""))</f>
        <v/>
      </c>
      <c r="H54" s="60" t="b">
        <v>1</v>
      </c>
      <c r="I54" s="22" t="str">
        <f t="shared" si="0"/>
        <v>Red</v>
      </c>
    </row>
    <row r="55" spans="1:9" ht="15.75" x14ac:dyDescent="0.25">
      <c r="A55" s="26"/>
      <c r="B55" s="36"/>
      <c r="C55" s="53" t="s">
        <v>60</v>
      </c>
      <c r="D55" s="37"/>
      <c r="E55" s="43" t="s">
        <v>129</v>
      </c>
      <c r="F55" s="66"/>
      <c r="G55" s="69"/>
      <c r="H55" s="60" t="b">
        <v>0</v>
      </c>
      <c r="I55" s="22" t="str">
        <f t="shared" si="0"/>
        <v/>
      </c>
    </row>
    <row r="56" spans="1:9" ht="15.75" x14ac:dyDescent="0.25">
      <c r="A56" s="26"/>
      <c r="B56" s="36"/>
      <c r="C56" s="53" t="s">
        <v>61</v>
      </c>
      <c r="D56" s="37"/>
      <c r="E56" s="43" t="s">
        <v>131</v>
      </c>
      <c r="F56" s="66"/>
      <c r="G56" s="69"/>
      <c r="H56" s="60" t="b">
        <v>0</v>
      </c>
      <c r="I56" s="22" t="str">
        <f t="shared" si="0"/>
        <v/>
      </c>
    </row>
    <row r="57" spans="1:9" ht="16.5" thickBot="1" x14ac:dyDescent="0.3">
      <c r="A57" s="27"/>
      <c r="B57" s="38"/>
      <c r="C57" s="54" t="s">
        <v>62</v>
      </c>
      <c r="D57" s="39"/>
      <c r="E57" s="46" t="s">
        <v>130</v>
      </c>
      <c r="F57" s="67"/>
      <c r="G57" s="70"/>
      <c r="H57" s="60" t="b">
        <v>0</v>
      </c>
      <c r="I57" s="22" t="str">
        <f t="shared" si="0"/>
        <v/>
      </c>
    </row>
    <row r="58" spans="1:9" ht="15.75" x14ac:dyDescent="0.25">
      <c r="A58" s="30" t="s">
        <v>63</v>
      </c>
      <c r="B58" s="34"/>
      <c r="C58" s="52" t="s">
        <v>66</v>
      </c>
      <c r="D58" s="35"/>
      <c r="E58" s="45" t="s">
        <v>128</v>
      </c>
      <c r="F58" s="65"/>
      <c r="G58" s="68" t="str">
        <f t="shared" ref="G58" si="12">IF(COUNTIF(H58:H61,TRUE)&gt;1,"Only Select 1 answer",IF(COUNTIF(H58:H61,TRUE)&lt;1,"Please select an answer",""))</f>
        <v/>
      </c>
      <c r="H58" s="60" t="b">
        <v>0</v>
      </c>
      <c r="I58" s="22" t="str">
        <f t="shared" si="0"/>
        <v/>
      </c>
    </row>
    <row r="59" spans="1:9" ht="15.75" x14ac:dyDescent="0.25">
      <c r="A59" s="26"/>
      <c r="B59" s="36"/>
      <c r="C59" s="53" t="s">
        <v>67</v>
      </c>
      <c r="D59" s="37"/>
      <c r="E59" s="43" t="s">
        <v>131</v>
      </c>
      <c r="F59" s="66"/>
      <c r="G59" s="69"/>
      <c r="H59" s="60" t="b">
        <v>0</v>
      </c>
      <c r="I59" s="22" t="str">
        <f t="shared" si="0"/>
        <v/>
      </c>
    </row>
    <row r="60" spans="1:9" ht="15.75" x14ac:dyDescent="0.25">
      <c r="A60" s="26"/>
      <c r="B60" s="36"/>
      <c r="C60" s="53" t="s">
        <v>68</v>
      </c>
      <c r="D60" s="37"/>
      <c r="E60" s="43" t="s">
        <v>130</v>
      </c>
      <c r="F60" s="66"/>
      <c r="G60" s="69"/>
      <c r="H60" s="60" t="b">
        <v>0</v>
      </c>
      <c r="I60" s="22" t="str">
        <f t="shared" si="0"/>
        <v/>
      </c>
    </row>
    <row r="61" spans="1:9" ht="16.5" thickBot="1" x14ac:dyDescent="0.3">
      <c r="A61" s="27"/>
      <c r="B61" s="38"/>
      <c r="C61" s="54" t="s">
        <v>69</v>
      </c>
      <c r="D61" s="39"/>
      <c r="E61" s="46" t="s">
        <v>129</v>
      </c>
      <c r="F61" s="67"/>
      <c r="G61" s="70"/>
      <c r="H61" s="60" t="b">
        <v>1</v>
      </c>
      <c r="I61" s="22" t="str">
        <f t="shared" si="0"/>
        <v>Yellow</v>
      </c>
    </row>
    <row r="62" spans="1:9" ht="15.75" x14ac:dyDescent="0.25">
      <c r="A62" s="30" t="s">
        <v>64</v>
      </c>
      <c r="B62" s="34"/>
      <c r="C62" s="52" t="s">
        <v>70</v>
      </c>
      <c r="D62" s="35"/>
      <c r="E62" s="45" t="s">
        <v>129</v>
      </c>
      <c r="F62" s="65"/>
      <c r="G62" s="68" t="str">
        <f t="shared" ref="G62" si="13">IF(COUNTIF(H62:H65,TRUE)&gt;1,"Only Select 1 answer",IF(COUNTIF(H62:H65,TRUE)&lt;1,"Please select an answer",""))</f>
        <v/>
      </c>
      <c r="H62" s="60" t="b">
        <v>0</v>
      </c>
      <c r="I62" s="22" t="str">
        <f t="shared" si="0"/>
        <v/>
      </c>
    </row>
    <row r="63" spans="1:9" ht="15.75" x14ac:dyDescent="0.25">
      <c r="A63" s="26"/>
      <c r="B63" s="36"/>
      <c r="C63" s="53" t="s">
        <v>71</v>
      </c>
      <c r="D63" s="37"/>
      <c r="E63" s="43" t="s">
        <v>128</v>
      </c>
      <c r="F63" s="66"/>
      <c r="G63" s="69"/>
      <c r="H63" s="60" t="b">
        <v>0</v>
      </c>
      <c r="I63" s="22" t="str">
        <f t="shared" si="0"/>
        <v/>
      </c>
    </row>
    <row r="64" spans="1:9" ht="15.75" x14ac:dyDescent="0.25">
      <c r="A64" s="26"/>
      <c r="B64" s="36"/>
      <c r="C64" s="53" t="s">
        <v>72</v>
      </c>
      <c r="D64" s="37"/>
      <c r="E64" s="43" t="s">
        <v>131</v>
      </c>
      <c r="F64" s="66"/>
      <c r="G64" s="69"/>
      <c r="H64" s="60" t="b">
        <v>0</v>
      </c>
      <c r="I64" s="22" t="str">
        <f t="shared" si="0"/>
        <v/>
      </c>
    </row>
    <row r="65" spans="1:9" ht="16.5" thickBot="1" x14ac:dyDescent="0.3">
      <c r="A65" s="27"/>
      <c r="B65" s="38"/>
      <c r="C65" s="54" t="s">
        <v>73</v>
      </c>
      <c r="D65" s="39"/>
      <c r="E65" s="46" t="s">
        <v>130</v>
      </c>
      <c r="F65" s="67"/>
      <c r="G65" s="70"/>
      <c r="H65" s="60" t="b">
        <v>1</v>
      </c>
      <c r="I65" s="22" t="str">
        <f t="shared" si="0"/>
        <v>Green</v>
      </c>
    </row>
    <row r="66" spans="1:9" ht="15.75" x14ac:dyDescent="0.25">
      <c r="A66" s="30" t="s">
        <v>65</v>
      </c>
      <c r="B66" s="34"/>
      <c r="C66" s="52" t="s">
        <v>74</v>
      </c>
      <c r="D66" s="35"/>
      <c r="E66" s="45" t="s">
        <v>128</v>
      </c>
      <c r="F66" s="65"/>
      <c r="G66" s="68" t="str">
        <f t="shared" ref="G66" si="14">IF(COUNTIF(H66:H69,TRUE)&gt;1,"Only Select 1 answer",IF(COUNTIF(H66:H69,TRUE)&lt;1,"Please select an answer",""))</f>
        <v/>
      </c>
      <c r="H66" s="60" t="b">
        <v>0</v>
      </c>
      <c r="I66" s="22" t="str">
        <f t="shared" si="0"/>
        <v/>
      </c>
    </row>
    <row r="67" spans="1:9" ht="15.75" x14ac:dyDescent="0.25">
      <c r="A67" s="26"/>
      <c r="B67" s="36"/>
      <c r="C67" s="53" t="s">
        <v>75</v>
      </c>
      <c r="D67" s="37"/>
      <c r="E67" s="43" t="s">
        <v>129</v>
      </c>
      <c r="F67" s="66"/>
      <c r="G67" s="69"/>
      <c r="H67" s="60" t="b">
        <v>0</v>
      </c>
      <c r="I67" s="22" t="str">
        <f t="shared" si="0"/>
        <v/>
      </c>
    </row>
    <row r="68" spans="1:9" ht="15.75" x14ac:dyDescent="0.25">
      <c r="A68" s="26"/>
      <c r="B68" s="36"/>
      <c r="C68" s="53" t="s">
        <v>76</v>
      </c>
      <c r="D68" s="37"/>
      <c r="E68" s="43" t="s">
        <v>130</v>
      </c>
      <c r="F68" s="66"/>
      <c r="G68" s="69"/>
      <c r="H68" s="60" t="b">
        <v>1</v>
      </c>
      <c r="I68" s="22" t="str">
        <f t="shared" si="0"/>
        <v>Green</v>
      </c>
    </row>
    <row r="69" spans="1:9" ht="16.5" thickBot="1" x14ac:dyDescent="0.3">
      <c r="A69" s="27"/>
      <c r="B69" s="38"/>
      <c r="C69" s="54" t="s">
        <v>77</v>
      </c>
      <c r="D69" s="39"/>
      <c r="E69" s="46" t="s">
        <v>131</v>
      </c>
      <c r="F69" s="67"/>
      <c r="G69" s="70"/>
      <c r="H69" s="60" t="b">
        <v>0</v>
      </c>
      <c r="I69" s="22" t="str">
        <f t="shared" si="0"/>
        <v/>
      </c>
    </row>
    <row r="70" spans="1:9" ht="15.75" x14ac:dyDescent="0.25">
      <c r="A70" s="30" t="s">
        <v>78</v>
      </c>
      <c r="B70" s="34"/>
      <c r="C70" s="52" t="s">
        <v>81</v>
      </c>
      <c r="D70" s="35"/>
      <c r="E70" s="45" t="s">
        <v>129</v>
      </c>
      <c r="F70" s="65"/>
      <c r="G70" s="68" t="str">
        <f t="shared" ref="G70" si="15">IF(COUNTIF(H70:H73,TRUE)&gt;1,"Only Select 1 answer",IF(COUNTIF(H70:H73,TRUE)&lt;1,"Please select an answer",""))</f>
        <v/>
      </c>
      <c r="H70" s="60" t="b">
        <v>0</v>
      </c>
      <c r="I70" s="22" t="str">
        <f t="shared" si="0"/>
        <v/>
      </c>
    </row>
    <row r="71" spans="1:9" ht="15.75" x14ac:dyDescent="0.25">
      <c r="A71" s="26"/>
      <c r="B71" s="36"/>
      <c r="C71" s="53" t="s">
        <v>82</v>
      </c>
      <c r="D71" s="37"/>
      <c r="E71" s="43" t="s">
        <v>131</v>
      </c>
      <c r="F71" s="66"/>
      <c r="G71" s="69"/>
      <c r="H71" s="60" t="b">
        <v>0</v>
      </c>
      <c r="I71" s="22" t="str">
        <f t="shared" si="0"/>
        <v/>
      </c>
    </row>
    <row r="72" spans="1:9" ht="15.75" x14ac:dyDescent="0.25">
      <c r="A72" s="26"/>
      <c r="B72" s="36"/>
      <c r="C72" s="53" t="s">
        <v>83</v>
      </c>
      <c r="D72" s="37"/>
      <c r="E72" s="43" t="s">
        <v>128</v>
      </c>
      <c r="F72" s="66"/>
      <c r="G72" s="69"/>
      <c r="H72" s="60" t="b">
        <v>0</v>
      </c>
      <c r="I72" s="22" t="str">
        <f t="shared" si="0"/>
        <v/>
      </c>
    </row>
    <row r="73" spans="1:9" ht="16.5" thickBot="1" x14ac:dyDescent="0.3">
      <c r="A73" s="27"/>
      <c r="B73" s="38"/>
      <c r="C73" s="54" t="s">
        <v>84</v>
      </c>
      <c r="D73" s="39"/>
      <c r="E73" s="46" t="s">
        <v>130</v>
      </c>
      <c r="F73" s="67"/>
      <c r="G73" s="70"/>
      <c r="H73" s="60" t="b">
        <v>1</v>
      </c>
      <c r="I73" s="22" t="str">
        <f t="shared" si="0"/>
        <v>Green</v>
      </c>
    </row>
    <row r="74" spans="1:9" ht="15.75" x14ac:dyDescent="0.25">
      <c r="A74" s="30" t="s">
        <v>79</v>
      </c>
      <c r="B74" s="34"/>
      <c r="C74" s="52" t="s">
        <v>85</v>
      </c>
      <c r="D74" s="35"/>
      <c r="E74" s="45" t="s">
        <v>130</v>
      </c>
      <c r="F74" s="65"/>
      <c r="G74" s="68" t="str">
        <f t="shared" ref="G74" si="16">IF(COUNTIF(H74:H77,TRUE)&gt;1,"Only Select 1 answer",IF(COUNTIF(H74:H77,TRUE)&lt;1,"Please select an answer",""))</f>
        <v/>
      </c>
      <c r="H74" s="60" t="b">
        <v>1</v>
      </c>
      <c r="I74" s="22" t="str">
        <f t="shared" si="0"/>
        <v>Green</v>
      </c>
    </row>
    <row r="75" spans="1:9" ht="15.75" x14ac:dyDescent="0.25">
      <c r="A75" s="26"/>
      <c r="B75" s="36"/>
      <c r="C75" s="53" t="s">
        <v>86</v>
      </c>
      <c r="D75" s="37"/>
      <c r="E75" s="43" t="s">
        <v>129</v>
      </c>
      <c r="F75" s="66"/>
      <c r="G75" s="69"/>
      <c r="H75" s="60" t="b">
        <v>0</v>
      </c>
      <c r="I75" s="22" t="str">
        <f t="shared" ref="I75:I109" si="17">IF(H75=TRUE,E75,"")</f>
        <v/>
      </c>
    </row>
    <row r="76" spans="1:9" ht="15.75" x14ac:dyDescent="0.25">
      <c r="A76" s="26"/>
      <c r="B76" s="36"/>
      <c r="C76" s="53" t="s">
        <v>87</v>
      </c>
      <c r="D76" s="37"/>
      <c r="E76" s="43" t="s">
        <v>128</v>
      </c>
      <c r="F76" s="66"/>
      <c r="G76" s="69"/>
      <c r="H76" s="60" t="b">
        <v>0</v>
      </c>
      <c r="I76" s="22" t="str">
        <f t="shared" si="17"/>
        <v/>
      </c>
    </row>
    <row r="77" spans="1:9" ht="16.5" thickBot="1" x14ac:dyDescent="0.3">
      <c r="A77" s="27"/>
      <c r="B77" s="38"/>
      <c r="C77" s="54" t="s">
        <v>88</v>
      </c>
      <c r="D77" s="39"/>
      <c r="E77" s="46" t="s">
        <v>131</v>
      </c>
      <c r="F77" s="67"/>
      <c r="G77" s="70"/>
      <c r="H77" s="60" t="b">
        <v>0</v>
      </c>
      <c r="I77" s="22" t="str">
        <f t="shared" si="17"/>
        <v/>
      </c>
    </row>
    <row r="78" spans="1:9" ht="15.75" x14ac:dyDescent="0.25">
      <c r="A78" s="30" t="s">
        <v>80</v>
      </c>
      <c r="B78" s="34"/>
      <c r="C78" s="52" t="s">
        <v>89</v>
      </c>
      <c r="D78" s="35"/>
      <c r="E78" s="45" t="s">
        <v>131</v>
      </c>
      <c r="F78" s="65"/>
      <c r="G78" s="68" t="str">
        <f t="shared" ref="G78" si="18">IF(COUNTIF(H78:H81,TRUE)&gt;1,"Only Select 1 answer",IF(COUNTIF(H78:H81,TRUE)&lt;1,"Please select an answer",""))</f>
        <v/>
      </c>
      <c r="H78" s="60" t="b">
        <v>0</v>
      </c>
      <c r="I78" s="22" t="str">
        <f t="shared" si="17"/>
        <v/>
      </c>
    </row>
    <row r="79" spans="1:9" ht="15.75" x14ac:dyDescent="0.25">
      <c r="A79" s="26"/>
      <c r="B79" s="36"/>
      <c r="C79" s="53" t="s">
        <v>90</v>
      </c>
      <c r="D79" s="37"/>
      <c r="E79" s="43" t="s">
        <v>130</v>
      </c>
      <c r="F79" s="66"/>
      <c r="G79" s="69"/>
      <c r="H79" s="60" t="b">
        <v>0</v>
      </c>
      <c r="I79" s="22" t="str">
        <f t="shared" si="17"/>
        <v/>
      </c>
    </row>
    <row r="80" spans="1:9" ht="15.75" x14ac:dyDescent="0.25">
      <c r="A80" s="26"/>
      <c r="B80" s="36"/>
      <c r="C80" s="53" t="s">
        <v>91</v>
      </c>
      <c r="D80" s="37"/>
      <c r="E80" s="43" t="s">
        <v>128</v>
      </c>
      <c r="F80" s="66"/>
      <c r="G80" s="69"/>
      <c r="H80" s="60" t="b">
        <v>0</v>
      </c>
      <c r="I80" s="22" t="str">
        <f t="shared" si="17"/>
        <v/>
      </c>
    </row>
    <row r="81" spans="1:9" ht="16.5" thickBot="1" x14ac:dyDescent="0.3">
      <c r="A81" s="27"/>
      <c r="B81" s="38"/>
      <c r="C81" s="54" t="s">
        <v>92</v>
      </c>
      <c r="D81" s="39"/>
      <c r="E81" s="46" t="s">
        <v>129</v>
      </c>
      <c r="F81" s="67"/>
      <c r="G81" s="70"/>
      <c r="H81" s="60" t="b">
        <v>1</v>
      </c>
      <c r="I81" s="22" t="str">
        <f t="shared" si="17"/>
        <v>Yellow</v>
      </c>
    </row>
    <row r="82" spans="1:9" ht="15.75" x14ac:dyDescent="0.25">
      <c r="A82" s="30" t="s">
        <v>93</v>
      </c>
      <c r="B82" s="34"/>
      <c r="C82" s="52" t="s">
        <v>96</v>
      </c>
      <c r="D82" s="35"/>
      <c r="E82" s="45" t="s">
        <v>129</v>
      </c>
      <c r="F82" s="65"/>
      <c r="G82" s="68" t="str">
        <f t="shared" ref="G82" si="19">IF(COUNTIF(H82:H85,TRUE)&gt;1,"Only Select 1 answer",IF(COUNTIF(H82:H85,TRUE)&lt;1,"Please select an answer",""))</f>
        <v/>
      </c>
      <c r="H82" s="60" t="b">
        <v>0</v>
      </c>
      <c r="I82" s="22" t="str">
        <f t="shared" si="17"/>
        <v/>
      </c>
    </row>
    <row r="83" spans="1:9" ht="15.75" x14ac:dyDescent="0.25">
      <c r="A83" s="26"/>
      <c r="B83" s="36"/>
      <c r="C83" s="53" t="s">
        <v>105</v>
      </c>
      <c r="D83" s="37"/>
      <c r="E83" s="43" t="s">
        <v>130</v>
      </c>
      <c r="F83" s="66"/>
      <c r="G83" s="69"/>
      <c r="H83" s="60" t="b">
        <v>1</v>
      </c>
      <c r="I83" s="22" t="str">
        <f t="shared" si="17"/>
        <v>Green</v>
      </c>
    </row>
    <row r="84" spans="1:9" ht="15.75" x14ac:dyDescent="0.25">
      <c r="A84" s="26"/>
      <c r="B84" s="36"/>
      <c r="C84" s="53" t="s">
        <v>97</v>
      </c>
      <c r="D84" s="37"/>
      <c r="E84" s="43" t="s">
        <v>131</v>
      </c>
      <c r="F84" s="66"/>
      <c r="G84" s="69"/>
      <c r="H84" s="60" t="b">
        <v>0</v>
      </c>
      <c r="I84" s="22" t="str">
        <f t="shared" si="17"/>
        <v/>
      </c>
    </row>
    <row r="85" spans="1:9" ht="16.5" thickBot="1" x14ac:dyDescent="0.3">
      <c r="A85" s="27"/>
      <c r="B85" s="38"/>
      <c r="C85" s="54" t="s">
        <v>98</v>
      </c>
      <c r="D85" s="39"/>
      <c r="E85" s="46" t="s">
        <v>128</v>
      </c>
      <c r="F85" s="67"/>
      <c r="G85" s="70"/>
      <c r="H85" s="60" t="b">
        <v>0</v>
      </c>
      <c r="I85" s="22" t="str">
        <f t="shared" si="17"/>
        <v/>
      </c>
    </row>
    <row r="86" spans="1:9" ht="15.75" x14ac:dyDescent="0.25">
      <c r="A86" s="30" t="s">
        <v>94</v>
      </c>
      <c r="B86" s="34"/>
      <c r="C86" s="52" t="s">
        <v>99</v>
      </c>
      <c r="D86" s="35"/>
      <c r="E86" s="45" t="s">
        <v>130</v>
      </c>
      <c r="F86" s="65"/>
      <c r="G86" s="68" t="str">
        <f t="shared" ref="G86" si="20">IF(COUNTIF(H86:H89,TRUE)&gt;1,"Only Select 1 answer",IF(COUNTIF(H86:H89,TRUE)&lt;1,"Please select an answer",""))</f>
        <v/>
      </c>
      <c r="H86" s="60" t="b">
        <v>1</v>
      </c>
      <c r="I86" s="22" t="str">
        <f t="shared" si="17"/>
        <v>Green</v>
      </c>
    </row>
    <row r="87" spans="1:9" ht="15.75" x14ac:dyDescent="0.25">
      <c r="A87" s="26"/>
      <c r="B87" s="36"/>
      <c r="C87" s="53" t="s">
        <v>100</v>
      </c>
      <c r="D87" s="37"/>
      <c r="E87" s="43" t="s">
        <v>128</v>
      </c>
      <c r="F87" s="66"/>
      <c r="G87" s="69"/>
      <c r="H87" s="60" t="b">
        <v>0</v>
      </c>
      <c r="I87" s="22" t="str">
        <f t="shared" si="17"/>
        <v/>
      </c>
    </row>
    <row r="88" spans="1:9" ht="15.75" x14ac:dyDescent="0.25">
      <c r="A88" s="26"/>
      <c r="B88" s="36"/>
      <c r="C88" s="53" t="s">
        <v>101</v>
      </c>
      <c r="D88" s="37"/>
      <c r="E88" s="43" t="s">
        <v>131</v>
      </c>
      <c r="F88" s="66"/>
      <c r="G88" s="69"/>
      <c r="H88" s="60" t="b">
        <v>0</v>
      </c>
      <c r="I88" s="22" t="str">
        <f t="shared" si="17"/>
        <v/>
      </c>
    </row>
    <row r="89" spans="1:9" ht="16.5" thickBot="1" x14ac:dyDescent="0.3">
      <c r="A89" s="27"/>
      <c r="B89" s="38"/>
      <c r="C89" s="54" t="s">
        <v>107</v>
      </c>
      <c r="D89" s="39"/>
      <c r="E89" s="46" t="s">
        <v>129</v>
      </c>
      <c r="F89" s="67"/>
      <c r="G89" s="70"/>
      <c r="H89" s="60" t="b">
        <v>0</v>
      </c>
      <c r="I89" s="22" t="str">
        <f t="shared" si="17"/>
        <v/>
      </c>
    </row>
    <row r="90" spans="1:9" ht="15.75" x14ac:dyDescent="0.25">
      <c r="A90" s="30" t="s">
        <v>95</v>
      </c>
      <c r="B90" s="34"/>
      <c r="C90" s="52" t="s">
        <v>106</v>
      </c>
      <c r="D90" s="35"/>
      <c r="E90" s="45" t="s">
        <v>129</v>
      </c>
      <c r="F90" s="65"/>
      <c r="G90" s="68" t="str">
        <f t="shared" ref="G90" si="21">IF(COUNTIF(H90:H93,TRUE)&gt;1,"Only Select 1 answer",IF(COUNTIF(H90:H93,TRUE)&lt;1,"Please select an answer",""))</f>
        <v/>
      </c>
      <c r="H90" s="60" t="b">
        <v>0</v>
      </c>
      <c r="I90" s="22" t="str">
        <f t="shared" si="17"/>
        <v/>
      </c>
    </row>
    <row r="91" spans="1:9" ht="15.75" x14ac:dyDescent="0.25">
      <c r="A91" s="26"/>
      <c r="B91" s="36"/>
      <c r="C91" s="53" t="s">
        <v>102</v>
      </c>
      <c r="D91" s="37"/>
      <c r="E91" s="43" t="s">
        <v>128</v>
      </c>
      <c r="F91" s="66"/>
      <c r="G91" s="69"/>
      <c r="H91" s="60" t="b">
        <v>0</v>
      </c>
      <c r="I91" s="22" t="str">
        <f t="shared" si="17"/>
        <v/>
      </c>
    </row>
    <row r="92" spans="1:9" ht="15.75" x14ac:dyDescent="0.25">
      <c r="A92" s="26"/>
      <c r="B92" s="36"/>
      <c r="C92" s="53" t="s">
        <v>103</v>
      </c>
      <c r="D92" s="37"/>
      <c r="E92" s="43" t="s">
        <v>130</v>
      </c>
      <c r="F92" s="66"/>
      <c r="G92" s="69"/>
      <c r="H92" s="60" t="b">
        <v>0</v>
      </c>
      <c r="I92" s="22" t="str">
        <f t="shared" si="17"/>
        <v/>
      </c>
    </row>
    <row r="93" spans="1:9" ht="16.5" thickBot="1" x14ac:dyDescent="0.3">
      <c r="A93" s="27"/>
      <c r="B93" s="38"/>
      <c r="C93" s="54" t="s">
        <v>104</v>
      </c>
      <c r="D93" s="39"/>
      <c r="E93" s="46" t="s">
        <v>131</v>
      </c>
      <c r="F93" s="67"/>
      <c r="G93" s="70"/>
      <c r="H93" s="60" t="b">
        <v>1</v>
      </c>
      <c r="I93" s="22" t="str">
        <f t="shared" si="17"/>
        <v>Blue</v>
      </c>
    </row>
    <row r="94" spans="1:9" ht="15.75" x14ac:dyDescent="0.25">
      <c r="A94" s="30" t="s">
        <v>108</v>
      </c>
      <c r="B94" s="34"/>
      <c r="C94" s="52" t="s">
        <v>111</v>
      </c>
      <c r="D94" s="35"/>
      <c r="E94" s="45" t="s">
        <v>128</v>
      </c>
      <c r="F94" s="65"/>
      <c r="G94" s="68" t="str">
        <f t="shared" ref="G94" si="22">IF(COUNTIF(H94:H97,TRUE)&gt;1,"Only Select 1 answer",IF(COUNTIF(H94:H97,TRUE)&lt;1,"Please select an answer",""))</f>
        <v/>
      </c>
      <c r="H94" s="60" t="b">
        <v>1</v>
      </c>
      <c r="I94" s="22" t="str">
        <f t="shared" si="17"/>
        <v>Red</v>
      </c>
    </row>
    <row r="95" spans="1:9" ht="15.75" x14ac:dyDescent="0.25">
      <c r="A95" s="26"/>
      <c r="B95" s="36"/>
      <c r="C95" s="53" t="s">
        <v>112</v>
      </c>
      <c r="D95" s="37"/>
      <c r="E95" s="43" t="s">
        <v>130</v>
      </c>
      <c r="F95" s="66"/>
      <c r="G95" s="69"/>
      <c r="H95" s="60" t="b">
        <v>0</v>
      </c>
      <c r="I95" s="22" t="str">
        <f t="shared" si="17"/>
        <v/>
      </c>
    </row>
    <row r="96" spans="1:9" ht="15.75" x14ac:dyDescent="0.25">
      <c r="A96" s="26"/>
      <c r="B96" s="36"/>
      <c r="C96" s="53" t="s">
        <v>113</v>
      </c>
      <c r="D96" s="37"/>
      <c r="E96" s="43" t="s">
        <v>129</v>
      </c>
      <c r="F96" s="66"/>
      <c r="G96" s="69"/>
      <c r="H96" s="60" t="b">
        <v>0</v>
      </c>
      <c r="I96" s="22" t="str">
        <f t="shared" si="17"/>
        <v/>
      </c>
    </row>
    <row r="97" spans="1:9" ht="16.5" thickBot="1" x14ac:dyDescent="0.3">
      <c r="A97" s="27"/>
      <c r="B97" s="38"/>
      <c r="C97" s="54" t="s">
        <v>114</v>
      </c>
      <c r="D97" s="39"/>
      <c r="E97" s="46" t="s">
        <v>131</v>
      </c>
      <c r="F97" s="67"/>
      <c r="G97" s="70"/>
      <c r="H97" s="60" t="b">
        <v>0</v>
      </c>
      <c r="I97" s="22" t="str">
        <f t="shared" si="17"/>
        <v/>
      </c>
    </row>
    <row r="98" spans="1:9" ht="15.75" x14ac:dyDescent="0.25">
      <c r="A98" s="30" t="s">
        <v>109</v>
      </c>
      <c r="B98" s="34"/>
      <c r="C98" s="52" t="s">
        <v>115</v>
      </c>
      <c r="D98" s="35"/>
      <c r="E98" s="45" t="s">
        <v>129</v>
      </c>
      <c r="F98" s="65"/>
      <c r="G98" s="68" t="str">
        <f t="shared" ref="G98" si="23">IF(COUNTIF(H98:H101,TRUE)&gt;1,"Only Select 1 answer",IF(COUNTIF(H98:H101,TRUE)&lt;1,"Please select an answer",""))</f>
        <v/>
      </c>
      <c r="H98" s="60" t="b">
        <v>0</v>
      </c>
      <c r="I98" s="22" t="str">
        <f t="shared" si="17"/>
        <v/>
      </c>
    </row>
    <row r="99" spans="1:9" ht="15.75" x14ac:dyDescent="0.25">
      <c r="A99" s="26"/>
      <c r="B99" s="36"/>
      <c r="C99" s="53" t="s">
        <v>116</v>
      </c>
      <c r="D99" s="37"/>
      <c r="E99" s="43" t="s">
        <v>128</v>
      </c>
      <c r="F99" s="66"/>
      <c r="G99" s="69"/>
      <c r="H99" s="60" t="b">
        <v>0</v>
      </c>
      <c r="I99" s="22" t="str">
        <f t="shared" si="17"/>
        <v/>
      </c>
    </row>
    <row r="100" spans="1:9" ht="15.75" x14ac:dyDescent="0.25">
      <c r="A100" s="26"/>
      <c r="B100" s="36"/>
      <c r="C100" s="53" t="s">
        <v>117</v>
      </c>
      <c r="D100" s="37"/>
      <c r="E100" s="43" t="s">
        <v>130</v>
      </c>
      <c r="F100" s="66"/>
      <c r="G100" s="69"/>
      <c r="H100" s="60" t="b">
        <v>0</v>
      </c>
      <c r="I100" s="22" t="str">
        <f t="shared" si="17"/>
        <v/>
      </c>
    </row>
    <row r="101" spans="1:9" ht="16.5" thickBot="1" x14ac:dyDescent="0.3">
      <c r="A101" s="27"/>
      <c r="B101" s="38"/>
      <c r="C101" s="54" t="s">
        <v>118</v>
      </c>
      <c r="D101" s="39"/>
      <c r="E101" s="46" t="s">
        <v>131</v>
      </c>
      <c r="F101" s="67"/>
      <c r="G101" s="70"/>
      <c r="H101" s="60" t="b">
        <v>1</v>
      </c>
      <c r="I101" s="22" t="str">
        <f t="shared" si="17"/>
        <v>Blue</v>
      </c>
    </row>
    <row r="102" spans="1:9" ht="15.75" x14ac:dyDescent="0.25">
      <c r="A102" s="30" t="s">
        <v>110</v>
      </c>
      <c r="B102" s="34"/>
      <c r="C102" s="52" t="s">
        <v>119</v>
      </c>
      <c r="D102" s="35"/>
      <c r="E102" s="45" t="s">
        <v>130</v>
      </c>
      <c r="F102" s="65"/>
      <c r="G102" s="68" t="str">
        <f t="shared" ref="G102" si="24">IF(COUNTIF(H102:H105,TRUE)&gt;1,"Only Select 1 answer",IF(COUNTIF(H102:H105,TRUE)&lt;1,"Please select an answer",""))</f>
        <v/>
      </c>
      <c r="H102" s="60" t="b">
        <v>0</v>
      </c>
      <c r="I102" s="22" t="str">
        <f t="shared" si="17"/>
        <v/>
      </c>
    </row>
    <row r="103" spans="1:9" ht="15.75" x14ac:dyDescent="0.25">
      <c r="A103" s="26"/>
      <c r="B103" s="36"/>
      <c r="C103" s="53" t="s">
        <v>120</v>
      </c>
      <c r="D103" s="37"/>
      <c r="E103" s="43" t="s">
        <v>128</v>
      </c>
      <c r="F103" s="66"/>
      <c r="G103" s="69"/>
      <c r="H103" s="60" t="b">
        <v>0</v>
      </c>
      <c r="I103" s="22" t="str">
        <f t="shared" si="17"/>
        <v/>
      </c>
    </row>
    <row r="104" spans="1:9" ht="15.75" x14ac:dyDescent="0.25">
      <c r="A104" s="26"/>
      <c r="B104" s="36"/>
      <c r="C104" s="53" t="s">
        <v>121</v>
      </c>
      <c r="D104" s="37"/>
      <c r="E104" s="43" t="s">
        <v>129</v>
      </c>
      <c r="F104" s="66"/>
      <c r="G104" s="69"/>
      <c r="H104" s="60" t="b">
        <v>0</v>
      </c>
      <c r="I104" s="22" t="str">
        <f t="shared" si="17"/>
        <v/>
      </c>
    </row>
    <row r="105" spans="1:9" ht="16.5" thickBot="1" x14ac:dyDescent="0.3">
      <c r="A105" s="27"/>
      <c r="B105" s="38"/>
      <c r="C105" s="54" t="s">
        <v>122</v>
      </c>
      <c r="D105" s="39"/>
      <c r="E105" s="46" t="s">
        <v>131</v>
      </c>
      <c r="F105" s="67"/>
      <c r="G105" s="70"/>
      <c r="H105" s="60" t="b">
        <v>1</v>
      </c>
      <c r="I105" s="22" t="str">
        <f t="shared" si="17"/>
        <v>Blue</v>
      </c>
    </row>
    <row r="106" spans="1:9" ht="15.75" x14ac:dyDescent="0.25">
      <c r="A106" s="30" t="s">
        <v>123</v>
      </c>
      <c r="B106" s="34"/>
      <c r="C106" s="52" t="s">
        <v>124</v>
      </c>
      <c r="D106" s="35"/>
      <c r="E106" s="45" t="s">
        <v>131</v>
      </c>
      <c r="F106" s="65"/>
      <c r="G106" s="68" t="str">
        <f t="shared" ref="G106" si="25">IF(COUNTIF(H106:H109,TRUE)&gt;1,"Only Select 1 answer",IF(COUNTIF(H106:H109,TRUE)&lt;1,"Please select an answer",""))</f>
        <v/>
      </c>
      <c r="H106" s="60" t="b">
        <v>0</v>
      </c>
      <c r="I106" s="22" t="str">
        <f t="shared" si="17"/>
        <v/>
      </c>
    </row>
    <row r="107" spans="1:9" ht="15.75" x14ac:dyDescent="0.25">
      <c r="A107" s="26"/>
      <c r="B107" s="36"/>
      <c r="C107" s="53" t="s">
        <v>125</v>
      </c>
      <c r="D107" s="37"/>
      <c r="E107" s="43" t="s">
        <v>128</v>
      </c>
      <c r="F107" s="66"/>
      <c r="G107" s="69"/>
      <c r="H107" s="60" t="b">
        <v>0</v>
      </c>
      <c r="I107" s="22" t="str">
        <f t="shared" si="17"/>
        <v/>
      </c>
    </row>
    <row r="108" spans="1:9" ht="15.75" x14ac:dyDescent="0.25">
      <c r="A108" s="26"/>
      <c r="B108" s="36"/>
      <c r="C108" s="53" t="s">
        <v>126</v>
      </c>
      <c r="D108" s="37"/>
      <c r="E108" s="43" t="s">
        <v>129</v>
      </c>
      <c r="F108" s="66"/>
      <c r="G108" s="69"/>
      <c r="H108" s="60" t="b">
        <v>0</v>
      </c>
      <c r="I108" s="22" t="str">
        <f t="shared" si="17"/>
        <v/>
      </c>
    </row>
    <row r="109" spans="1:9" ht="16.5" thickBot="1" x14ac:dyDescent="0.3">
      <c r="A109" s="27"/>
      <c r="B109" s="38"/>
      <c r="C109" s="54" t="s">
        <v>127</v>
      </c>
      <c r="D109" s="39"/>
      <c r="E109" s="46" t="s">
        <v>130</v>
      </c>
      <c r="F109" s="67"/>
      <c r="G109" s="70"/>
      <c r="H109" s="60" t="b">
        <v>1</v>
      </c>
      <c r="I109" s="22" t="str">
        <f t="shared" si="17"/>
        <v>Green</v>
      </c>
    </row>
    <row r="110" spans="1:9" x14ac:dyDescent="0.3"/>
    <row r="111" spans="1:9" x14ac:dyDescent="0.3"/>
  </sheetData>
  <sheetProtection algorithmName="SHA-512" hashValue="t1RN0LLUqvb4hA2URVu19ib7lteOWjTH2/NzV/dd/EzMgK7dvd3te4QrFFW+PHzq+/isECjJxoKJynq3wsoX/A==" saltValue="3sMlsubqzsGkntu84GG23A==" spinCount="100000" sheet="1" objects="1" scenarios="1"/>
  <mergeCells count="32">
    <mergeCell ref="G30:G33"/>
    <mergeCell ref="A6:G6"/>
    <mergeCell ref="A7:G7"/>
    <mergeCell ref="A8:G8"/>
    <mergeCell ref="G10:G13"/>
    <mergeCell ref="G14:G17"/>
    <mergeCell ref="G18:G21"/>
    <mergeCell ref="G22:G25"/>
    <mergeCell ref="G26:G29"/>
    <mergeCell ref="G78:G81"/>
    <mergeCell ref="G34:G37"/>
    <mergeCell ref="G38:G41"/>
    <mergeCell ref="G42:G45"/>
    <mergeCell ref="G46:G49"/>
    <mergeCell ref="G50:G53"/>
    <mergeCell ref="G54:G57"/>
    <mergeCell ref="G106:G109"/>
    <mergeCell ref="A5:J5"/>
    <mergeCell ref="A1:J1"/>
    <mergeCell ref="F3:G3"/>
    <mergeCell ref="A9:B9"/>
    <mergeCell ref="G82:G85"/>
    <mergeCell ref="G86:G89"/>
    <mergeCell ref="G90:G93"/>
    <mergeCell ref="G94:G97"/>
    <mergeCell ref="G98:G101"/>
    <mergeCell ref="G102:G105"/>
    <mergeCell ref="G58:G61"/>
    <mergeCell ref="G62:G65"/>
    <mergeCell ref="G66:G69"/>
    <mergeCell ref="G70:G73"/>
    <mergeCell ref="G74:G77"/>
  </mergeCells>
  <conditionalFormatting sqref="G10:G109">
    <cfRule type="cellIs" dxfId="1" priority="1" operator="equal">
      <formula>"Only Select 1 Answer"</formula>
    </cfRule>
    <cfRule type="cellIs" dxfId="0" priority="2" operator="equal">
      <formula>""</formula>
    </cfRule>
  </conditionalFormatting>
  <dataValidations xWindow="605" yWindow="381" count="1">
    <dataValidation allowBlank="1" showInputMessage="1" showErrorMessage="1" prompt="Please enter your Name" sqref="F3:G3" xr:uid="{00000000-0002-0000-0000-000000000000}"/>
  </dataValidations>
  <pageMargins left="0.51181102362204722" right="0.31496062992125984" top="0.35433070866141736" bottom="0.35433070866141736" header="0.31496062992125984" footer="0.31496062992125984"/>
  <pageSetup paperSize="9" scale="109" orientation="portrait" horizontalDpi="4294967293" r:id="rId1"/>
  <rowBreaks count="2" manualBreakCount="2">
    <brk id="41" max="16383" man="1"/>
    <brk id="85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>
                <anchor moveWithCells="1">
                  <from>
                    <xdr:col>5</xdr:col>
                    <xdr:colOff>9525</xdr:colOff>
                    <xdr:row>9</xdr:row>
                    <xdr:rowOff>9525</xdr:rowOff>
                  </from>
                  <to>
                    <xdr:col>5</xdr:col>
                    <xdr:colOff>1819275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11</xdr:row>
                    <xdr:rowOff>0</xdr:rowOff>
                  </from>
                  <to>
                    <xdr:col>5</xdr:col>
                    <xdr:colOff>1790700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</xdr:row>
                    <xdr:rowOff>180975</xdr:rowOff>
                  </from>
                  <to>
                    <xdr:col>5</xdr:col>
                    <xdr:colOff>1800225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locked="0" defaultSize="0" autoFill="0" autoLine="0" autoPict="0">
                <anchor moveWithCells="1">
                  <from>
                    <xdr:col>5</xdr:col>
                    <xdr:colOff>9525</xdr:colOff>
                    <xdr:row>11</xdr:row>
                    <xdr:rowOff>180975</xdr:rowOff>
                  </from>
                  <to>
                    <xdr:col>5</xdr:col>
                    <xdr:colOff>1800225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8" name="Check Box 10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13</xdr:row>
                    <xdr:rowOff>180975</xdr:rowOff>
                  </from>
                  <to>
                    <xdr:col>5</xdr:col>
                    <xdr:colOff>1752600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9" name="Check Box 108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14</xdr:row>
                    <xdr:rowOff>180975</xdr:rowOff>
                  </from>
                  <to>
                    <xdr:col>5</xdr:col>
                    <xdr:colOff>1752600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" name="Check Box 10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15</xdr:row>
                    <xdr:rowOff>180975</xdr:rowOff>
                  </from>
                  <to>
                    <xdr:col>5</xdr:col>
                    <xdr:colOff>1752600</xdr:colOff>
                    <xdr:row>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" name="Check Box 110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16</xdr:row>
                    <xdr:rowOff>180975</xdr:rowOff>
                  </from>
                  <to>
                    <xdr:col>5</xdr:col>
                    <xdr:colOff>1752600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2" name="Check Box 11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17</xdr:row>
                    <xdr:rowOff>180975</xdr:rowOff>
                  </from>
                  <to>
                    <xdr:col>5</xdr:col>
                    <xdr:colOff>1752600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3" name="Check Box 112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18</xdr:row>
                    <xdr:rowOff>180975</xdr:rowOff>
                  </from>
                  <to>
                    <xdr:col>5</xdr:col>
                    <xdr:colOff>1752600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4" name="Check Box 11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19</xdr:row>
                    <xdr:rowOff>180975</xdr:rowOff>
                  </from>
                  <to>
                    <xdr:col>5</xdr:col>
                    <xdr:colOff>1752600</xdr:colOff>
                    <xdr:row>20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5" name="Check Box 114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20</xdr:row>
                    <xdr:rowOff>180975</xdr:rowOff>
                  </from>
                  <to>
                    <xdr:col>5</xdr:col>
                    <xdr:colOff>1752600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6" name="Check Box 11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21</xdr:row>
                    <xdr:rowOff>180975</xdr:rowOff>
                  </from>
                  <to>
                    <xdr:col>5</xdr:col>
                    <xdr:colOff>1752600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7" name="Check Box 116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22</xdr:row>
                    <xdr:rowOff>180975</xdr:rowOff>
                  </from>
                  <to>
                    <xdr:col>5</xdr:col>
                    <xdr:colOff>1752600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8" name="Check Box 11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23</xdr:row>
                    <xdr:rowOff>180975</xdr:rowOff>
                  </from>
                  <to>
                    <xdr:col>5</xdr:col>
                    <xdr:colOff>1752600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9" name="Check Box 118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24</xdr:row>
                    <xdr:rowOff>180975</xdr:rowOff>
                  </from>
                  <to>
                    <xdr:col>5</xdr:col>
                    <xdr:colOff>1752600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20" name="Check Box 11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25</xdr:row>
                    <xdr:rowOff>180975</xdr:rowOff>
                  </from>
                  <to>
                    <xdr:col>5</xdr:col>
                    <xdr:colOff>1752600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21" name="Check Box 120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26</xdr:row>
                    <xdr:rowOff>180975</xdr:rowOff>
                  </from>
                  <to>
                    <xdr:col>5</xdr:col>
                    <xdr:colOff>1752600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22" name="Check Box 12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27</xdr:row>
                    <xdr:rowOff>180975</xdr:rowOff>
                  </from>
                  <to>
                    <xdr:col>5</xdr:col>
                    <xdr:colOff>1752600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23" name="Check Box 122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28</xdr:row>
                    <xdr:rowOff>180975</xdr:rowOff>
                  </from>
                  <to>
                    <xdr:col>5</xdr:col>
                    <xdr:colOff>1752600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24" name="Check Box 12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29</xdr:row>
                    <xdr:rowOff>180975</xdr:rowOff>
                  </from>
                  <to>
                    <xdr:col>5</xdr:col>
                    <xdr:colOff>1752600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25" name="Check Box 124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30</xdr:row>
                    <xdr:rowOff>180975</xdr:rowOff>
                  </from>
                  <to>
                    <xdr:col>5</xdr:col>
                    <xdr:colOff>1752600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26" name="Check Box 12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31</xdr:row>
                    <xdr:rowOff>180975</xdr:rowOff>
                  </from>
                  <to>
                    <xdr:col>5</xdr:col>
                    <xdr:colOff>1752600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27" name="Check Box 126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32</xdr:row>
                    <xdr:rowOff>180975</xdr:rowOff>
                  </from>
                  <to>
                    <xdr:col>5</xdr:col>
                    <xdr:colOff>1752600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28" name="Check Box 12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33</xdr:row>
                    <xdr:rowOff>180975</xdr:rowOff>
                  </from>
                  <to>
                    <xdr:col>5</xdr:col>
                    <xdr:colOff>1752600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29" name="Check Box 128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34</xdr:row>
                    <xdr:rowOff>180975</xdr:rowOff>
                  </from>
                  <to>
                    <xdr:col>5</xdr:col>
                    <xdr:colOff>1752600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30" name="Check Box 12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35</xdr:row>
                    <xdr:rowOff>180975</xdr:rowOff>
                  </from>
                  <to>
                    <xdr:col>5</xdr:col>
                    <xdr:colOff>1752600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31" name="Check Box 130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36</xdr:row>
                    <xdr:rowOff>180975</xdr:rowOff>
                  </from>
                  <to>
                    <xdr:col>5</xdr:col>
                    <xdr:colOff>1752600</xdr:colOff>
                    <xdr:row>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32" name="Check Box 13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37</xdr:row>
                    <xdr:rowOff>180975</xdr:rowOff>
                  </from>
                  <to>
                    <xdr:col>5</xdr:col>
                    <xdr:colOff>1752600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33" name="Check Box 132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38</xdr:row>
                    <xdr:rowOff>180975</xdr:rowOff>
                  </from>
                  <to>
                    <xdr:col>5</xdr:col>
                    <xdr:colOff>1752600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34" name="Check Box 13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39</xdr:row>
                    <xdr:rowOff>180975</xdr:rowOff>
                  </from>
                  <to>
                    <xdr:col>5</xdr:col>
                    <xdr:colOff>1752600</xdr:colOff>
                    <xdr:row>40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35" name="Check Box 134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40</xdr:row>
                    <xdr:rowOff>180975</xdr:rowOff>
                  </from>
                  <to>
                    <xdr:col>5</xdr:col>
                    <xdr:colOff>1752600</xdr:colOff>
                    <xdr:row>41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36" name="Check Box 13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41</xdr:row>
                    <xdr:rowOff>180975</xdr:rowOff>
                  </from>
                  <to>
                    <xdr:col>5</xdr:col>
                    <xdr:colOff>1752600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37" name="Check Box 136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42</xdr:row>
                    <xdr:rowOff>180975</xdr:rowOff>
                  </from>
                  <to>
                    <xdr:col>5</xdr:col>
                    <xdr:colOff>1752600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38" name="Check Box 13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43</xdr:row>
                    <xdr:rowOff>180975</xdr:rowOff>
                  </from>
                  <to>
                    <xdr:col>5</xdr:col>
                    <xdr:colOff>1752600</xdr:colOff>
                    <xdr:row>44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39" name="Check Box 138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44</xdr:row>
                    <xdr:rowOff>180975</xdr:rowOff>
                  </from>
                  <to>
                    <xdr:col>5</xdr:col>
                    <xdr:colOff>1752600</xdr:colOff>
                    <xdr:row>45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40" name="Check Box 13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45</xdr:row>
                    <xdr:rowOff>180975</xdr:rowOff>
                  </from>
                  <to>
                    <xdr:col>5</xdr:col>
                    <xdr:colOff>1752600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41" name="Check Box 140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46</xdr:row>
                    <xdr:rowOff>180975</xdr:rowOff>
                  </from>
                  <to>
                    <xdr:col>5</xdr:col>
                    <xdr:colOff>1752600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42" name="Check Box 14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47</xdr:row>
                    <xdr:rowOff>180975</xdr:rowOff>
                  </from>
                  <to>
                    <xdr:col>5</xdr:col>
                    <xdr:colOff>1752600</xdr:colOff>
                    <xdr:row>48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43" name="Check Box 142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48</xdr:row>
                    <xdr:rowOff>180975</xdr:rowOff>
                  </from>
                  <to>
                    <xdr:col>5</xdr:col>
                    <xdr:colOff>1752600</xdr:colOff>
                    <xdr:row>49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44" name="Check Box 14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49</xdr:row>
                    <xdr:rowOff>180975</xdr:rowOff>
                  </from>
                  <to>
                    <xdr:col>5</xdr:col>
                    <xdr:colOff>1752600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45" name="Check Box 144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50</xdr:row>
                    <xdr:rowOff>180975</xdr:rowOff>
                  </from>
                  <to>
                    <xdr:col>5</xdr:col>
                    <xdr:colOff>1752600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46" name="Check Box 14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51</xdr:row>
                    <xdr:rowOff>180975</xdr:rowOff>
                  </from>
                  <to>
                    <xdr:col>5</xdr:col>
                    <xdr:colOff>1752600</xdr:colOff>
                    <xdr:row>52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47" name="Check Box 146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52</xdr:row>
                    <xdr:rowOff>180975</xdr:rowOff>
                  </from>
                  <to>
                    <xdr:col>5</xdr:col>
                    <xdr:colOff>1752600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48" name="Check Box 14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53</xdr:row>
                    <xdr:rowOff>180975</xdr:rowOff>
                  </from>
                  <to>
                    <xdr:col>5</xdr:col>
                    <xdr:colOff>1752600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49" name="Check Box 148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54</xdr:row>
                    <xdr:rowOff>180975</xdr:rowOff>
                  </from>
                  <to>
                    <xdr:col>5</xdr:col>
                    <xdr:colOff>1752600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50" name="Check Box 14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55</xdr:row>
                    <xdr:rowOff>180975</xdr:rowOff>
                  </from>
                  <to>
                    <xdr:col>5</xdr:col>
                    <xdr:colOff>1752600</xdr:colOff>
                    <xdr:row>56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51" name="Check Box 150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56</xdr:row>
                    <xdr:rowOff>180975</xdr:rowOff>
                  </from>
                  <to>
                    <xdr:col>5</xdr:col>
                    <xdr:colOff>1752600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52" name="Check Box 15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57</xdr:row>
                    <xdr:rowOff>180975</xdr:rowOff>
                  </from>
                  <to>
                    <xdr:col>5</xdr:col>
                    <xdr:colOff>1752600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53" name="Check Box 152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58</xdr:row>
                    <xdr:rowOff>180975</xdr:rowOff>
                  </from>
                  <to>
                    <xdr:col>5</xdr:col>
                    <xdr:colOff>1752600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54" name="Check Box 15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59</xdr:row>
                    <xdr:rowOff>180975</xdr:rowOff>
                  </from>
                  <to>
                    <xdr:col>5</xdr:col>
                    <xdr:colOff>1752600</xdr:colOff>
                    <xdr:row>60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55" name="Check Box 154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60</xdr:row>
                    <xdr:rowOff>180975</xdr:rowOff>
                  </from>
                  <to>
                    <xdr:col>5</xdr:col>
                    <xdr:colOff>1752600</xdr:colOff>
                    <xdr:row>61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56" name="Check Box 15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61</xdr:row>
                    <xdr:rowOff>180975</xdr:rowOff>
                  </from>
                  <to>
                    <xdr:col>5</xdr:col>
                    <xdr:colOff>1752600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57" name="Check Box 156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62</xdr:row>
                    <xdr:rowOff>180975</xdr:rowOff>
                  </from>
                  <to>
                    <xdr:col>5</xdr:col>
                    <xdr:colOff>1752600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58" name="Check Box 15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63</xdr:row>
                    <xdr:rowOff>180975</xdr:rowOff>
                  </from>
                  <to>
                    <xdr:col>5</xdr:col>
                    <xdr:colOff>1752600</xdr:colOff>
                    <xdr:row>64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59" name="Check Box 158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64</xdr:row>
                    <xdr:rowOff>180975</xdr:rowOff>
                  </from>
                  <to>
                    <xdr:col>5</xdr:col>
                    <xdr:colOff>1752600</xdr:colOff>
                    <xdr:row>65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60" name="Check Box 15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65</xdr:row>
                    <xdr:rowOff>180975</xdr:rowOff>
                  </from>
                  <to>
                    <xdr:col>5</xdr:col>
                    <xdr:colOff>1752600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61" name="Check Box 160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66</xdr:row>
                    <xdr:rowOff>180975</xdr:rowOff>
                  </from>
                  <to>
                    <xdr:col>5</xdr:col>
                    <xdr:colOff>1752600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62" name="Check Box 16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67</xdr:row>
                    <xdr:rowOff>180975</xdr:rowOff>
                  </from>
                  <to>
                    <xdr:col>5</xdr:col>
                    <xdr:colOff>1752600</xdr:colOff>
                    <xdr:row>68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63" name="Check Box 162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68</xdr:row>
                    <xdr:rowOff>180975</xdr:rowOff>
                  </from>
                  <to>
                    <xdr:col>5</xdr:col>
                    <xdr:colOff>1752600</xdr:colOff>
                    <xdr:row>69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64" name="Check Box 16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69</xdr:row>
                    <xdr:rowOff>180975</xdr:rowOff>
                  </from>
                  <to>
                    <xdr:col>5</xdr:col>
                    <xdr:colOff>1752600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65" name="Check Box 164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70</xdr:row>
                    <xdr:rowOff>180975</xdr:rowOff>
                  </from>
                  <to>
                    <xdr:col>5</xdr:col>
                    <xdr:colOff>1752600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66" name="Check Box 16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71</xdr:row>
                    <xdr:rowOff>180975</xdr:rowOff>
                  </from>
                  <to>
                    <xdr:col>5</xdr:col>
                    <xdr:colOff>1752600</xdr:colOff>
                    <xdr:row>72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67" name="Check Box 166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72</xdr:row>
                    <xdr:rowOff>180975</xdr:rowOff>
                  </from>
                  <to>
                    <xdr:col>5</xdr:col>
                    <xdr:colOff>1752600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68" name="Check Box 16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73</xdr:row>
                    <xdr:rowOff>180975</xdr:rowOff>
                  </from>
                  <to>
                    <xdr:col>5</xdr:col>
                    <xdr:colOff>1752600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69" name="Check Box 168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74</xdr:row>
                    <xdr:rowOff>180975</xdr:rowOff>
                  </from>
                  <to>
                    <xdr:col>5</xdr:col>
                    <xdr:colOff>1752600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70" name="Check Box 16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75</xdr:row>
                    <xdr:rowOff>180975</xdr:rowOff>
                  </from>
                  <to>
                    <xdr:col>5</xdr:col>
                    <xdr:colOff>1752600</xdr:colOff>
                    <xdr:row>76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71" name="Check Box 170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76</xdr:row>
                    <xdr:rowOff>180975</xdr:rowOff>
                  </from>
                  <to>
                    <xdr:col>5</xdr:col>
                    <xdr:colOff>1752600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72" name="Check Box 17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77</xdr:row>
                    <xdr:rowOff>180975</xdr:rowOff>
                  </from>
                  <to>
                    <xdr:col>5</xdr:col>
                    <xdr:colOff>1752600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73" name="Check Box 172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78</xdr:row>
                    <xdr:rowOff>180975</xdr:rowOff>
                  </from>
                  <to>
                    <xdr:col>5</xdr:col>
                    <xdr:colOff>1752600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74" name="Check Box 17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79</xdr:row>
                    <xdr:rowOff>180975</xdr:rowOff>
                  </from>
                  <to>
                    <xdr:col>5</xdr:col>
                    <xdr:colOff>1752600</xdr:colOff>
                    <xdr:row>80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75" name="Check Box 174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80</xdr:row>
                    <xdr:rowOff>180975</xdr:rowOff>
                  </from>
                  <to>
                    <xdr:col>5</xdr:col>
                    <xdr:colOff>1752600</xdr:colOff>
                    <xdr:row>81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76" name="Check Box 175">
              <controlPr defaultSize="0" autoFill="0" autoLine="0" autoPict="0">
                <anchor moveWithCells="1">
                  <from>
                    <xdr:col>5</xdr:col>
                    <xdr:colOff>28575</xdr:colOff>
                    <xdr:row>81</xdr:row>
                    <xdr:rowOff>180975</xdr:rowOff>
                  </from>
                  <to>
                    <xdr:col>5</xdr:col>
                    <xdr:colOff>1752600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77" name="Check Box 17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83</xdr:row>
                    <xdr:rowOff>180975</xdr:rowOff>
                  </from>
                  <to>
                    <xdr:col>5</xdr:col>
                    <xdr:colOff>1752600</xdr:colOff>
                    <xdr:row>84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78" name="Check Box 322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82</xdr:row>
                    <xdr:rowOff>180975</xdr:rowOff>
                  </from>
                  <to>
                    <xdr:col>5</xdr:col>
                    <xdr:colOff>1752600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79" name="Check Box 326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84</xdr:row>
                    <xdr:rowOff>180975</xdr:rowOff>
                  </from>
                  <to>
                    <xdr:col>5</xdr:col>
                    <xdr:colOff>1752600</xdr:colOff>
                    <xdr:row>85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80" name="Check Box 32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85</xdr:row>
                    <xdr:rowOff>180975</xdr:rowOff>
                  </from>
                  <to>
                    <xdr:col>5</xdr:col>
                    <xdr:colOff>1752600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81" name="Check Box 328">
              <controlPr defaultSize="0" autoFill="0" autoLine="0" autoPict="0">
                <anchor moveWithCells="1">
                  <from>
                    <xdr:col>5</xdr:col>
                    <xdr:colOff>28575</xdr:colOff>
                    <xdr:row>86</xdr:row>
                    <xdr:rowOff>180975</xdr:rowOff>
                  </from>
                  <to>
                    <xdr:col>5</xdr:col>
                    <xdr:colOff>1752600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82" name="Check Box 32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86</xdr:row>
                    <xdr:rowOff>180975</xdr:rowOff>
                  </from>
                  <to>
                    <xdr:col>5</xdr:col>
                    <xdr:colOff>1752600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83" name="Check Box 332">
              <controlPr defaultSize="0" autoFill="0" autoLine="0" autoPict="0">
                <anchor moveWithCells="1">
                  <from>
                    <xdr:col>5</xdr:col>
                    <xdr:colOff>28575</xdr:colOff>
                    <xdr:row>88</xdr:row>
                    <xdr:rowOff>180975</xdr:rowOff>
                  </from>
                  <to>
                    <xdr:col>5</xdr:col>
                    <xdr:colOff>1752600</xdr:colOff>
                    <xdr:row>89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84" name="Check Box 33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88</xdr:row>
                    <xdr:rowOff>180975</xdr:rowOff>
                  </from>
                  <to>
                    <xdr:col>5</xdr:col>
                    <xdr:colOff>1752600</xdr:colOff>
                    <xdr:row>89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85" name="Check Box 334">
              <controlPr defaultSize="0" autoFill="0" autoLine="0" autoPict="0">
                <anchor moveWithCells="1">
                  <from>
                    <xdr:col>5</xdr:col>
                    <xdr:colOff>28575</xdr:colOff>
                    <xdr:row>89</xdr:row>
                    <xdr:rowOff>180975</xdr:rowOff>
                  </from>
                  <to>
                    <xdr:col>5</xdr:col>
                    <xdr:colOff>1752600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86" name="Check Box 33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89</xdr:row>
                    <xdr:rowOff>180975</xdr:rowOff>
                  </from>
                  <to>
                    <xdr:col>5</xdr:col>
                    <xdr:colOff>1752600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87" name="Check Box 336">
              <controlPr defaultSize="0" autoFill="0" autoLine="0" autoPict="0">
                <anchor moveWithCells="1">
                  <from>
                    <xdr:col>5</xdr:col>
                    <xdr:colOff>28575</xdr:colOff>
                    <xdr:row>90</xdr:row>
                    <xdr:rowOff>180975</xdr:rowOff>
                  </from>
                  <to>
                    <xdr:col>5</xdr:col>
                    <xdr:colOff>1752600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88" name="Check Box 33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90</xdr:row>
                    <xdr:rowOff>180975</xdr:rowOff>
                  </from>
                  <to>
                    <xdr:col>5</xdr:col>
                    <xdr:colOff>1752600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89" name="Check Box 338">
              <controlPr defaultSize="0" autoFill="0" autoLine="0" autoPict="0">
                <anchor moveWithCells="1">
                  <from>
                    <xdr:col>5</xdr:col>
                    <xdr:colOff>28575</xdr:colOff>
                    <xdr:row>91</xdr:row>
                    <xdr:rowOff>180975</xdr:rowOff>
                  </from>
                  <to>
                    <xdr:col>5</xdr:col>
                    <xdr:colOff>1752600</xdr:colOff>
                    <xdr:row>92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90" name="Check Box 33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91</xdr:row>
                    <xdr:rowOff>180975</xdr:rowOff>
                  </from>
                  <to>
                    <xdr:col>5</xdr:col>
                    <xdr:colOff>1752600</xdr:colOff>
                    <xdr:row>92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91" name="Check Box 340">
              <controlPr defaultSize="0" autoFill="0" autoLine="0" autoPict="0">
                <anchor moveWithCells="1">
                  <from>
                    <xdr:col>5</xdr:col>
                    <xdr:colOff>28575</xdr:colOff>
                    <xdr:row>92</xdr:row>
                    <xdr:rowOff>180975</xdr:rowOff>
                  </from>
                  <to>
                    <xdr:col>5</xdr:col>
                    <xdr:colOff>1752600</xdr:colOff>
                    <xdr:row>93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92" name="Check Box 34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92</xdr:row>
                    <xdr:rowOff>180975</xdr:rowOff>
                  </from>
                  <to>
                    <xdr:col>5</xdr:col>
                    <xdr:colOff>1752600</xdr:colOff>
                    <xdr:row>93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93" name="Check Box 342">
              <controlPr defaultSize="0" autoFill="0" autoLine="0" autoPict="0">
                <anchor moveWithCells="1">
                  <from>
                    <xdr:col>5</xdr:col>
                    <xdr:colOff>28575</xdr:colOff>
                    <xdr:row>93</xdr:row>
                    <xdr:rowOff>180975</xdr:rowOff>
                  </from>
                  <to>
                    <xdr:col>5</xdr:col>
                    <xdr:colOff>1752600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94" name="Check Box 34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93</xdr:row>
                    <xdr:rowOff>180975</xdr:rowOff>
                  </from>
                  <to>
                    <xdr:col>5</xdr:col>
                    <xdr:colOff>1752600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95" name="Check Box 344">
              <controlPr defaultSize="0" autoFill="0" autoLine="0" autoPict="0">
                <anchor moveWithCells="1">
                  <from>
                    <xdr:col>5</xdr:col>
                    <xdr:colOff>28575</xdr:colOff>
                    <xdr:row>94</xdr:row>
                    <xdr:rowOff>180975</xdr:rowOff>
                  </from>
                  <to>
                    <xdr:col>5</xdr:col>
                    <xdr:colOff>1752600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96" name="Check Box 34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94</xdr:row>
                    <xdr:rowOff>180975</xdr:rowOff>
                  </from>
                  <to>
                    <xdr:col>5</xdr:col>
                    <xdr:colOff>1752600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97" name="Check Box 346">
              <controlPr defaultSize="0" autoFill="0" autoLine="0" autoPict="0">
                <anchor moveWithCells="1">
                  <from>
                    <xdr:col>5</xdr:col>
                    <xdr:colOff>28575</xdr:colOff>
                    <xdr:row>95</xdr:row>
                    <xdr:rowOff>180975</xdr:rowOff>
                  </from>
                  <to>
                    <xdr:col>5</xdr:col>
                    <xdr:colOff>1752600</xdr:colOff>
                    <xdr:row>96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98" name="Check Box 34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95</xdr:row>
                    <xdr:rowOff>180975</xdr:rowOff>
                  </from>
                  <to>
                    <xdr:col>5</xdr:col>
                    <xdr:colOff>1752600</xdr:colOff>
                    <xdr:row>96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99" name="Check Box 348">
              <controlPr defaultSize="0" autoFill="0" autoLine="0" autoPict="0">
                <anchor moveWithCells="1">
                  <from>
                    <xdr:col>5</xdr:col>
                    <xdr:colOff>28575</xdr:colOff>
                    <xdr:row>96</xdr:row>
                    <xdr:rowOff>180975</xdr:rowOff>
                  </from>
                  <to>
                    <xdr:col>5</xdr:col>
                    <xdr:colOff>1752600</xdr:colOff>
                    <xdr:row>97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100" name="Check Box 34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96</xdr:row>
                    <xdr:rowOff>180975</xdr:rowOff>
                  </from>
                  <to>
                    <xdr:col>5</xdr:col>
                    <xdr:colOff>1752600</xdr:colOff>
                    <xdr:row>97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101" name="Check Box 350">
              <controlPr defaultSize="0" autoFill="0" autoLine="0" autoPict="0">
                <anchor moveWithCells="1">
                  <from>
                    <xdr:col>5</xdr:col>
                    <xdr:colOff>28575</xdr:colOff>
                    <xdr:row>97</xdr:row>
                    <xdr:rowOff>180975</xdr:rowOff>
                  </from>
                  <to>
                    <xdr:col>5</xdr:col>
                    <xdr:colOff>1752600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102" name="Check Box 35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97</xdr:row>
                    <xdr:rowOff>180975</xdr:rowOff>
                  </from>
                  <to>
                    <xdr:col>5</xdr:col>
                    <xdr:colOff>1752600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103" name="Check Box 352">
              <controlPr defaultSize="0" autoFill="0" autoLine="0" autoPict="0">
                <anchor moveWithCells="1">
                  <from>
                    <xdr:col>5</xdr:col>
                    <xdr:colOff>28575</xdr:colOff>
                    <xdr:row>98</xdr:row>
                    <xdr:rowOff>180975</xdr:rowOff>
                  </from>
                  <to>
                    <xdr:col>5</xdr:col>
                    <xdr:colOff>1752600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104" name="Check Box 35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98</xdr:row>
                    <xdr:rowOff>180975</xdr:rowOff>
                  </from>
                  <to>
                    <xdr:col>5</xdr:col>
                    <xdr:colOff>1752600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105" name="Check Box 354">
              <controlPr defaultSize="0" autoFill="0" autoLine="0" autoPict="0">
                <anchor moveWithCells="1">
                  <from>
                    <xdr:col>5</xdr:col>
                    <xdr:colOff>28575</xdr:colOff>
                    <xdr:row>99</xdr:row>
                    <xdr:rowOff>180975</xdr:rowOff>
                  </from>
                  <to>
                    <xdr:col>5</xdr:col>
                    <xdr:colOff>1752600</xdr:colOff>
                    <xdr:row>100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106" name="Check Box 35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99</xdr:row>
                    <xdr:rowOff>180975</xdr:rowOff>
                  </from>
                  <to>
                    <xdr:col>5</xdr:col>
                    <xdr:colOff>1752600</xdr:colOff>
                    <xdr:row>100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107" name="Check Box 356">
              <controlPr defaultSize="0" autoFill="0" autoLine="0" autoPict="0">
                <anchor moveWithCells="1">
                  <from>
                    <xdr:col>5</xdr:col>
                    <xdr:colOff>28575</xdr:colOff>
                    <xdr:row>100</xdr:row>
                    <xdr:rowOff>180975</xdr:rowOff>
                  </from>
                  <to>
                    <xdr:col>5</xdr:col>
                    <xdr:colOff>1752600</xdr:colOff>
                    <xdr:row>101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108" name="Check Box 35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100</xdr:row>
                    <xdr:rowOff>180975</xdr:rowOff>
                  </from>
                  <to>
                    <xdr:col>5</xdr:col>
                    <xdr:colOff>1752600</xdr:colOff>
                    <xdr:row>101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109" name="Check Box 358">
              <controlPr defaultSize="0" autoFill="0" autoLine="0" autoPict="0">
                <anchor moveWithCells="1">
                  <from>
                    <xdr:col>5</xdr:col>
                    <xdr:colOff>28575</xdr:colOff>
                    <xdr:row>101</xdr:row>
                    <xdr:rowOff>180975</xdr:rowOff>
                  </from>
                  <to>
                    <xdr:col>5</xdr:col>
                    <xdr:colOff>1752600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110" name="Check Box 35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101</xdr:row>
                    <xdr:rowOff>180975</xdr:rowOff>
                  </from>
                  <to>
                    <xdr:col>5</xdr:col>
                    <xdr:colOff>1752600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111" name="Check Box 360">
              <controlPr defaultSize="0" autoFill="0" autoLine="0" autoPict="0">
                <anchor moveWithCells="1">
                  <from>
                    <xdr:col>5</xdr:col>
                    <xdr:colOff>28575</xdr:colOff>
                    <xdr:row>102</xdr:row>
                    <xdr:rowOff>180975</xdr:rowOff>
                  </from>
                  <to>
                    <xdr:col>5</xdr:col>
                    <xdr:colOff>1752600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112" name="Check Box 36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102</xdr:row>
                    <xdr:rowOff>180975</xdr:rowOff>
                  </from>
                  <to>
                    <xdr:col>5</xdr:col>
                    <xdr:colOff>1752600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113" name="Check Box 362">
              <controlPr defaultSize="0" autoFill="0" autoLine="0" autoPict="0">
                <anchor moveWithCells="1">
                  <from>
                    <xdr:col>5</xdr:col>
                    <xdr:colOff>28575</xdr:colOff>
                    <xdr:row>103</xdr:row>
                    <xdr:rowOff>180975</xdr:rowOff>
                  </from>
                  <to>
                    <xdr:col>5</xdr:col>
                    <xdr:colOff>1752600</xdr:colOff>
                    <xdr:row>104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114" name="Check Box 36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103</xdr:row>
                    <xdr:rowOff>180975</xdr:rowOff>
                  </from>
                  <to>
                    <xdr:col>5</xdr:col>
                    <xdr:colOff>1752600</xdr:colOff>
                    <xdr:row>104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115" name="Check Box 364">
              <controlPr defaultSize="0" autoFill="0" autoLine="0" autoPict="0">
                <anchor moveWithCells="1">
                  <from>
                    <xdr:col>5</xdr:col>
                    <xdr:colOff>28575</xdr:colOff>
                    <xdr:row>104</xdr:row>
                    <xdr:rowOff>180975</xdr:rowOff>
                  </from>
                  <to>
                    <xdr:col>5</xdr:col>
                    <xdr:colOff>1752600</xdr:colOff>
                    <xdr:row>105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116" name="Check Box 365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104</xdr:row>
                    <xdr:rowOff>180975</xdr:rowOff>
                  </from>
                  <to>
                    <xdr:col>5</xdr:col>
                    <xdr:colOff>1752600</xdr:colOff>
                    <xdr:row>105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117" name="Check Box 366">
              <controlPr defaultSize="0" autoFill="0" autoLine="0" autoPict="0">
                <anchor moveWithCells="1">
                  <from>
                    <xdr:col>5</xdr:col>
                    <xdr:colOff>28575</xdr:colOff>
                    <xdr:row>105</xdr:row>
                    <xdr:rowOff>180975</xdr:rowOff>
                  </from>
                  <to>
                    <xdr:col>5</xdr:col>
                    <xdr:colOff>1752600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118" name="Check Box 367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105</xdr:row>
                    <xdr:rowOff>180975</xdr:rowOff>
                  </from>
                  <to>
                    <xdr:col>5</xdr:col>
                    <xdr:colOff>1752600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119" name="Check Box 368">
              <controlPr defaultSize="0" autoFill="0" autoLine="0" autoPict="0">
                <anchor moveWithCells="1">
                  <from>
                    <xdr:col>5</xdr:col>
                    <xdr:colOff>28575</xdr:colOff>
                    <xdr:row>106</xdr:row>
                    <xdr:rowOff>180975</xdr:rowOff>
                  </from>
                  <to>
                    <xdr:col>5</xdr:col>
                    <xdr:colOff>1752600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120" name="Check Box 369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106</xdr:row>
                    <xdr:rowOff>180975</xdr:rowOff>
                  </from>
                  <to>
                    <xdr:col>5</xdr:col>
                    <xdr:colOff>1752600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121" name="Check Box 370">
              <controlPr defaultSize="0" autoFill="0" autoLine="0" autoPict="0">
                <anchor moveWithCells="1">
                  <from>
                    <xdr:col>5</xdr:col>
                    <xdr:colOff>28575</xdr:colOff>
                    <xdr:row>107</xdr:row>
                    <xdr:rowOff>180975</xdr:rowOff>
                  </from>
                  <to>
                    <xdr:col>5</xdr:col>
                    <xdr:colOff>1752600</xdr:colOff>
                    <xdr:row>108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122" name="Check Box 371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107</xdr:row>
                    <xdr:rowOff>180975</xdr:rowOff>
                  </from>
                  <to>
                    <xdr:col>5</xdr:col>
                    <xdr:colOff>1752600</xdr:colOff>
                    <xdr:row>108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123" name="Check Box 373">
              <controlPr locked="0" defaultSize="0" autoFill="0" autoLine="0" autoPict="0">
                <anchor moveWithCells="1">
                  <from>
                    <xdr:col>5</xdr:col>
                    <xdr:colOff>28575</xdr:colOff>
                    <xdr:row>87</xdr:row>
                    <xdr:rowOff>180975</xdr:rowOff>
                  </from>
                  <to>
                    <xdr:col>5</xdr:col>
                    <xdr:colOff>1752600</xdr:colOff>
                    <xdr:row>88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124" name="Check Box 378">
              <controlPr locked="0" defaultSize="0" autoFill="0" autoLine="0" autoPict="0">
                <anchor moveWithCells="1">
                  <from>
                    <xdr:col>5</xdr:col>
                    <xdr:colOff>9525</xdr:colOff>
                    <xdr:row>12</xdr:row>
                    <xdr:rowOff>200025</xdr:rowOff>
                  </from>
                  <to>
                    <xdr:col>5</xdr:col>
                    <xdr:colOff>1800225</xdr:colOff>
                    <xdr:row>14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B17" sqref="B17"/>
    </sheetView>
  </sheetViews>
  <sheetFormatPr defaultColWidth="8.85546875" defaultRowHeight="15" x14ac:dyDescent="0.25"/>
  <cols>
    <col min="1" max="1" width="6.5703125" style="7" bestFit="1" customWidth="1"/>
    <col min="2" max="5" width="48.42578125" style="7" customWidth="1"/>
    <col min="6" max="16384" width="8.85546875" style="7"/>
  </cols>
  <sheetData>
    <row r="1" spans="1:5" ht="16.5" thickBot="1" x14ac:dyDescent="0.3">
      <c r="A1" s="4"/>
      <c r="B1" s="5" t="s">
        <v>132</v>
      </c>
      <c r="C1" s="5" t="s">
        <v>133</v>
      </c>
      <c r="D1" s="5" t="s">
        <v>134</v>
      </c>
      <c r="E1" s="6" t="s">
        <v>135</v>
      </c>
    </row>
    <row r="2" spans="1:5" ht="22.35" customHeight="1" x14ac:dyDescent="0.25">
      <c r="A2" s="8">
        <v>1</v>
      </c>
      <c r="B2" s="1" t="s">
        <v>136</v>
      </c>
      <c r="C2" s="9" t="s">
        <v>161</v>
      </c>
      <c r="D2" s="10" t="s">
        <v>162</v>
      </c>
      <c r="E2" s="11" t="s">
        <v>163</v>
      </c>
    </row>
    <row r="3" spans="1:5" ht="22.35" customHeight="1" x14ac:dyDescent="0.25">
      <c r="A3" s="12">
        <v>2</v>
      </c>
      <c r="B3" s="2" t="s">
        <v>137</v>
      </c>
      <c r="C3" s="13" t="s">
        <v>164</v>
      </c>
      <c r="D3" s="14" t="s">
        <v>165</v>
      </c>
      <c r="E3" s="15" t="s">
        <v>166</v>
      </c>
    </row>
    <row r="4" spans="1:5" ht="22.35" customHeight="1" x14ac:dyDescent="0.25">
      <c r="A4" s="12">
        <v>3</v>
      </c>
      <c r="B4" s="2" t="s">
        <v>138</v>
      </c>
      <c r="C4" s="13" t="s">
        <v>167</v>
      </c>
      <c r="D4" s="14" t="s">
        <v>168</v>
      </c>
      <c r="E4" s="15" t="s">
        <v>169</v>
      </c>
    </row>
    <row r="5" spans="1:5" ht="22.35" customHeight="1" x14ac:dyDescent="0.25">
      <c r="A5" s="12">
        <v>4</v>
      </c>
      <c r="B5" s="2" t="s">
        <v>139</v>
      </c>
      <c r="C5" s="13" t="s">
        <v>170</v>
      </c>
      <c r="D5" s="14" t="s">
        <v>171</v>
      </c>
      <c r="E5" s="15" t="s">
        <v>172</v>
      </c>
    </row>
    <row r="6" spans="1:5" ht="22.35" customHeight="1" x14ac:dyDescent="0.25">
      <c r="A6" s="12">
        <v>5</v>
      </c>
      <c r="B6" s="2" t="s">
        <v>140</v>
      </c>
      <c r="C6" s="13" t="s">
        <v>173</v>
      </c>
      <c r="D6" s="14" t="s">
        <v>174</v>
      </c>
      <c r="E6" s="15" t="s">
        <v>175</v>
      </c>
    </row>
    <row r="7" spans="1:5" ht="22.35" customHeight="1" x14ac:dyDescent="0.25">
      <c r="A7" s="12">
        <v>6</v>
      </c>
      <c r="B7" s="2" t="s">
        <v>141</v>
      </c>
      <c r="C7" s="13" t="s">
        <v>176</v>
      </c>
      <c r="D7" s="14" t="s">
        <v>177</v>
      </c>
      <c r="E7" s="15" t="s">
        <v>178</v>
      </c>
    </row>
    <row r="8" spans="1:5" ht="22.35" customHeight="1" x14ac:dyDescent="0.25">
      <c r="A8" s="12">
        <v>7</v>
      </c>
      <c r="B8" s="2" t="s">
        <v>142</v>
      </c>
      <c r="C8" s="13" t="s">
        <v>179</v>
      </c>
      <c r="D8" s="14" t="s">
        <v>180</v>
      </c>
      <c r="E8" s="15" t="s">
        <v>181</v>
      </c>
    </row>
    <row r="9" spans="1:5" ht="22.35" customHeight="1" x14ac:dyDescent="0.25">
      <c r="A9" s="12">
        <v>8</v>
      </c>
      <c r="B9" s="2" t="s">
        <v>143</v>
      </c>
      <c r="C9" s="13" t="s">
        <v>182</v>
      </c>
      <c r="D9" s="14" t="s">
        <v>183</v>
      </c>
      <c r="E9" s="15" t="s">
        <v>184</v>
      </c>
    </row>
    <row r="10" spans="1:5" ht="22.35" customHeight="1" x14ac:dyDescent="0.25">
      <c r="A10" s="12">
        <v>9</v>
      </c>
      <c r="B10" s="2" t="s">
        <v>144</v>
      </c>
      <c r="C10" s="13" t="s">
        <v>185</v>
      </c>
      <c r="D10" s="14" t="s">
        <v>186</v>
      </c>
      <c r="E10" s="15" t="s">
        <v>187</v>
      </c>
    </row>
    <row r="11" spans="1:5" ht="22.35" customHeight="1" x14ac:dyDescent="0.25">
      <c r="A11" s="12">
        <v>10</v>
      </c>
      <c r="B11" s="2" t="s">
        <v>145</v>
      </c>
      <c r="C11" s="13" t="s">
        <v>188</v>
      </c>
      <c r="D11" s="14" t="s">
        <v>189</v>
      </c>
      <c r="E11" s="15" t="s">
        <v>190</v>
      </c>
    </row>
    <row r="12" spans="1:5" ht="22.35" customHeight="1" x14ac:dyDescent="0.25">
      <c r="A12" s="12">
        <v>11</v>
      </c>
      <c r="B12" s="2" t="s">
        <v>146</v>
      </c>
      <c r="C12" s="13" t="s">
        <v>191</v>
      </c>
      <c r="D12" s="14" t="s">
        <v>192</v>
      </c>
      <c r="E12" s="15" t="s">
        <v>193</v>
      </c>
    </row>
    <row r="13" spans="1:5" ht="22.35" customHeight="1" x14ac:dyDescent="0.25">
      <c r="A13" s="12">
        <v>12</v>
      </c>
      <c r="B13" s="2" t="s">
        <v>147</v>
      </c>
      <c r="C13" s="13" t="s">
        <v>194</v>
      </c>
      <c r="D13" s="14" t="s">
        <v>195</v>
      </c>
      <c r="E13" s="15" t="s">
        <v>196</v>
      </c>
    </row>
    <row r="14" spans="1:5" ht="22.35" customHeight="1" x14ac:dyDescent="0.25">
      <c r="A14" s="12">
        <v>13</v>
      </c>
      <c r="B14" s="2" t="s">
        <v>148</v>
      </c>
      <c r="C14" s="13" t="s">
        <v>197</v>
      </c>
      <c r="D14" s="14" t="s">
        <v>198</v>
      </c>
      <c r="E14" s="15" t="s">
        <v>199</v>
      </c>
    </row>
    <row r="15" spans="1:5" ht="22.35" customHeight="1" x14ac:dyDescent="0.25">
      <c r="A15" s="12">
        <v>14</v>
      </c>
      <c r="B15" s="2" t="s">
        <v>149</v>
      </c>
      <c r="C15" s="13" t="s">
        <v>200</v>
      </c>
      <c r="D15" s="14" t="s">
        <v>201</v>
      </c>
      <c r="E15" s="15" t="s">
        <v>202</v>
      </c>
    </row>
    <row r="16" spans="1:5" ht="22.35" customHeight="1" x14ac:dyDescent="0.25">
      <c r="A16" s="12">
        <v>15</v>
      </c>
      <c r="B16" s="2" t="s">
        <v>150</v>
      </c>
      <c r="C16" s="13" t="s">
        <v>203</v>
      </c>
      <c r="D16" s="14" t="s">
        <v>204</v>
      </c>
      <c r="E16" s="15" t="s">
        <v>205</v>
      </c>
    </row>
    <row r="17" spans="1:5" ht="22.35" customHeight="1" x14ac:dyDescent="0.25">
      <c r="A17" s="12">
        <v>16</v>
      </c>
      <c r="B17" s="2" t="s">
        <v>151</v>
      </c>
      <c r="C17" s="13" t="s">
        <v>206</v>
      </c>
      <c r="D17" s="14" t="s">
        <v>207</v>
      </c>
      <c r="E17" s="15" t="s">
        <v>208</v>
      </c>
    </row>
    <row r="18" spans="1:5" ht="22.35" customHeight="1" x14ac:dyDescent="0.25">
      <c r="A18" s="12">
        <v>17</v>
      </c>
      <c r="B18" s="2" t="s">
        <v>152</v>
      </c>
      <c r="C18" s="13" t="s">
        <v>209</v>
      </c>
      <c r="D18" s="14" t="s">
        <v>210</v>
      </c>
      <c r="E18" s="15" t="s">
        <v>211</v>
      </c>
    </row>
    <row r="19" spans="1:5" ht="22.35" customHeight="1" x14ac:dyDescent="0.25">
      <c r="A19" s="12">
        <v>18</v>
      </c>
      <c r="B19" s="2" t="s">
        <v>153</v>
      </c>
      <c r="C19" s="13" t="s">
        <v>212</v>
      </c>
      <c r="D19" s="14" t="s">
        <v>213</v>
      </c>
      <c r="E19" s="15" t="s">
        <v>214</v>
      </c>
    </row>
    <row r="20" spans="1:5" ht="22.35" customHeight="1" x14ac:dyDescent="0.25">
      <c r="A20" s="12">
        <v>19</v>
      </c>
      <c r="B20" s="2" t="s">
        <v>154</v>
      </c>
      <c r="C20" s="13" t="s">
        <v>215</v>
      </c>
      <c r="D20" s="14" t="s">
        <v>216</v>
      </c>
      <c r="E20" s="15" t="s">
        <v>217</v>
      </c>
    </row>
    <row r="21" spans="1:5" ht="22.35" customHeight="1" x14ac:dyDescent="0.25">
      <c r="A21" s="12">
        <v>20</v>
      </c>
      <c r="B21" s="2" t="s">
        <v>155</v>
      </c>
      <c r="C21" s="13" t="s">
        <v>218</v>
      </c>
      <c r="D21" s="14" t="s">
        <v>219</v>
      </c>
      <c r="E21" s="15" t="s">
        <v>220</v>
      </c>
    </row>
    <row r="22" spans="1:5" ht="22.35" customHeight="1" x14ac:dyDescent="0.25">
      <c r="A22" s="12">
        <v>21</v>
      </c>
      <c r="B22" s="2" t="s">
        <v>156</v>
      </c>
      <c r="C22" s="13" t="s">
        <v>221</v>
      </c>
      <c r="D22" s="14" t="s">
        <v>222</v>
      </c>
      <c r="E22" s="15" t="s">
        <v>223</v>
      </c>
    </row>
    <row r="23" spans="1:5" ht="22.35" customHeight="1" x14ac:dyDescent="0.25">
      <c r="A23" s="12">
        <v>22</v>
      </c>
      <c r="B23" s="2" t="s">
        <v>157</v>
      </c>
      <c r="C23" s="13" t="s">
        <v>224</v>
      </c>
      <c r="D23" s="14" t="s">
        <v>225</v>
      </c>
      <c r="E23" s="15" t="s">
        <v>226</v>
      </c>
    </row>
    <row r="24" spans="1:5" ht="22.35" customHeight="1" x14ac:dyDescent="0.25">
      <c r="A24" s="12">
        <v>23</v>
      </c>
      <c r="B24" s="2" t="s">
        <v>158</v>
      </c>
      <c r="C24" s="13" t="s">
        <v>227</v>
      </c>
      <c r="D24" s="14" t="s">
        <v>228</v>
      </c>
      <c r="E24" s="15" t="s">
        <v>229</v>
      </c>
    </row>
    <row r="25" spans="1:5" ht="22.35" customHeight="1" x14ac:dyDescent="0.25">
      <c r="A25" s="12">
        <v>24</v>
      </c>
      <c r="B25" s="2" t="s">
        <v>159</v>
      </c>
      <c r="C25" s="13" t="s">
        <v>230</v>
      </c>
      <c r="D25" s="14" t="s">
        <v>231</v>
      </c>
      <c r="E25" s="15" t="s">
        <v>232</v>
      </c>
    </row>
    <row r="26" spans="1:5" ht="22.35" customHeight="1" thickBot="1" x14ac:dyDescent="0.3">
      <c r="A26" s="16">
        <v>25</v>
      </c>
      <c r="B26" s="3" t="s">
        <v>160</v>
      </c>
      <c r="C26" s="17" t="s">
        <v>233</v>
      </c>
      <c r="D26" s="18" t="s">
        <v>234</v>
      </c>
      <c r="E26" s="19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C9" sqref="C9"/>
    </sheetView>
  </sheetViews>
  <sheetFormatPr defaultRowHeight="15" x14ac:dyDescent="0.25"/>
  <sheetData>
    <row r="1" spans="1:2" x14ac:dyDescent="0.25">
      <c r="A1" s="23" t="s">
        <v>128</v>
      </c>
      <c r="B1" s="23">
        <f>IF(COUNTIF(Questionaire!$I$10:$I$109,'Colour table'!$A$1)+COUNTIF(Questionaire!$I$10:$I$109,'Colour table'!$A$2)+COUNTIF(Questionaire!$I$10:$I$109,'Colour table'!$A$3)+COUNTIF(Questionaire!$I$10:$I$109,'Colour table'!$A$4)&gt;25,0,IF(COUNTIF(Questionaire!$I$10:$I$109,'Colour table'!$A$1)+COUNTIF(Questionaire!$I$10:$I$109,'Colour table'!$A$2)+COUNTIF(Questionaire!$I$10:$I$109,'Colour table'!$A$3)+COUNTIF(Questionaire!$I$10:$I$109,'Colour table'!$A$4)&lt;25,0,(COUNTIF(Questionaire!$I$10:$I$109,'Colour table'!A1))))</f>
        <v>8</v>
      </c>
    </row>
    <row r="2" spans="1:2" x14ac:dyDescent="0.25">
      <c r="A2" s="23" t="s">
        <v>129</v>
      </c>
      <c r="B2" s="23">
        <f>IF(COUNTIF(Questionaire!$I$10:$I$109,'Colour table'!$A$1)+COUNTIF(Questionaire!$I$10:$I$109,'Colour table'!$A$2)+COUNTIF(Questionaire!$I$10:$I$109,'Colour table'!$A$3)+COUNTIF(Questionaire!$I$10:$I$109,'Colour table'!$A$4)&gt;25,0,IF(COUNTIF(Questionaire!$I$10:$I$109,'Colour table'!$A$1)+COUNTIF(Questionaire!$I$10:$I$109,'Colour table'!$A$2)+COUNTIF(Questionaire!$I$10:$I$109,'Colour table'!$A$3)+COUNTIF(Questionaire!$I$10:$I$109,'Colour table'!$A$4)&lt;25,0,(COUNTIF(Questionaire!$I$10:$I$109,'Colour table'!A2))))</f>
        <v>4</v>
      </c>
    </row>
    <row r="3" spans="1:2" x14ac:dyDescent="0.25">
      <c r="A3" s="23" t="s">
        <v>130</v>
      </c>
      <c r="B3" s="23">
        <f>IF(COUNTIF(Questionaire!$I$10:$I$109,'Colour table'!$A$1)+COUNTIF(Questionaire!$I$10:$I$109,'Colour table'!$A$2)+COUNTIF(Questionaire!$I$10:$I$109,'Colour table'!$A$3)+COUNTIF(Questionaire!$I$10:$I$109,'Colour table'!$A$4)&gt;25,0,IF(COUNTIF(Questionaire!$I$10:$I$109,'Colour table'!$A$1)+COUNTIF(Questionaire!$I$10:$I$109,'Colour table'!$A$2)+COUNTIF(Questionaire!$I$10:$I$109,'Colour table'!$A$3)+COUNTIF(Questionaire!$I$10:$I$109,'Colour table'!$A$4)&lt;25,0,(COUNTIF(Questionaire!$I$10:$I$109,'Colour table'!A3))))</f>
        <v>10</v>
      </c>
    </row>
    <row r="4" spans="1:2" x14ac:dyDescent="0.25">
      <c r="A4" s="23" t="s">
        <v>131</v>
      </c>
      <c r="B4" s="23">
        <f>IF(COUNTIF(Questionaire!$I$10:$I$109,'Colour table'!$A$1)+COUNTIF(Questionaire!$I$10:$I$109,'Colour table'!$A$2)+COUNTIF(Questionaire!$I$10:$I$109,'Colour table'!$A$3)+COUNTIF(Questionaire!$I$10:$I$109,'Colour table'!$A$4)&gt;25,0,IF(COUNTIF(Questionaire!$I$10:$I$109,'Colour table'!$A$1)+COUNTIF(Questionaire!$I$10:$I$109,'Colour table'!$A$2)+COUNTIF(Questionaire!$I$10:$I$109,'Colour table'!$A$3)+COUNTIF(Questionaire!$I$10:$I$109,'Colour table'!$A$4)&lt;25,0,(COUNTIF(Questionaire!$I$10:$I$109,'Colour table'!A4))))</f>
        <v>3</v>
      </c>
    </row>
    <row r="5" spans="1:2" x14ac:dyDescent="0.25">
      <c r="A5" s="64" t="s">
        <v>244</v>
      </c>
      <c r="B5" s="64">
        <f>SUM(B1:B4)</f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Questionaire</vt:lpstr>
      <vt:lpstr>Scoring sheet</vt:lpstr>
      <vt:lpstr>Colour table</vt:lpstr>
      <vt:lpstr>Colour Chart</vt:lpstr>
      <vt:lpstr>Questionaire!Print_Area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Annells</dc:creator>
  <cp:lastModifiedBy>Bryan Blair</cp:lastModifiedBy>
  <cp:lastPrinted>2017-12-08T17:11:46Z</cp:lastPrinted>
  <dcterms:created xsi:type="dcterms:W3CDTF">2017-12-08T13:48:29Z</dcterms:created>
  <dcterms:modified xsi:type="dcterms:W3CDTF">2024-05-23T20:41:04Z</dcterms:modified>
</cp:coreProperties>
</file>