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wyndenstark-my.sharepoint.com/personal/bryan_blair_gqr_com/Documents/Knowledge Base/"/>
    </mc:Choice>
  </mc:AlternateContent>
  <xr:revisionPtr revIDLastSave="1447" documentId="8_{9DA607FF-9BFF-4D88-9ADF-66D4CD9F2DA1}" xr6:coauthVersionLast="47" xr6:coauthVersionMax="47" xr10:uidLastSave="{D35ECC5D-7B05-4418-A427-3F9096D4379F}"/>
  <bookViews>
    <workbookView xWindow="3660" yWindow="2505" windowWidth="21600" windowHeight="11295" firstSheet="3" activeTab="4" xr2:uid="{649C51C7-A7BB-4BF3-8CAF-2A970C0E46DE}"/>
  </bookViews>
  <sheets>
    <sheet name="Dashboard" sheetId="6" r:id="rId1"/>
    <sheet name="Submissions" sheetId="1" r:id="rId2"/>
    <sheet name="Job Orders" sheetId="2" r:id="rId3"/>
    <sheet name="1st Interviews" sheetId="3" r:id="rId4"/>
    <sheet name="2nd Interviews" sheetId="4" r:id="rId5"/>
    <sheet name="Billings" sheetId="5" r:id="rId6"/>
    <sheet name="Claude Log"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8" i="5" l="1"/>
  <c r="D57" i="5"/>
  <c r="D33" i="5"/>
  <c r="F80" i="1"/>
  <c r="H32" i="4"/>
  <c r="G78" i="3"/>
  <c r="G32" i="2"/>
  <c r="F165" i="1"/>
  <c r="D37" i="6"/>
  <c r="D36" i="6"/>
  <c r="D35" i="6"/>
  <c r="D34" i="6"/>
  <c r="D33" i="6"/>
  <c r="D32" i="6"/>
  <c r="D31" i="6"/>
  <c r="D30" i="6"/>
  <c r="D29" i="6"/>
  <c r="D28" i="6"/>
  <c r="D27" i="6"/>
  <c r="I23" i="6"/>
  <c r="H23" i="6"/>
  <c r="G23" i="6"/>
  <c r="F23" i="6"/>
  <c r="E23" i="6"/>
  <c r="D23" i="6"/>
  <c r="C23" i="6"/>
  <c r="B23" i="6"/>
  <c r="J22" i="6"/>
  <c r="J21" i="6"/>
  <c r="J20" i="6"/>
  <c r="J19" i="6"/>
  <c r="J18" i="6"/>
  <c r="J17" i="6"/>
  <c r="J16" i="6"/>
  <c r="J15" i="6"/>
  <c r="C12" i="6"/>
  <c r="B12" i="6"/>
  <c r="C11" i="6"/>
  <c r="B11" i="6"/>
  <c r="C10" i="6"/>
  <c r="B10" i="6"/>
  <c r="D8" i="6"/>
  <c r="E7" i="6"/>
  <c r="D7" i="6"/>
  <c r="E6" i="6"/>
  <c r="D6" i="6"/>
  <c r="E5" i="6"/>
  <c r="D5" i="6"/>
  <c r="E4" i="6"/>
  <c r="D4" i="6"/>
  <c r="G15" i="2"/>
  <c r="H17" i="4"/>
  <c r="G42" i="3"/>
  <c r="J23" i="6" l="1"/>
  <c r="F7" i="6"/>
  <c r="D11" i="6"/>
  <c r="D10" i="6"/>
  <c r="F6" i="6"/>
  <c r="D12" i="6"/>
</calcChain>
</file>

<file path=xl/sharedStrings.xml><?xml version="1.0" encoding="utf-8"?>
<sst xmlns="http://schemas.openxmlformats.org/spreadsheetml/2006/main" count="1127" uniqueCount="342">
  <si>
    <t>Created Date</t>
  </si>
  <si>
    <t>Owner</t>
  </si>
  <si>
    <t>Candidate</t>
  </si>
  <si>
    <t>Client</t>
  </si>
  <si>
    <t>Job Title</t>
  </si>
  <si>
    <t>Totals</t>
  </si>
  <si>
    <t>Bryan Blair</t>
  </si>
  <si>
    <t>Keith Tode</t>
  </si>
  <si>
    <t>Xellar Biosystems</t>
  </si>
  <si>
    <t>Vice President / Senior Vice President, Business Development</t>
  </si>
  <si>
    <t>Kevin Lee</t>
  </si>
  <si>
    <t>David Donnelly</t>
  </si>
  <si>
    <t>Actinium Pharmaceuticals</t>
  </si>
  <si>
    <t>Sr Director, Radiopharmacology</t>
  </si>
  <si>
    <t>Aaron Jay</t>
  </si>
  <si>
    <t>Joelle Silva</t>
  </si>
  <si>
    <t>Newleos Therapeutics</t>
  </si>
  <si>
    <t>Director, Program Management</t>
  </si>
  <si>
    <t>Alison Hardiman</t>
  </si>
  <si>
    <t>Jacob Kach</t>
  </si>
  <si>
    <t>Asante Lewis</t>
  </si>
  <si>
    <t>IDEAYA Biosciences</t>
  </si>
  <si>
    <t>Sr. Clinical Data Manager</t>
  </si>
  <si>
    <t>Rhonda Hines</t>
  </si>
  <si>
    <t>Contract Sr. CTM</t>
  </si>
  <si>
    <t>Ade Oshad</t>
  </si>
  <si>
    <t>Arthrosi Therapeutics</t>
  </si>
  <si>
    <t>Senior CRA - Texas</t>
  </si>
  <si>
    <t>OLA ALIMI</t>
  </si>
  <si>
    <t>Nadia Farrag</t>
  </si>
  <si>
    <t>HUIMIN KONG</t>
  </si>
  <si>
    <t>Imen ELLOUMI-HANNACHI</t>
  </si>
  <si>
    <t>Ming Der Yu</t>
  </si>
  <si>
    <t>Senior / Principal Scientist, Radiochemistry</t>
  </si>
  <si>
    <t>Sherry Kupchick</t>
  </si>
  <si>
    <t>Clinical Operations Regional Lead</t>
  </si>
  <si>
    <t>Biosample Operations Manager</t>
  </si>
  <si>
    <t>Chuck Ijioma</t>
  </si>
  <si>
    <t>Anbu Arumugham</t>
  </si>
  <si>
    <t>Associate Director, Data Standard &amp; Statistical Programming (Contractor)</t>
  </si>
  <si>
    <t>Ashok Ganta</t>
  </si>
  <si>
    <t>KRYSTAL HURTAULT</t>
  </si>
  <si>
    <t>Sr. Clinical Database Programmer</t>
  </si>
  <si>
    <t>Leonid Kharin</t>
  </si>
  <si>
    <t>Karyopharm Therapeutics</t>
  </si>
  <si>
    <t>Contract Medical Director</t>
  </si>
  <si>
    <t>Robert Sarhan</t>
  </si>
  <si>
    <t>SHIMIN WEI</t>
  </si>
  <si>
    <t>Medical Director, Clinical Development</t>
  </si>
  <si>
    <t>CAROLYN SANON</t>
  </si>
  <si>
    <t>Chiagoziem Ogbonnaya</t>
  </si>
  <si>
    <t>JODIE BRICE</t>
  </si>
  <si>
    <t>Sr. Clinical Data Manager (Feb 2026)</t>
  </si>
  <si>
    <t>David Joni</t>
  </si>
  <si>
    <t>Job ID</t>
  </si>
  <si>
    <t>Job Type</t>
  </si>
  <si>
    <t>Structure Therapeutics</t>
  </si>
  <si>
    <t>QC Specialist, Data Migration</t>
  </si>
  <si>
    <t>Perm</t>
  </si>
  <si>
    <t>Contract - W2</t>
  </si>
  <si>
    <t>Interview Date</t>
  </si>
  <si>
    <t>Reunion Neuroscience</t>
  </si>
  <si>
    <t>QA Document Control Manager</t>
  </si>
  <si>
    <t>James King</t>
  </si>
  <si>
    <t>Nicole Leinders</t>
  </si>
  <si>
    <t>Senior Manager, Medical Writer Contractor</t>
  </si>
  <si>
    <t>Mark Mitchell</t>
  </si>
  <si>
    <t>CRM Interview Type</t>
  </si>
  <si>
    <t>2nd Interview</t>
  </si>
  <si>
    <t>GCP SOP Writer</t>
  </si>
  <si>
    <t>Contract C2C</t>
  </si>
  <si>
    <t>Catherine Lajara</t>
  </si>
  <si>
    <t>Hiromasa Aono</t>
  </si>
  <si>
    <t>PEGGY TENG</t>
  </si>
  <si>
    <t>Babu Kunnel</t>
  </si>
  <si>
    <t>Apogee Therapeutics</t>
  </si>
  <si>
    <t>Senior Director, Quality Control Analytical Sciences</t>
  </si>
  <si>
    <t>Cathi Puglisi</t>
  </si>
  <si>
    <t>Elizabeth Earley</t>
  </si>
  <si>
    <t>Lina Genovesi</t>
  </si>
  <si>
    <t>Aaslesha Donepudi</t>
  </si>
  <si>
    <t>Ionis Pharmaceuticals</t>
  </si>
  <si>
    <t>Associate Director/Director, Patient Safety Operations</t>
  </si>
  <si>
    <t>Sreedhar Barigala</t>
  </si>
  <si>
    <t>Soratree Charoenthongtrakul</t>
  </si>
  <si>
    <t>Nektar Therapeutics</t>
  </si>
  <si>
    <t>Associate Director, Clinical Scientist</t>
  </si>
  <si>
    <t>April Koloski</t>
  </si>
  <si>
    <t>BRENDAN BURNS</t>
  </si>
  <si>
    <t>Mith Chorn</t>
  </si>
  <si>
    <t>Nasim Ghanavizchian</t>
  </si>
  <si>
    <t>Deborah Quigley</t>
  </si>
  <si>
    <t>Elizabeth Dirsa</t>
  </si>
  <si>
    <t>Marna Grim</t>
  </si>
  <si>
    <t>Christine Felice</t>
  </si>
  <si>
    <t>Wave Life Sciences - One Beacon</t>
  </si>
  <si>
    <t>Associate Director CMC &amp; Technical Writer</t>
  </si>
  <si>
    <t>Diego Umpierrez</t>
  </si>
  <si>
    <t>Senior Director, Regulatory Affairs Consultant</t>
  </si>
  <si>
    <t>Sharon Turner-Rinehardt</t>
  </si>
  <si>
    <t>Alexander Mandel</t>
  </si>
  <si>
    <t>Kaveh Matinkhoo</t>
  </si>
  <si>
    <t>Amisha Nair</t>
  </si>
  <si>
    <t>Ahalya Viswanathan</t>
  </si>
  <si>
    <t>JULIE POORE</t>
  </si>
  <si>
    <t>Samantha Soloway</t>
  </si>
  <si>
    <t>Claire Hanciles</t>
  </si>
  <si>
    <t>TAMIKA THOMAS</t>
  </si>
  <si>
    <t>Sara Kivolowitz</t>
  </si>
  <si>
    <t>ANN SUHADOLNIK</t>
  </si>
  <si>
    <t>Ashlee Brito</t>
  </si>
  <si>
    <t>Heather Butters</t>
  </si>
  <si>
    <t>Kevin Nickl</t>
  </si>
  <si>
    <t>Kimberly Rogers</t>
  </si>
  <si>
    <t>ANTHONY ELIA</t>
  </si>
  <si>
    <t>HEIDI SCHUELLER</t>
  </si>
  <si>
    <t>MAUREEN QUIRK</t>
  </si>
  <si>
    <t>Sara Bowditch</t>
  </si>
  <si>
    <t>Vivan Tran</t>
  </si>
  <si>
    <t>JASMINE COTES</t>
  </si>
  <si>
    <t>Senior Manager/ Assistant Director, Pharmacovigilance Agreement Manager</t>
  </si>
  <si>
    <t>REBECCA AMOS</t>
  </si>
  <si>
    <t>Senior Stats Programmer</t>
  </si>
  <si>
    <t>June Lee</t>
  </si>
  <si>
    <t>LIQIANG HE</t>
  </si>
  <si>
    <t>Mujahid Khan</t>
  </si>
  <si>
    <t>BO WANG</t>
  </si>
  <si>
    <t>Qiuyan Zhao</t>
  </si>
  <si>
    <t>Nikunj Bhatt</t>
  </si>
  <si>
    <t>RÜDIGER EXNER</t>
  </si>
  <si>
    <t>Sai Sharma</t>
  </si>
  <si>
    <t>XIAOXI LING</t>
  </si>
  <si>
    <t>Janice Wong</t>
  </si>
  <si>
    <t>Alkermes</t>
  </si>
  <si>
    <t>Medical Director, Clinical Development (Neurology)</t>
  </si>
  <si>
    <t>Denise Wade</t>
  </si>
  <si>
    <t>Senior CRA - Metro DC</t>
  </si>
  <si>
    <t>Gbemi Egunwale</t>
  </si>
  <si>
    <t>Joshua Kwawuvi</t>
  </si>
  <si>
    <t>APRIL BLAIR</t>
  </si>
  <si>
    <t>Angela Mandell</t>
  </si>
  <si>
    <t>Dot Ademola</t>
  </si>
  <si>
    <t>Praise Adigun</t>
  </si>
  <si>
    <t>Rizwana Nouman</t>
  </si>
  <si>
    <t>Alexandria Reed</t>
  </si>
  <si>
    <t>Sophia Cromwell</t>
  </si>
  <si>
    <t>Lydia Swanson</t>
  </si>
  <si>
    <t>KONSTANTIN ZUBOVSKIY</t>
  </si>
  <si>
    <t>Nathalie Goletiani</t>
  </si>
  <si>
    <t>Stefanie Grotkin</t>
  </si>
  <si>
    <t>Septerna</t>
  </si>
  <si>
    <t>Director/Senior Director GCP Quality</t>
  </si>
  <si>
    <t>null</t>
  </si>
  <si>
    <t>Rachel Klaiman</t>
  </si>
  <si>
    <t>Miranda Abila</t>
  </si>
  <si>
    <t>Regina Eze</t>
  </si>
  <si>
    <t>Charity Cimmino</t>
  </si>
  <si>
    <t>Kiniksa Pharmaceuticals</t>
  </si>
  <si>
    <t>Associate Director, Patient Access Lead</t>
  </si>
  <si>
    <t>Karen Millett</t>
  </si>
  <si>
    <t>Lauren Martino</t>
  </si>
  <si>
    <t>Daniel Yee</t>
  </si>
  <si>
    <t>Manuel Paredes</t>
  </si>
  <si>
    <t>Tamara Gattie</t>
  </si>
  <si>
    <t>Gordon Bedford</t>
  </si>
  <si>
    <t>Jean-Claire MINGAO</t>
  </si>
  <si>
    <t>Mujde Evizi</t>
  </si>
  <si>
    <t>Beam Therapeutics</t>
  </si>
  <si>
    <t>Associate Director, IT Business Partner G&amp;A</t>
  </si>
  <si>
    <t>EMILY CHAVES</t>
  </si>
  <si>
    <t>David DeWitt</t>
  </si>
  <si>
    <t>Jake Olson-McConley</t>
  </si>
  <si>
    <t>CHRIS BURKMON</t>
  </si>
  <si>
    <t>Phanidhara Kotamraj</t>
  </si>
  <si>
    <t>VI GAST</t>
  </si>
  <si>
    <t>Carmilia Ramirez</t>
  </si>
  <si>
    <t>Padmini Rao</t>
  </si>
  <si>
    <t>Billing Value</t>
  </si>
  <si>
    <t>Kpi Date</t>
  </si>
  <si>
    <t>Head of Regulatory</t>
  </si>
  <si>
    <t>Tammy Phinney</t>
  </si>
  <si>
    <t>Vendor Oversight Manager</t>
  </si>
  <si>
    <t>Annie Hubbell</t>
  </si>
  <si>
    <t>Associate Director Regulatory Affairs Contractor</t>
  </si>
  <si>
    <t>Aanal Patel</t>
  </si>
  <si>
    <t>VP, Artificial Intelligence and Machine Learning</t>
  </si>
  <si>
    <t>Xinwei Sher</t>
  </si>
  <si>
    <t>Entrada Therapeutics</t>
  </si>
  <si>
    <t>Manager, Financial Planning &amp; Analysis</t>
  </si>
  <si>
    <t>Michael Cantone</t>
  </si>
  <si>
    <t>Manager, GMP Quality Assurance</t>
  </si>
  <si>
    <t>Kjestine Cialdea</t>
  </si>
  <si>
    <t>RECRUITMENT ACTIVITY DASHBOARD — JAN–FEB 2026</t>
  </si>
  <si>
    <t>KPI SUMMARY</t>
  </si>
  <si>
    <t>January</t>
  </si>
  <si>
    <t>February</t>
  </si>
  <si>
    <t>Total</t>
  </si>
  <si>
    <t>MoM Change</t>
  </si>
  <si>
    <t>% of Pipeline</t>
  </si>
  <si>
    <t>Submissions</t>
  </si>
  <si>
    <t>—</t>
  </si>
  <si>
    <t>Job Orders</t>
  </si>
  <si>
    <t>1st Interviews</t>
  </si>
  <si>
    <t>2nd Interviews</t>
  </si>
  <si>
    <t>Billings ($)</t>
  </si>
  <si>
    <t>Conversion Ratios</t>
  </si>
  <si>
    <t xml:space="preserve">  Submission → 1st Interview</t>
  </si>
  <si>
    <t xml:space="preserve">  1st Interview → 2nd Interview</t>
  </si>
  <si>
    <t xml:space="preserve">  Submission → 2nd Interview</t>
  </si>
  <si>
    <t>ACTIVITY BY OWNER</t>
  </si>
  <si>
    <t>Submissions (Jan)</t>
  </si>
  <si>
    <t>Submissions (Feb)</t>
  </si>
  <si>
    <t>1st Int (Jan)</t>
  </si>
  <si>
    <t>1st Int (Feb)</t>
  </si>
  <si>
    <t>2nd Int (Jan)</t>
  </si>
  <si>
    <t>2nd Int (Feb)</t>
  </si>
  <si>
    <t>Total Activity</t>
  </si>
  <si>
    <t>TOTAL</t>
  </si>
  <si>
    <t>TOP CLIENTS BY SUBMISSIONS</t>
  </si>
  <si>
    <t>Jan</t>
  </si>
  <si>
    <t>Feb</t>
  </si>
  <si>
    <t>Wave Life Sciences</t>
  </si>
  <si>
    <t>Senior Manager, Clinical Supply Chain Contractor</t>
  </si>
  <si>
    <t>Tammy Ramirez</t>
  </si>
  <si>
    <t>Babalola Adigun</t>
  </si>
  <si>
    <t>Turn #</t>
  </si>
  <si>
    <t>Date</t>
  </si>
  <si>
    <t>User Request</t>
  </si>
  <si>
    <t>Action Taken</t>
  </si>
  <si>
    <t>Details</t>
  </si>
  <si>
    <t>Outcome</t>
  </si>
  <si>
    <t>User asked what to do with pasted Placement CRM data and Billings sheet</t>
  </si>
  <si>
    <t>Asked clarifying question about user intent</t>
  </si>
  <si>
    <t>Presented options: replace sheet, add new sheet, analyze, or other</t>
  </si>
  <si>
    <t>User said to ignore CRM data</t>
  </si>
  <si>
    <t>User asked to add February billings from pasted data to the Billings sheet</t>
  </si>
  <si>
    <t>Added 22 rows of Feb billing data to Billings sheet (rows 32-53)</t>
  </si>
  <si>
    <t>Extracted billing fields (Owner, Client, Job Title, Billing Value, Candidate) from pasted data. Used 2026/02/28 as KPI Date. Updated Totals formula from SUM(D2:D31) to SUM(D2:D53).</t>
  </si>
  <si>
    <t>Feb billings added. New total: $331,028.22 (was $191,097.11). Data in Billings!A32:F53</t>
  </si>
  <si>
    <t>Dusica Santos</t>
  </si>
  <si>
    <t>Farah Gowgani</t>
  </si>
  <si>
    <t>HAYA Therapeutics</t>
  </si>
  <si>
    <t>Director, Clinical Operations</t>
  </si>
  <si>
    <t>George Tkhinvaleli</t>
  </si>
  <si>
    <t>Executive Director, Clinical Quality Assurance</t>
  </si>
  <si>
    <t>JAMIE WILSON</t>
  </si>
  <si>
    <t>Jack Galvan</t>
  </si>
  <si>
    <t>Senior Clinical Research Associate</t>
  </si>
  <si>
    <t>John Harris</t>
  </si>
  <si>
    <t>LORNE CHEESEMAN</t>
  </si>
  <si>
    <t>Nick Duran</t>
  </si>
  <si>
    <t>Renee Riggs</t>
  </si>
  <si>
    <t>Sarah Silvers</t>
  </si>
  <si>
    <t>Ayelet Haran</t>
  </si>
  <si>
    <t>Vertex Pharmaceuticals</t>
  </si>
  <si>
    <t>Director, Market Access Transformation &amp; Strategic Marketing</t>
  </si>
  <si>
    <t>Mark McCullough</t>
  </si>
  <si>
    <t>Oluwabunmi Arowolo</t>
  </si>
  <si>
    <t>Deciphera Pharmaceuticals</t>
  </si>
  <si>
    <t>Manager, Clinical Science</t>
  </si>
  <si>
    <t>Director/Senior Director, Clinical Science</t>
  </si>
  <si>
    <t>RYAN MAJEWSKI</t>
  </si>
  <si>
    <t>Director, Channel Distribution Strategy</t>
  </si>
  <si>
    <t>Stephen Grant</t>
  </si>
  <si>
    <t>Yinka Ogundimu</t>
  </si>
  <si>
    <t>Zineb Bouzid</t>
  </si>
  <si>
    <t>Allison Eury</t>
  </si>
  <si>
    <t>Loi Luu</t>
  </si>
  <si>
    <t>Senior Manager Clinical Supplies Planning &amp; Logistics</t>
  </si>
  <si>
    <t>Anirban Chatterjee</t>
  </si>
  <si>
    <t>Anita Umesh</t>
  </si>
  <si>
    <t>Arpita Rathod</t>
  </si>
  <si>
    <t>Claudine Moore</t>
  </si>
  <si>
    <t>DOUG LEE</t>
  </si>
  <si>
    <t>Jennifer Nanni</t>
  </si>
  <si>
    <t>Julie Bacon</t>
  </si>
  <si>
    <t>Karinna Almodovar</t>
  </si>
  <si>
    <t>Linghui Zhang</t>
  </si>
  <si>
    <t>Michael Fenn</t>
  </si>
  <si>
    <t>Sharad Agarwal</t>
  </si>
  <si>
    <t>YELE KING</t>
  </si>
  <si>
    <t>Corrine Hunt</t>
  </si>
  <si>
    <t>Michelle Shaw</t>
  </si>
  <si>
    <t>Director, Market Access Strategy AMKD (inaxaplin)</t>
  </si>
  <si>
    <t>Angela Fairley-Messemer</t>
  </si>
  <si>
    <t>TMF Associate</t>
  </si>
  <si>
    <t>Antoinette Carty</t>
  </si>
  <si>
    <t>Erwin Montalvo</t>
  </si>
  <si>
    <t>Ivis Chaple Gore</t>
  </si>
  <si>
    <t>Justin Collaço</t>
  </si>
  <si>
    <t>Negar Aboonasrshiraz</t>
  </si>
  <si>
    <t>Nicolas Ninofranco</t>
  </si>
  <si>
    <t>PEDER SEGLUND</t>
  </si>
  <si>
    <t>POOJA GANDHI</t>
  </si>
  <si>
    <t>Regina Figg</t>
  </si>
  <si>
    <t>Richa Buik</t>
  </si>
  <si>
    <t>Rowena Obedencio</t>
  </si>
  <si>
    <t>Senior CTA Contractor</t>
  </si>
  <si>
    <t>Steve Kendall</t>
  </si>
  <si>
    <t>TRACY DACHENHAUSEN</t>
  </si>
  <si>
    <t>Umara Ahmad</t>
  </si>
  <si>
    <t>ELIZABETH ZACHARIAH</t>
  </si>
  <si>
    <t>Libnir Telusca</t>
  </si>
  <si>
    <t>CINDY IP</t>
  </si>
  <si>
    <t>Kajal Patel</t>
  </si>
  <si>
    <t>Contract TMF Manager</t>
  </si>
  <si>
    <t>Kristine Barras</t>
  </si>
  <si>
    <t>Michael Medaglia</t>
  </si>
  <si>
    <t>Omo Ashaye</t>
  </si>
  <si>
    <t>PRISCILLA ROBERTSON</t>
  </si>
  <si>
    <t>RABIA CHOUDHARY</t>
  </si>
  <si>
    <t>Ryan Conley</t>
  </si>
  <si>
    <t>User pasted Feb submissions data (84 records) and asked to add to Submissions sheet</t>
  </si>
  <si>
    <t>Replaced partial Feb data (26 rows) with complete Feb submissions (84 rows) in Submissions sheet</t>
  </si>
  <si>
    <t>Cleared existing Feb section (rows 78-107), inserted rows, wrote 84 submission records in rows 79-161 organized by owner (Aaron Jay, Alison Hardiman, Allison Eury, Bryan Blair, Corrine Hunt, Kevin Lee, Lydia Swanson, Rachel Klaiman). Added Totals row at 162 with SUM formula. Kajal Patel has Totals=2, all others=1.</t>
  </si>
  <si>
    <t>Feb submissions added. Totals: 84 (row 162). Jan submissions unchanged at 77 (row 77). Sheet now has rows 1-162.</t>
  </si>
  <si>
    <t>Sr Med Director Patient Safety</t>
  </si>
  <si>
    <t>Insmed</t>
  </si>
  <si>
    <t>Sr. / Director Global Regulatory Affairs - Gene Therapy</t>
  </si>
  <si>
    <t>User pasted Feb job orders (15 records) and asked to add to Job Orders sheet</t>
  </si>
  <si>
    <t>Replaced partial Feb job orders (4 rows) with complete Feb data (15 rows) in Job Orders sheet</t>
  </si>
  <si>
    <t>Cleared existing Feb section (rows 15-19), inserted rows, wrote 15 job order records in rows 15-29. Owners: Aaron Jay (7 - all Structure Therapeutics), Alison Hardiman (1), Bryan Blair (3), Nicole Leinders (3), Rachel Klaiman (1). Added Totals row at 30 with SUM formula. Dates range from 2026/02/05 to 2026/02/27.</t>
  </si>
  <si>
    <t>Feb job orders added. Totals: 15 (row 30). Jan job orders unchanged at 12 (row 14). Sheet now has rows 1-30.</t>
  </si>
  <si>
    <t>User pasted Feb 1st interviews (34 records) and asked to add to 1st Interviews sheet</t>
  </si>
  <si>
    <t>Replaced partial Feb 1st interviews (7 rows) with complete Feb data (34 rows) in 1st Interviews sheet</t>
  </si>
  <si>
    <t>Cleared existing Feb section (rows 42-49), inserted rows, wrote 34 interview records in rows 42-75. Owners: Aaron Jay (8), Alison Hardiman (1), Bryan Blair (13), Kevin Lee (11), Lydia Swanson (1), Nicole Leinders (1), Rachel Klaiman (1). Dates range 2026/02/03 to 2026/03/02. Added Totals row at 76.</t>
  </si>
  <si>
    <t>Feb 1st interviews added. Totals: 34 (row 76). Jan unchanged at 39 (row 41). Sheet rows 1-76.</t>
  </si>
  <si>
    <t>User pasted Feb 2nd interviews (13 records) and asked to add to 2nd Interviews sheet</t>
  </si>
  <si>
    <t>Replaced partial Feb 2nd interviews (3 rows) with complete Feb data (13 rows) in 2nd Interviews sheet</t>
  </si>
  <si>
    <t>Cleared existing Feb section (rows 17-20), inserted rows, wrote 13 records in rows 17-29. Mapped pasted columns to existing sheet format (CRM Interview Type, Owner, Interview Date, Job Title, Job Type, Candidate, Totals) — omitted Client and Job ID columns from pasted data as they don't exist in sheet. Candidate column left blank (not in pasted data). Owners: Aaron Jay (3), Alison Hardiman (1), Bryan Blair (4), Kevin Lee (3), Lydia Swanson (1), Rachel Klaiman (1).</t>
  </si>
  <si>
    <t>Feb 2nd interviews added. Totals: 13 (row 30). Jan unchanged at 14 (row 16). Sheet rows 1-30.</t>
  </si>
  <si>
    <t>FEBRUARY</t>
  </si>
  <si>
    <t>JANUARY</t>
  </si>
  <si>
    <t>Grand Total</t>
  </si>
  <si>
    <t>User asked to polish the entire workbook to look professional and clean</t>
  </si>
  <si>
    <t>Comprehensive formatting overhaul across all 6 sheets</t>
  </si>
  <si>
    <t>1) Updated Dashboard Feb numbers (Submissions 84, Job Orders 15, 1st Int 34, 2nd Int 13, Billings $139,931). Updated Activity by Owner and Top Clients sections. 2) All data sheets: dark blue headers (#2F5496), frozen header rows, JANUARY/FEBRUARY section labels (light blue), green Totals rows (#E2EFDA), thin blue borders, auto-fit columns, consistent Aptos Narrow 11pt font. 3) Billings: added $currency formatting, cleared 'null' text values, added Jan/Feb subtotals + dark blue Grand Total row. 4) Tab order: Dashboard → Submissions → Job Orders → 1st/2nd Interviews → Billings → Claude Log. Tab colors added. 5) Fixed Submissions missing Tamara Gattie row and Jan Totals that were lost during label insertion.</t>
  </si>
  <si>
    <t>Workbook fully polished. Dashboard KPIs current. Grand Total billings: $331,028.22. All sheets have consistent professional formatting.</t>
  </si>
  <si>
    <t>User re-pasted Feb 2nd interviews with full data including Client and Candidate columns</t>
  </si>
  <si>
    <t>Added Client column (D) to 2nd Interviews sheet and populated Candidate + Client for all 13 Feb records</t>
  </si>
  <si>
    <t>Inserted new column D (Client) in 2nd Interviews sheet. Updated Feb rows 19-31 with Client names (Reunion Neuroscience, Structure Therapeutics, Newleos Therapeutics, Xellar Biosystems, Karyopharm Therapeutics, IDEAYA Biosciences, Alkermes, Kiniksa Pharmaceuticals) and Candidate names. Re-applied borders, totals row formatting, and auto-fit columns. Totals formulas auto-adjusted to column H.</t>
  </si>
  <si>
    <t>2nd Interviews now has 8 columns (A-H). Feb data complete with Client and Candidate. Totals: 13 (H32). Jan: 14 (H17).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</si>
</sst>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quot;$&quot;#,##0.00"/>
    <numFmt numFmtId="166" formatCode="0.0%"/>
    <numFmt numFmtId="167" formatCode="&quot;$&quot;#,##0"/>
  </numFmts>
  <fonts count="8" x14ac:knownFonts="1">
    <font>
      <sz val="11"/>
      <color theme="1"/>
      <name val="Aptos Narrow"/>
      <family val="2"/>
      <scheme val="minor"/>
    </font>
    <font>
      <b/>
      <sz val="11"/>
      <color rgb="FFFFFFFF"/>
      <name val="Aptos Narrow"/>
      <family val="2"/>
      <scheme val="minor"/>
    </font>
    <font>
      <b/>
      <sz val="11"/>
      <color rgb="FFFFFFFF"/>
      <name val="Aptos Narrow"/>
      <scheme val="minor"/>
    </font>
    <font>
      <sz val="11"/>
      <color theme="1"/>
      <name val="Aptos Narrow"/>
      <scheme val="minor"/>
    </font>
    <font>
      <b/>
      <sz val="11"/>
      <color theme="1"/>
      <name val="Aptos Narrow"/>
      <scheme val="minor"/>
    </font>
    <font>
      <b/>
      <sz val="14"/>
      <color rgb="FFFFFFFF"/>
      <name val="Aptos Narrow"/>
      <scheme val="minor"/>
    </font>
    <font>
      <b/>
      <sz val="10"/>
      <color rgb="FFFFFFFF"/>
      <name val="Aptos Narrow"/>
      <scheme val="minor"/>
    </font>
    <font>
      <b/>
      <sz val="11"/>
      <color rgb="FF2F5496"/>
      <name val="Aptos Narrow"/>
      <scheme val="minor"/>
    </font>
  </fonts>
  <fills count="6">
    <fill>
      <patternFill patternType="none"/>
    </fill>
    <fill>
      <patternFill patternType="gray125"/>
    </fill>
    <fill>
      <patternFill patternType="solid">
        <fgColor rgb="FF4472C4"/>
        <bgColor indexed="64"/>
      </patternFill>
    </fill>
    <fill>
      <patternFill patternType="solid">
        <fgColor rgb="FF2F5496"/>
        <bgColor indexed="64"/>
      </patternFill>
    </fill>
    <fill>
      <patternFill patternType="solid">
        <fgColor rgb="FFD6E4F0"/>
        <bgColor indexed="64"/>
      </patternFill>
    </fill>
    <fill>
      <patternFill patternType="solid">
        <fgColor rgb="FFE2EFDA"/>
        <bgColor indexed="64"/>
      </patternFill>
    </fill>
  </fills>
  <borders count="4">
    <border>
      <left/>
      <right/>
      <top/>
      <bottom/>
      <diagonal/>
    </border>
    <border>
      <left style="thin">
        <color rgb="FFD6E4F0"/>
      </left>
      <right style="thin">
        <color rgb="FFD6E4F0"/>
      </right>
      <top style="thin">
        <color rgb="FFD6E4F0"/>
      </top>
      <bottom style="thin">
        <color rgb="FFD6E4F0"/>
      </bottom>
      <diagonal/>
    </border>
    <border>
      <left style="thin">
        <color rgb="FFB4C6E7"/>
      </left>
      <right style="thin">
        <color rgb="FFB4C6E7"/>
      </right>
      <top style="thin">
        <color rgb="FFB4C6E7"/>
      </top>
      <bottom style="thin">
        <color rgb="FFB4C6E7"/>
      </bottom>
      <diagonal/>
    </border>
    <border>
      <left style="thin">
        <color rgb="FFB4C6E7"/>
      </left>
      <right style="thin">
        <color rgb="FFB4C6E7"/>
      </right>
      <top style="thin">
        <color rgb="FFB4C6E7"/>
      </top>
      <bottom/>
      <diagonal/>
    </border>
  </borders>
  <cellStyleXfs count="1">
    <xf numFmtId="0" fontId="0" fillId="0" borderId="0"/>
  </cellStyleXfs>
  <cellXfs count="44">
    <xf numFmtId="0" fontId="0" fillId="0" borderId="0" xfId="0"/>
    <xf numFmtId="0" fontId="0" fillId="0" borderId="0" xfId="0" applyAlignment="1">
      <alignment vertical="center"/>
    </xf>
    <xf numFmtId="0" fontId="1" fillId="2" borderId="0" xfId="0" applyFont="1" applyFill="1"/>
    <xf numFmtId="0" fontId="0" fillId="0" borderId="0" xfId="0" applyAlignment="1">
      <alignment vertical="top"/>
    </xf>
    <xf numFmtId="14" fontId="0" fillId="0" borderId="0" xfId="0" applyNumberFormat="1" applyAlignment="1">
      <alignment vertical="top"/>
    </xf>
    <xf numFmtId="0" fontId="1" fillId="3" borderId="0" xfId="0" applyFont="1" applyFill="1" applyAlignment="1">
      <alignment horizontal="center"/>
    </xf>
    <xf numFmtId="164" fontId="3" fillId="0" borderId="1" xfId="0" applyNumberFormat="1" applyFont="1" applyBorder="1"/>
    <xf numFmtId="0" fontId="3" fillId="0" borderId="1" xfId="0" applyFont="1" applyBorder="1"/>
    <xf numFmtId="0" fontId="4" fillId="0" borderId="1" xfId="0" applyFont="1" applyBorder="1"/>
    <xf numFmtId="0" fontId="4" fillId="5" borderId="1" xfId="0" applyFont="1" applyFill="1" applyBorder="1"/>
    <xf numFmtId="0" fontId="7" fillId="4" borderId="1" xfId="0" applyFont="1" applyFill="1" applyBorder="1"/>
    <xf numFmtId="0" fontId="4" fillId="4" borderId="1" xfId="0" applyFont="1" applyFill="1" applyBorder="1"/>
    <xf numFmtId="0" fontId="2" fillId="3" borderId="1" xfId="0" applyFont="1" applyFill="1" applyBorder="1" applyAlignment="1">
      <alignment horizontal="center"/>
    </xf>
    <xf numFmtId="0" fontId="7" fillId="4" borderId="1" xfId="0" applyFont="1" applyFill="1" applyBorder="1" applyAlignment="1">
      <alignment horizontal="center"/>
    </xf>
    <xf numFmtId="0" fontId="2" fillId="4" borderId="1" xfId="0" applyFont="1" applyFill="1" applyBorder="1" applyAlignment="1">
      <alignment horizontal="center"/>
    </xf>
    <xf numFmtId="165" fontId="3" fillId="0" borderId="1" xfId="0" applyNumberFormat="1" applyFont="1" applyBorder="1"/>
    <xf numFmtId="165" fontId="3" fillId="4" borderId="1" xfId="0" applyNumberFormat="1" applyFont="1" applyFill="1" applyBorder="1"/>
    <xf numFmtId="0" fontId="3" fillId="4" borderId="1" xfId="0" applyFont="1" applyFill="1" applyBorder="1"/>
    <xf numFmtId="165" fontId="4" fillId="5" borderId="1" xfId="0" applyNumberFormat="1" applyFont="1" applyFill="1" applyBorder="1"/>
    <xf numFmtId="164" fontId="4" fillId="5" borderId="1" xfId="0" applyNumberFormat="1" applyFont="1" applyFill="1" applyBorder="1"/>
    <xf numFmtId="164" fontId="7" fillId="4" borderId="1" xfId="0" applyNumberFormat="1" applyFont="1" applyFill="1" applyBorder="1"/>
    <xf numFmtId="164" fontId="3" fillId="4" borderId="1" xfId="0" applyNumberFormat="1" applyFont="1" applyFill="1" applyBorder="1"/>
    <xf numFmtId="0" fontId="5" fillId="3" borderId="0" xfId="0" applyFont="1" applyFill="1" applyAlignment="1">
      <alignment horizontal="center" vertical="center"/>
    </xf>
    <xf numFmtId="0" fontId="2" fillId="3" borderId="2" xfId="0" applyFont="1" applyFill="1" applyBorder="1" applyAlignment="1">
      <alignment horizontal="center"/>
    </xf>
    <xf numFmtId="0" fontId="4" fillId="0" borderId="2" xfId="0" applyFont="1" applyBorder="1"/>
    <xf numFmtId="0" fontId="3" fillId="0" borderId="2" xfId="0" applyFont="1" applyBorder="1" applyAlignment="1">
      <alignment horizontal="center"/>
    </xf>
    <xf numFmtId="0" fontId="4" fillId="0" borderId="2" xfId="0" applyFont="1" applyBorder="1" applyAlignment="1">
      <alignment horizontal="center"/>
    </xf>
    <xf numFmtId="166" fontId="3" fillId="0" borderId="2" xfId="0" applyNumberFormat="1" applyFont="1" applyBorder="1" applyAlignment="1">
      <alignment horizontal="center"/>
    </xf>
    <xf numFmtId="167" fontId="3" fillId="0" borderId="2" xfId="0" applyNumberFormat="1" applyFont="1" applyBorder="1" applyAlignment="1">
      <alignment horizontal="center"/>
    </xf>
    <xf numFmtId="0" fontId="4" fillId="0" borderId="3" xfId="0" applyFont="1" applyBorder="1"/>
    <xf numFmtId="167" fontId="3" fillId="0" borderId="3" xfId="0" applyNumberFormat="1" applyFont="1" applyBorder="1" applyAlignment="1">
      <alignment horizontal="center"/>
    </xf>
    <xf numFmtId="167" fontId="4" fillId="0" borderId="3" xfId="0" applyNumberFormat="1" applyFont="1" applyBorder="1" applyAlignment="1">
      <alignment horizontal="center"/>
    </xf>
    <xf numFmtId="0" fontId="1" fillId="3" borderId="2" xfId="0" applyFont="1" applyFill="1" applyBorder="1" applyAlignment="1">
      <alignment horizontal="center"/>
    </xf>
    <xf numFmtId="166" fontId="4" fillId="0" borderId="2" xfId="0" applyNumberFormat="1" applyFont="1" applyBorder="1" applyAlignment="1">
      <alignment horizontal="center"/>
    </xf>
    <xf numFmtId="0" fontId="6" fillId="3" borderId="2" xfId="0" applyFont="1" applyFill="1" applyBorder="1" applyAlignment="1">
      <alignment horizontal="center"/>
    </xf>
    <xf numFmtId="0" fontId="4" fillId="4" borderId="2" xfId="0" applyFont="1" applyFill="1" applyBorder="1"/>
    <xf numFmtId="0" fontId="4" fillId="4" borderId="2" xfId="0" applyFont="1" applyFill="1" applyBorder="1" applyAlignment="1">
      <alignment horizontal="center"/>
    </xf>
    <xf numFmtId="167" fontId="4" fillId="4" borderId="2" xfId="0" applyNumberFormat="1" applyFont="1" applyFill="1" applyBorder="1" applyAlignment="1">
      <alignment horizontal="center"/>
    </xf>
    <xf numFmtId="0" fontId="3" fillId="0" borderId="2" xfId="0" applyFont="1" applyBorder="1"/>
    <xf numFmtId="0" fontId="3" fillId="5" borderId="1" xfId="0" applyFont="1" applyFill="1" applyBorder="1"/>
    <xf numFmtId="164" fontId="3" fillId="5" borderId="1" xfId="0" applyNumberFormat="1" applyFont="1" applyFill="1" applyBorder="1"/>
    <xf numFmtId="0" fontId="2" fillId="3" borderId="1" xfId="0" applyFont="1" applyFill="1" applyBorder="1"/>
    <xf numFmtId="0" fontId="4" fillId="3" borderId="1" xfId="0" applyFont="1" applyFill="1" applyBorder="1"/>
    <xf numFmtId="165" fontId="2" fillId="3" borderId="1" xfId="0" applyNumberFormat="1"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Recruitment Pipeline (Jan vs Feb)</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Dashboard!$B$3</c:f>
              <c:strCache>
                <c:ptCount val="1"/>
                <c:pt idx="0">
                  <c:v>January</c:v>
                </c:pt>
              </c:strCache>
            </c:strRef>
          </c:tx>
          <c:spPr>
            <a:solidFill>
              <a:schemeClr val="accent1"/>
            </a:solidFill>
            <a:ln>
              <a:noFill/>
            </a:ln>
            <a:effectLst/>
          </c:spPr>
          <c:invertIfNegative val="0"/>
          <c:cat>
            <c:strRef>
              <c:f>Dashboard!$A$4:$A$8</c:f>
              <c:strCache>
                <c:ptCount val="5"/>
                <c:pt idx="0">
                  <c:v>Submissions</c:v>
                </c:pt>
                <c:pt idx="1">
                  <c:v>Job Orders</c:v>
                </c:pt>
                <c:pt idx="2">
                  <c:v>1st Interviews</c:v>
                </c:pt>
                <c:pt idx="3">
                  <c:v>2nd Interviews</c:v>
                </c:pt>
                <c:pt idx="4">
                  <c:v>Billings ($)</c:v>
                </c:pt>
              </c:strCache>
            </c:strRef>
          </c:cat>
          <c:val>
            <c:numRef>
              <c:f>Dashboard!$B$4:$B$8</c:f>
              <c:numCache>
                <c:formatCode>General</c:formatCode>
                <c:ptCount val="5"/>
                <c:pt idx="0">
                  <c:v>77</c:v>
                </c:pt>
                <c:pt idx="1">
                  <c:v>12</c:v>
                </c:pt>
                <c:pt idx="2">
                  <c:v>39</c:v>
                </c:pt>
                <c:pt idx="3">
                  <c:v>14</c:v>
                </c:pt>
                <c:pt idx="4" formatCode="&quot;$&quot;#,##0">
                  <c:v>191097.11</c:v>
                </c:pt>
              </c:numCache>
            </c:numRef>
          </c:val>
          <c:extLst>
            <c:ext xmlns:c16="http://schemas.microsoft.com/office/drawing/2014/chart" uri="{C3380CC4-5D6E-409C-BE32-E72D297353CC}">
              <c16:uniqueId val="{00000000-47ED-4859-A002-7745FD0FBF36}"/>
            </c:ext>
          </c:extLst>
        </c:ser>
        <c:ser>
          <c:idx val="1"/>
          <c:order val="1"/>
          <c:tx>
            <c:strRef>
              <c:f>Dashboard!$C$3</c:f>
              <c:strCache>
                <c:ptCount val="1"/>
                <c:pt idx="0">
                  <c:v>February</c:v>
                </c:pt>
              </c:strCache>
            </c:strRef>
          </c:tx>
          <c:spPr>
            <a:solidFill>
              <a:schemeClr val="accent2"/>
            </a:solidFill>
            <a:ln>
              <a:noFill/>
            </a:ln>
            <a:effectLst/>
          </c:spPr>
          <c:invertIfNegative val="0"/>
          <c:cat>
            <c:strRef>
              <c:f>Dashboard!$A$4:$A$8</c:f>
              <c:strCache>
                <c:ptCount val="5"/>
                <c:pt idx="0">
                  <c:v>Submissions</c:v>
                </c:pt>
                <c:pt idx="1">
                  <c:v>Job Orders</c:v>
                </c:pt>
                <c:pt idx="2">
                  <c:v>1st Interviews</c:v>
                </c:pt>
                <c:pt idx="3">
                  <c:v>2nd Interviews</c:v>
                </c:pt>
                <c:pt idx="4">
                  <c:v>Billings ($)</c:v>
                </c:pt>
              </c:strCache>
            </c:strRef>
          </c:cat>
          <c:val>
            <c:numRef>
              <c:f>Dashboard!$C$4:$C$8</c:f>
              <c:numCache>
                <c:formatCode>General</c:formatCode>
                <c:ptCount val="5"/>
                <c:pt idx="0">
                  <c:v>84</c:v>
                </c:pt>
                <c:pt idx="1">
                  <c:v>15</c:v>
                </c:pt>
                <c:pt idx="2">
                  <c:v>34</c:v>
                </c:pt>
                <c:pt idx="3">
                  <c:v>13</c:v>
                </c:pt>
                <c:pt idx="4" formatCode="&quot;$&quot;#,##0">
                  <c:v>139931.10999999999</c:v>
                </c:pt>
              </c:numCache>
            </c:numRef>
          </c:val>
          <c:extLst>
            <c:ext xmlns:c16="http://schemas.microsoft.com/office/drawing/2014/chart" uri="{C3380CC4-5D6E-409C-BE32-E72D297353CC}">
              <c16:uniqueId val="{00000001-47ED-4859-A002-7745FD0FBF36}"/>
            </c:ext>
          </c:extLst>
        </c:ser>
        <c:ser>
          <c:idx val="2"/>
          <c:order val="2"/>
          <c:tx>
            <c:strRef>
              <c:f>Dashboard!$D$3</c:f>
              <c:strCache>
                <c:ptCount val="1"/>
                <c:pt idx="0">
                  <c:v>Total</c:v>
                </c:pt>
              </c:strCache>
            </c:strRef>
          </c:tx>
          <c:spPr>
            <a:solidFill>
              <a:schemeClr val="accent3"/>
            </a:solidFill>
            <a:ln>
              <a:noFill/>
            </a:ln>
            <a:effectLst/>
          </c:spPr>
          <c:invertIfNegative val="0"/>
          <c:cat>
            <c:strRef>
              <c:f>Dashboard!$A$4:$A$8</c:f>
              <c:strCache>
                <c:ptCount val="5"/>
                <c:pt idx="0">
                  <c:v>Submissions</c:v>
                </c:pt>
                <c:pt idx="1">
                  <c:v>Job Orders</c:v>
                </c:pt>
                <c:pt idx="2">
                  <c:v>1st Interviews</c:v>
                </c:pt>
                <c:pt idx="3">
                  <c:v>2nd Interviews</c:v>
                </c:pt>
                <c:pt idx="4">
                  <c:v>Billings ($)</c:v>
                </c:pt>
              </c:strCache>
            </c:strRef>
          </c:cat>
          <c:val>
            <c:numRef>
              <c:f>Dashboard!$D$4:$D$8</c:f>
              <c:numCache>
                <c:formatCode>General</c:formatCode>
                <c:ptCount val="5"/>
                <c:pt idx="0">
                  <c:v>161</c:v>
                </c:pt>
                <c:pt idx="1">
                  <c:v>27</c:v>
                </c:pt>
                <c:pt idx="2">
                  <c:v>73</c:v>
                </c:pt>
                <c:pt idx="3">
                  <c:v>27</c:v>
                </c:pt>
                <c:pt idx="4" formatCode="&quot;$&quot;#,##0">
                  <c:v>331028.21999999997</c:v>
                </c:pt>
              </c:numCache>
            </c:numRef>
          </c:val>
          <c:extLst>
            <c:ext xmlns:c16="http://schemas.microsoft.com/office/drawing/2014/chart" uri="{C3380CC4-5D6E-409C-BE32-E72D297353CC}">
              <c16:uniqueId val="{00000002-47ED-4859-A002-7745FD0FBF36}"/>
            </c:ext>
          </c:extLst>
        </c:ser>
        <c:dLbls>
          <c:showLegendKey val="0"/>
          <c:showVal val="0"/>
          <c:showCatName val="0"/>
          <c:showSerName val="0"/>
          <c:showPercent val="0"/>
          <c:showBubbleSize val="0"/>
        </c:dLbls>
        <c:gapWidth val="182"/>
        <c:axId val="666104240"/>
        <c:axId val="666098480"/>
      </c:barChart>
      <c:catAx>
        <c:axId val="666104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098480"/>
        <c:crosses val="autoZero"/>
        <c:auto val="1"/>
        <c:lblAlgn val="ctr"/>
        <c:lblOffset val="100"/>
        <c:noMultiLvlLbl val="0"/>
      </c:catAx>
      <c:valAx>
        <c:axId val="6660984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1042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Activity by Owner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Dashboard!$B$14</c:f>
              <c:strCache>
                <c:ptCount val="1"/>
                <c:pt idx="0">
                  <c:v>Submissions (Jan)</c:v>
                </c:pt>
              </c:strCache>
            </c:strRef>
          </c:tx>
          <c:spPr>
            <a:solidFill>
              <a:schemeClr val="accent1"/>
            </a:solidFill>
            <a:ln>
              <a:noFill/>
            </a:ln>
            <a:effectLst/>
          </c:spPr>
          <c:invertIfNegative val="0"/>
          <c:cat>
            <c:strRef>
              <c:f>Dashboard!$A$15:$A$22</c:f>
              <c:strCache>
                <c:ptCount val="8"/>
                <c:pt idx="0">
                  <c:v>Aaron Jay</c:v>
                </c:pt>
                <c:pt idx="1">
                  <c:v>Alison Hardiman</c:v>
                </c:pt>
                <c:pt idx="2">
                  <c:v>Bryan Blair</c:v>
                </c:pt>
                <c:pt idx="3">
                  <c:v>Kevin Lee</c:v>
                </c:pt>
                <c:pt idx="4">
                  <c:v>Lydia Swanson</c:v>
                </c:pt>
                <c:pt idx="5">
                  <c:v>Nicole Leinders</c:v>
                </c:pt>
                <c:pt idx="6">
                  <c:v>Rachel Klaiman</c:v>
                </c:pt>
                <c:pt idx="7">
                  <c:v>Tamara Gattie</c:v>
                </c:pt>
              </c:strCache>
            </c:strRef>
          </c:cat>
          <c:val>
            <c:numRef>
              <c:f>Dashboard!$B$15:$B$22</c:f>
              <c:numCache>
                <c:formatCode>General</c:formatCode>
                <c:ptCount val="8"/>
                <c:pt idx="0">
                  <c:v>19</c:v>
                </c:pt>
                <c:pt idx="1">
                  <c:v>8</c:v>
                </c:pt>
                <c:pt idx="2">
                  <c:v>22</c:v>
                </c:pt>
                <c:pt idx="3">
                  <c:v>16</c:v>
                </c:pt>
                <c:pt idx="4">
                  <c:v>3</c:v>
                </c:pt>
                <c:pt idx="5">
                  <c:v>1</c:v>
                </c:pt>
                <c:pt idx="6">
                  <c:v>7</c:v>
                </c:pt>
                <c:pt idx="7">
                  <c:v>1</c:v>
                </c:pt>
              </c:numCache>
            </c:numRef>
          </c:val>
          <c:extLst>
            <c:ext xmlns:c16="http://schemas.microsoft.com/office/drawing/2014/chart" uri="{C3380CC4-5D6E-409C-BE32-E72D297353CC}">
              <c16:uniqueId val="{00000000-2CAA-496A-B6E9-AE6F7F923C6C}"/>
            </c:ext>
          </c:extLst>
        </c:ser>
        <c:ser>
          <c:idx val="1"/>
          <c:order val="1"/>
          <c:tx>
            <c:strRef>
              <c:f>Dashboard!$C$14</c:f>
              <c:strCache>
                <c:ptCount val="1"/>
                <c:pt idx="0">
                  <c:v>Submissions (Feb)</c:v>
                </c:pt>
              </c:strCache>
            </c:strRef>
          </c:tx>
          <c:spPr>
            <a:solidFill>
              <a:schemeClr val="accent2"/>
            </a:solidFill>
            <a:ln>
              <a:noFill/>
            </a:ln>
            <a:effectLst/>
          </c:spPr>
          <c:invertIfNegative val="0"/>
          <c:cat>
            <c:strRef>
              <c:f>Dashboard!$A$15:$A$22</c:f>
              <c:strCache>
                <c:ptCount val="8"/>
                <c:pt idx="0">
                  <c:v>Aaron Jay</c:v>
                </c:pt>
                <c:pt idx="1">
                  <c:v>Alison Hardiman</c:v>
                </c:pt>
                <c:pt idx="2">
                  <c:v>Bryan Blair</c:v>
                </c:pt>
                <c:pt idx="3">
                  <c:v>Kevin Lee</c:v>
                </c:pt>
                <c:pt idx="4">
                  <c:v>Lydia Swanson</c:v>
                </c:pt>
                <c:pt idx="5">
                  <c:v>Nicole Leinders</c:v>
                </c:pt>
                <c:pt idx="6">
                  <c:v>Rachel Klaiman</c:v>
                </c:pt>
                <c:pt idx="7">
                  <c:v>Tamara Gattie</c:v>
                </c:pt>
              </c:strCache>
            </c:strRef>
          </c:cat>
          <c:val>
            <c:numRef>
              <c:f>Dashboard!$C$15:$C$22</c:f>
              <c:numCache>
                <c:formatCode>General</c:formatCode>
                <c:ptCount val="8"/>
                <c:pt idx="0">
                  <c:v>13</c:v>
                </c:pt>
                <c:pt idx="1">
                  <c:v>9</c:v>
                </c:pt>
                <c:pt idx="2">
                  <c:v>26</c:v>
                </c:pt>
                <c:pt idx="3">
                  <c:v>23</c:v>
                </c:pt>
                <c:pt idx="4">
                  <c:v>2</c:v>
                </c:pt>
                <c:pt idx="5">
                  <c:v>0</c:v>
                </c:pt>
                <c:pt idx="6">
                  <c:v>9</c:v>
                </c:pt>
                <c:pt idx="7">
                  <c:v>0</c:v>
                </c:pt>
              </c:numCache>
            </c:numRef>
          </c:val>
          <c:extLst>
            <c:ext xmlns:c16="http://schemas.microsoft.com/office/drawing/2014/chart" uri="{C3380CC4-5D6E-409C-BE32-E72D297353CC}">
              <c16:uniqueId val="{00000001-2CAA-496A-B6E9-AE6F7F923C6C}"/>
            </c:ext>
          </c:extLst>
        </c:ser>
        <c:ser>
          <c:idx val="2"/>
          <c:order val="2"/>
          <c:tx>
            <c:strRef>
              <c:f>Dashboard!$D$14</c:f>
              <c:strCache>
                <c:ptCount val="1"/>
                <c:pt idx="0">
                  <c:v>Job Orders</c:v>
                </c:pt>
              </c:strCache>
            </c:strRef>
          </c:tx>
          <c:spPr>
            <a:solidFill>
              <a:schemeClr val="accent3"/>
            </a:solidFill>
            <a:ln>
              <a:noFill/>
            </a:ln>
            <a:effectLst/>
          </c:spPr>
          <c:invertIfNegative val="0"/>
          <c:cat>
            <c:strRef>
              <c:f>Dashboard!$A$15:$A$22</c:f>
              <c:strCache>
                <c:ptCount val="8"/>
                <c:pt idx="0">
                  <c:v>Aaron Jay</c:v>
                </c:pt>
                <c:pt idx="1">
                  <c:v>Alison Hardiman</c:v>
                </c:pt>
                <c:pt idx="2">
                  <c:v>Bryan Blair</c:v>
                </c:pt>
                <c:pt idx="3">
                  <c:v>Kevin Lee</c:v>
                </c:pt>
                <c:pt idx="4">
                  <c:v>Lydia Swanson</c:v>
                </c:pt>
                <c:pt idx="5">
                  <c:v>Nicole Leinders</c:v>
                </c:pt>
                <c:pt idx="6">
                  <c:v>Rachel Klaiman</c:v>
                </c:pt>
                <c:pt idx="7">
                  <c:v>Tamara Gattie</c:v>
                </c:pt>
              </c:strCache>
            </c:strRef>
          </c:cat>
          <c:val>
            <c:numRef>
              <c:f>Dashboard!$D$15:$D$22</c:f>
              <c:numCache>
                <c:formatCode>General</c:formatCode>
                <c:ptCount val="8"/>
                <c:pt idx="0">
                  <c:v>7</c:v>
                </c:pt>
                <c:pt idx="1">
                  <c:v>1</c:v>
                </c:pt>
                <c:pt idx="2">
                  <c:v>3</c:v>
                </c:pt>
                <c:pt idx="3">
                  <c:v>0</c:v>
                </c:pt>
                <c:pt idx="4">
                  <c:v>0</c:v>
                </c:pt>
                <c:pt idx="5">
                  <c:v>3</c:v>
                </c:pt>
                <c:pt idx="6">
                  <c:v>1</c:v>
                </c:pt>
                <c:pt idx="7">
                  <c:v>0</c:v>
                </c:pt>
              </c:numCache>
            </c:numRef>
          </c:val>
          <c:extLst>
            <c:ext xmlns:c16="http://schemas.microsoft.com/office/drawing/2014/chart" uri="{C3380CC4-5D6E-409C-BE32-E72D297353CC}">
              <c16:uniqueId val="{00000002-2CAA-496A-B6E9-AE6F7F923C6C}"/>
            </c:ext>
          </c:extLst>
        </c:ser>
        <c:ser>
          <c:idx val="3"/>
          <c:order val="3"/>
          <c:tx>
            <c:strRef>
              <c:f>Dashboard!$E$14</c:f>
              <c:strCache>
                <c:ptCount val="1"/>
                <c:pt idx="0">
                  <c:v>1st Int (Jan)</c:v>
                </c:pt>
              </c:strCache>
            </c:strRef>
          </c:tx>
          <c:spPr>
            <a:solidFill>
              <a:schemeClr val="accent4"/>
            </a:solidFill>
            <a:ln>
              <a:noFill/>
            </a:ln>
            <a:effectLst/>
          </c:spPr>
          <c:invertIfNegative val="0"/>
          <c:cat>
            <c:strRef>
              <c:f>Dashboard!$A$15:$A$22</c:f>
              <c:strCache>
                <c:ptCount val="8"/>
                <c:pt idx="0">
                  <c:v>Aaron Jay</c:v>
                </c:pt>
                <c:pt idx="1">
                  <c:v>Alison Hardiman</c:v>
                </c:pt>
                <c:pt idx="2">
                  <c:v>Bryan Blair</c:v>
                </c:pt>
                <c:pt idx="3">
                  <c:v>Kevin Lee</c:v>
                </c:pt>
                <c:pt idx="4">
                  <c:v>Lydia Swanson</c:v>
                </c:pt>
                <c:pt idx="5">
                  <c:v>Nicole Leinders</c:v>
                </c:pt>
                <c:pt idx="6">
                  <c:v>Rachel Klaiman</c:v>
                </c:pt>
                <c:pt idx="7">
                  <c:v>Tamara Gattie</c:v>
                </c:pt>
              </c:strCache>
            </c:strRef>
          </c:cat>
          <c:val>
            <c:numRef>
              <c:f>Dashboard!$E$15:$E$22</c:f>
              <c:numCache>
                <c:formatCode>General</c:formatCode>
                <c:ptCount val="8"/>
                <c:pt idx="0">
                  <c:v>7</c:v>
                </c:pt>
                <c:pt idx="1">
                  <c:v>6</c:v>
                </c:pt>
                <c:pt idx="2">
                  <c:v>8</c:v>
                </c:pt>
                <c:pt idx="3">
                  <c:v>8</c:v>
                </c:pt>
                <c:pt idx="4">
                  <c:v>2</c:v>
                </c:pt>
                <c:pt idx="5">
                  <c:v>1</c:v>
                </c:pt>
                <c:pt idx="6">
                  <c:v>6</c:v>
                </c:pt>
                <c:pt idx="7">
                  <c:v>1</c:v>
                </c:pt>
              </c:numCache>
            </c:numRef>
          </c:val>
          <c:extLst>
            <c:ext xmlns:c16="http://schemas.microsoft.com/office/drawing/2014/chart" uri="{C3380CC4-5D6E-409C-BE32-E72D297353CC}">
              <c16:uniqueId val="{00000003-2CAA-496A-B6E9-AE6F7F923C6C}"/>
            </c:ext>
          </c:extLst>
        </c:ser>
        <c:ser>
          <c:idx val="4"/>
          <c:order val="4"/>
          <c:tx>
            <c:strRef>
              <c:f>Dashboard!$F$14</c:f>
              <c:strCache>
                <c:ptCount val="1"/>
                <c:pt idx="0">
                  <c:v>1st Int (Feb)</c:v>
                </c:pt>
              </c:strCache>
            </c:strRef>
          </c:tx>
          <c:spPr>
            <a:solidFill>
              <a:schemeClr val="accent5"/>
            </a:solidFill>
            <a:ln>
              <a:noFill/>
            </a:ln>
            <a:effectLst/>
          </c:spPr>
          <c:invertIfNegative val="0"/>
          <c:cat>
            <c:strRef>
              <c:f>Dashboard!$A$15:$A$22</c:f>
              <c:strCache>
                <c:ptCount val="8"/>
                <c:pt idx="0">
                  <c:v>Aaron Jay</c:v>
                </c:pt>
                <c:pt idx="1">
                  <c:v>Alison Hardiman</c:v>
                </c:pt>
                <c:pt idx="2">
                  <c:v>Bryan Blair</c:v>
                </c:pt>
                <c:pt idx="3">
                  <c:v>Kevin Lee</c:v>
                </c:pt>
                <c:pt idx="4">
                  <c:v>Lydia Swanson</c:v>
                </c:pt>
                <c:pt idx="5">
                  <c:v>Nicole Leinders</c:v>
                </c:pt>
                <c:pt idx="6">
                  <c:v>Rachel Klaiman</c:v>
                </c:pt>
                <c:pt idx="7">
                  <c:v>Tamara Gattie</c:v>
                </c:pt>
              </c:strCache>
            </c:strRef>
          </c:cat>
          <c:val>
            <c:numRef>
              <c:f>Dashboard!$F$15:$F$22</c:f>
              <c:numCache>
                <c:formatCode>General</c:formatCode>
                <c:ptCount val="8"/>
                <c:pt idx="0">
                  <c:v>8</c:v>
                </c:pt>
                <c:pt idx="1">
                  <c:v>1</c:v>
                </c:pt>
                <c:pt idx="2">
                  <c:v>12</c:v>
                </c:pt>
                <c:pt idx="3">
                  <c:v>10</c:v>
                </c:pt>
                <c:pt idx="4">
                  <c:v>1</c:v>
                </c:pt>
                <c:pt idx="5">
                  <c:v>1</c:v>
                </c:pt>
                <c:pt idx="6">
                  <c:v>1</c:v>
                </c:pt>
                <c:pt idx="7">
                  <c:v>0</c:v>
                </c:pt>
              </c:numCache>
            </c:numRef>
          </c:val>
          <c:extLst>
            <c:ext xmlns:c16="http://schemas.microsoft.com/office/drawing/2014/chart" uri="{C3380CC4-5D6E-409C-BE32-E72D297353CC}">
              <c16:uniqueId val="{00000004-2CAA-496A-B6E9-AE6F7F923C6C}"/>
            </c:ext>
          </c:extLst>
        </c:ser>
        <c:ser>
          <c:idx val="5"/>
          <c:order val="5"/>
          <c:tx>
            <c:strRef>
              <c:f>Dashboard!$G$14</c:f>
              <c:strCache>
                <c:ptCount val="1"/>
                <c:pt idx="0">
                  <c:v>2nd Int (Jan)</c:v>
                </c:pt>
              </c:strCache>
            </c:strRef>
          </c:tx>
          <c:spPr>
            <a:solidFill>
              <a:schemeClr val="accent6"/>
            </a:solidFill>
            <a:ln>
              <a:noFill/>
            </a:ln>
            <a:effectLst/>
          </c:spPr>
          <c:invertIfNegative val="0"/>
          <c:cat>
            <c:strRef>
              <c:f>Dashboard!$A$15:$A$22</c:f>
              <c:strCache>
                <c:ptCount val="8"/>
                <c:pt idx="0">
                  <c:v>Aaron Jay</c:v>
                </c:pt>
                <c:pt idx="1">
                  <c:v>Alison Hardiman</c:v>
                </c:pt>
                <c:pt idx="2">
                  <c:v>Bryan Blair</c:v>
                </c:pt>
                <c:pt idx="3">
                  <c:v>Kevin Lee</c:v>
                </c:pt>
                <c:pt idx="4">
                  <c:v>Lydia Swanson</c:v>
                </c:pt>
                <c:pt idx="5">
                  <c:v>Nicole Leinders</c:v>
                </c:pt>
                <c:pt idx="6">
                  <c:v>Rachel Klaiman</c:v>
                </c:pt>
                <c:pt idx="7">
                  <c:v>Tamara Gattie</c:v>
                </c:pt>
              </c:strCache>
            </c:strRef>
          </c:cat>
          <c:val>
            <c:numRef>
              <c:f>Dashboard!$G$15:$G$22</c:f>
              <c:numCache>
                <c:formatCode>General</c:formatCode>
                <c:ptCount val="8"/>
                <c:pt idx="0">
                  <c:v>2</c:v>
                </c:pt>
                <c:pt idx="1">
                  <c:v>1</c:v>
                </c:pt>
                <c:pt idx="2">
                  <c:v>2</c:v>
                </c:pt>
                <c:pt idx="3">
                  <c:v>3</c:v>
                </c:pt>
                <c:pt idx="4">
                  <c:v>1</c:v>
                </c:pt>
                <c:pt idx="5">
                  <c:v>1</c:v>
                </c:pt>
                <c:pt idx="6">
                  <c:v>3</c:v>
                </c:pt>
                <c:pt idx="7">
                  <c:v>1</c:v>
                </c:pt>
              </c:numCache>
            </c:numRef>
          </c:val>
          <c:extLst>
            <c:ext xmlns:c16="http://schemas.microsoft.com/office/drawing/2014/chart" uri="{C3380CC4-5D6E-409C-BE32-E72D297353CC}">
              <c16:uniqueId val="{00000005-2CAA-496A-B6E9-AE6F7F923C6C}"/>
            </c:ext>
          </c:extLst>
        </c:ser>
        <c:ser>
          <c:idx val="6"/>
          <c:order val="6"/>
          <c:tx>
            <c:strRef>
              <c:f>Dashboard!$H$14</c:f>
              <c:strCache>
                <c:ptCount val="1"/>
                <c:pt idx="0">
                  <c:v>2nd Int (Feb)</c:v>
                </c:pt>
              </c:strCache>
            </c:strRef>
          </c:tx>
          <c:spPr>
            <a:solidFill>
              <a:schemeClr val="accent1">
                <a:lumMod val="60000"/>
              </a:schemeClr>
            </a:solidFill>
            <a:ln>
              <a:noFill/>
            </a:ln>
            <a:effectLst/>
          </c:spPr>
          <c:invertIfNegative val="0"/>
          <c:cat>
            <c:strRef>
              <c:f>Dashboard!$A$15:$A$22</c:f>
              <c:strCache>
                <c:ptCount val="8"/>
                <c:pt idx="0">
                  <c:v>Aaron Jay</c:v>
                </c:pt>
                <c:pt idx="1">
                  <c:v>Alison Hardiman</c:v>
                </c:pt>
                <c:pt idx="2">
                  <c:v>Bryan Blair</c:v>
                </c:pt>
                <c:pt idx="3">
                  <c:v>Kevin Lee</c:v>
                </c:pt>
                <c:pt idx="4">
                  <c:v>Lydia Swanson</c:v>
                </c:pt>
                <c:pt idx="5">
                  <c:v>Nicole Leinders</c:v>
                </c:pt>
                <c:pt idx="6">
                  <c:v>Rachel Klaiman</c:v>
                </c:pt>
                <c:pt idx="7">
                  <c:v>Tamara Gattie</c:v>
                </c:pt>
              </c:strCache>
            </c:strRef>
          </c:cat>
          <c:val>
            <c:numRef>
              <c:f>Dashboard!$H$15:$H$22</c:f>
              <c:numCache>
                <c:formatCode>General</c:formatCode>
                <c:ptCount val="8"/>
                <c:pt idx="0">
                  <c:v>3</c:v>
                </c:pt>
                <c:pt idx="1">
                  <c:v>1</c:v>
                </c:pt>
                <c:pt idx="2">
                  <c:v>4</c:v>
                </c:pt>
                <c:pt idx="3">
                  <c:v>3</c:v>
                </c:pt>
                <c:pt idx="4">
                  <c:v>1</c:v>
                </c:pt>
                <c:pt idx="5">
                  <c:v>0</c:v>
                </c:pt>
                <c:pt idx="6">
                  <c:v>1</c:v>
                </c:pt>
                <c:pt idx="7">
                  <c:v>0</c:v>
                </c:pt>
              </c:numCache>
            </c:numRef>
          </c:val>
          <c:extLst>
            <c:ext xmlns:c16="http://schemas.microsoft.com/office/drawing/2014/chart" uri="{C3380CC4-5D6E-409C-BE32-E72D297353CC}">
              <c16:uniqueId val="{00000006-2CAA-496A-B6E9-AE6F7F923C6C}"/>
            </c:ext>
          </c:extLst>
        </c:ser>
        <c:dLbls>
          <c:showLegendKey val="0"/>
          <c:showVal val="0"/>
          <c:showCatName val="0"/>
          <c:showSerName val="0"/>
          <c:showPercent val="0"/>
          <c:showBubbleSize val="0"/>
        </c:dLbls>
        <c:gapWidth val="150"/>
        <c:overlap val="100"/>
        <c:axId val="603165504"/>
        <c:axId val="603165024"/>
      </c:barChart>
      <c:catAx>
        <c:axId val="603165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165024"/>
        <c:crosses val="autoZero"/>
        <c:auto val="1"/>
        <c:lblAlgn val="ctr"/>
        <c:lblOffset val="100"/>
        <c:noMultiLvlLbl val="0"/>
      </c:catAx>
      <c:valAx>
        <c:axId val="6031650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1655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2</xdr:row>
      <xdr:rowOff>0</xdr:rowOff>
    </xdr:from>
    <xdr:to>
      <xdr:col>14</xdr:col>
      <xdr:colOff>304800</xdr:colOff>
      <xdr:row>16</xdr:row>
      <xdr:rowOff>76200</xdr:rowOff>
    </xdr:to>
    <xdr:graphicFrame macro="">
      <xdr:nvGraphicFramePr>
        <xdr:cNvPr id="2" name="Chart 1">
          <a:extLst>
            <a:ext uri="{FF2B5EF4-FFF2-40B4-BE49-F238E27FC236}">
              <a16:creationId xmlns:a16="http://schemas.microsoft.com/office/drawing/2014/main" id="{0FCFC33C-8FD9-61A8-3F74-1E229B4DB5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15</xdr:row>
      <xdr:rowOff>0</xdr:rowOff>
    </xdr:from>
    <xdr:to>
      <xdr:col>14</xdr:col>
      <xdr:colOff>304800</xdr:colOff>
      <xdr:row>29</xdr:row>
      <xdr:rowOff>76200</xdr:rowOff>
    </xdr:to>
    <xdr:graphicFrame macro="">
      <xdr:nvGraphicFramePr>
        <xdr:cNvPr id="3" name="Chart 2">
          <a:extLst>
            <a:ext uri="{FF2B5EF4-FFF2-40B4-BE49-F238E27FC236}">
              <a16:creationId xmlns:a16="http://schemas.microsoft.com/office/drawing/2014/main" id="{F96817FF-E8A8-67C7-A368-D11465BE40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71E53BB-E2D9-4117-9787-1D16ABC46849}">
  <we:reference id="wa200009404" version="1.0.0.8" store="en-US" storeType="OMEX"/>
  <we:alternateReferences>
    <we:reference id="wa200009404" version="1.0.0.8" store="" storeType="OMEX"/>
  </we:alternateReferences>
  <we:properties>
    <we:property name="Office.AutoShowTaskpaneWithDocument" value="true"/>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2C834-FFEF-4CD5-B384-154D8B1653E1}">
  <sheetPr>
    <tabColor rgb="FF2F5496"/>
  </sheetPr>
  <dimension ref="A1:J37"/>
  <sheetViews>
    <sheetView workbookViewId="0">
      <pane ySplit="1" topLeftCell="A2" activePane="bottomLeft" state="frozen"/>
      <selection pane="bottomLeft" sqref="A1:J1"/>
    </sheetView>
  </sheetViews>
  <sheetFormatPr defaultRowHeight="15" x14ac:dyDescent="0.25"/>
  <cols>
    <col min="1" max="1" width="29" bestFit="1" customWidth="1"/>
    <col min="2" max="2" width="14.85546875" bestFit="1" customWidth="1"/>
    <col min="3" max="3" width="15.28515625" bestFit="1" customWidth="1"/>
    <col min="5" max="5" width="12.5703125" bestFit="1" customWidth="1"/>
    <col min="6" max="6" width="12.7109375" bestFit="1" customWidth="1"/>
    <col min="7" max="7" width="10.28515625" bestFit="1" customWidth="1"/>
    <col min="8" max="8" width="10.7109375" bestFit="1" customWidth="1"/>
    <col min="10" max="10" width="10.7109375" bestFit="1" customWidth="1"/>
  </cols>
  <sheetData>
    <row r="1" spans="1:10" s="1" customFormat="1" ht="35.1" customHeight="1" x14ac:dyDescent="0.25">
      <c r="A1" s="22" t="s">
        <v>192</v>
      </c>
      <c r="B1" s="22"/>
      <c r="C1" s="22"/>
      <c r="D1" s="22"/>
      <c r="E1" s="22"/>
      <c r="F1" s="22"/>
      <c r="G1" s="22"/>
      <c r="H1" s="22"/>
      <c r="I1" s="22"/>
      <c r="J1" s="22"/>
    </row>
    <row r="3" spans="1:10" x14ac:dyDescent="0.25">
      <c r="A3" s="23" t="s">
        <v>193</v>
      </c>
      <c r="B3" s="23" t="s">
        <v>194</v>
      </c>
      <c r="C3" s="23" t="s">
        <v>195</v>
      </c>
      <c r="D3" s="23" t="s">
        <v>196</v>
      </c>
      <c r="E3" s="23" t="s">
        <v>197</v>
      </c>
      <c r="F3" s="23" t="s">
        <v>198</v>
      </c>
    </row>
    <row r="4" spans="1:10" x14ac:dyDescent="0.25">
      <c r="A4" s="24" t="s">
        <v>199</v>
      </c>
      <c r="B4" s="25">
        <v>77</v>
      </c>
      <c r="C4" s="25">
        <v>84</v>
      </c>
      <c r="D4" s="26">
        <f>B4+C4</f>
        <v>161</v>
      </c>
      <c r="E4" s="27">
        <f>(C4-B4)/B4</f>
        <v>9.0909090909090912E-2</v>
      </c>
      <c r="F4" s="25" t="s">
        <v>200</v>
      </c>
    </row>
    <row r="5" spans="1:10" x14ac:dyDescent="0.25">
      <c r="A5" s="24" t="s">
        <v>201</v>
      </c>
      <c r="B5" s="25">
        <v>12</v>
      </c>
      <c r="C5" s="25">
        <v>15</v>
      </c>
      <c r="D5" s="26">
        <f>B5+C5</f>
        <v>27</v>
      </c>
      <c r="E5" s="27">
        <f>(C5-B5)/B5</f>
        <v>0.25</v>
      </c>
      <c r="F5" s="25" t="s">
        <v>200</v>
      </c>
    </row>
    <row r="6" spans="1:10" x14ac:dyDescent="0.25">
      <c r="A6" s="24" t="s">
        <v>202</v>
      </c>
      <c r="B6" s="25">
        <v>39</v>
      </c>
      <c r="C6" s="25">
        <v>34</v>
      </c>
      <c r="D6" s="26">
        <f>B6+C6</f>
        <v>73</v>
      </c>
      <c r="E6" s="27">
        <f>(C6-B6)/B6</f>
        <v>-0.12820512820512819</v>
      </c>
      <c r="F6" s="27">
        <f>D6/D4</f>
        <v>0.453416149068323</v>
      </c>
    </row>
    <row r="7" spans="1:10" x14ac:dyDescent="0.25">
      <c r="A7" s="24" t="s">
        <v>203</v>
      </c>
      <c r="B7" s="25">
        <v>14</v>
      </c>
      <c r="C7" s="25">
        <v>13</v>
      </c>
      <c r="D7" s="26">
        <f>B7+C7</f>
        <v>27</v>
      </c>
      <c r="E7" s="27">
        <f>(C7-B7)/B7</f>
        <v>-7.1428571428571425E-2</v>
      </c>
      <c r="F7" s="27">
        <f>D7/D6</f>
        <v>0.36986301369863012</v>
      </c>
    </row>
    <row r="8" spans="1:10" x14ac:dyDescent="0.25">
      <c r="A8" s="29" t="s">
        <v>204</v>
      </c>
      <c r="B8" s="30">
        <v>191097.11</v>
      </c>
      <c r="C8" s="30">
        <v>139931.10999999999</v>
      </c>
      <c r="D8" s="31">
        <f>B8+C8</f>
        <v>331028.21999999997</v>
      </c>
      <c r="E8" s="27" t="s">
        <v>200</v>
      </c>
      <c r="F8" s="25" t="s">
        <v>200</v>
      </c>
    </row>
    <row r="9" spans="1:10" x14ac:dyDescent="0.25">
      <c r="A9" s="23" t="s">
        <v>205</v>
      </c>
      <c r="B9" s="32"/>
      <c r="C9" s="32"/>
      <c r="D9" s="32"/>
      <c r="E9" s="5"/>
      <c r="F9" s="5"/>
    </row>
    <row r="10" spans="1:10" x14ac:dyDescent="0.25">
      <c r="A10" s="24" t="s">
        <v>206</v>
      </c>
      <c r="B10" s="27">
        <f>B6/B4</f>
        <v>0.50649350649350644</v>
      </c>
      <c r="C10" s="27">
        <f>C6/C4</f>
        <v>0.40476190476190477</v>
      </c>
      <c r="D10" s="33">
        <f>D6/D4</f>
        <v>0.453416149068323</v>
      </c>
    </row>
    <row r="11" spans="1:10" x14ac:dyDescent="0.25">
      <c r="A11" s="24" t="s">
        <v>207</v>
      </c>
      <c r="B11" s="27">
        <f>B7/B6</f>
        <v>0.35897435897435898</v>
      </c>
      <c r="C11" s="27">
        <f>C7/C6</f>
        <v>0.38235294117647056</v>
      </c>
      <c r="D11" s="33">
        <f>D7/D6</f>
        <v>0.36986301369863012</v>
      </c>
    </row>
    <row r="12" spans="1:10" x14ac:dyDescent="0.25">
      <c r="A12" s="24" t="s">
        <v>208</v>
      </c>
      <c r="B12" s="27">
        <f>B7/B4</f>
        <v>0.18181818181818182</v>
      </c>
      <c r="C12" s="27">
        <f>C7/C4</f>
        <v>0.15476190476190477</v>
      </c>
      <c r="D12" s="33">
        <f>D7/D4</f>
        <v>0.16770186335403728</v>
      </c>
    </row>
    <row r="14" spans="1:10" x14ac:dyDescent="0.25">
      <c r="A14" s="23" t="s">
        <v>209</v>
      </c>
      <c r="B14" s="34" t="s">
        <v>210</v>
      </c>
      <c r="C14" s="34" t="s">
        <v>211</v>
      </c>
      <c r="D14" s="34" t="s">
        <v>201</v>
      </c>
      <c r="E14" s="34" t="s">
        <v>212</v>
      </c>
      <c r="F14" s="34" t="s">
        <v>213</v>
      </c>
      <c r="G14" s="34" t="s">
        <v>214</v>
      </c>
      <c r="H14" s="34" t="s">
        <v>215</v>
      </c>
      <c r="I14" s="34" t="s">
        <v>204</v>
      </c>
      <c r="J14" s="34" t="s">
        <v>216</v>
      </c>
    </row>
    <row r="15" spans="1:10" x14ac:dyDescent="0.25">
      <c r="A15" s="24" t="s">
        <v>14</v>
      </c>
      <c r="B15" s="25">
        <v>19</v>
      </c>
      <c r="C15" s="25">
        <v>13</v>
      </c>
      <c r="D15" s="25">
        <v>7</v>
      </c>
      <c r="E15" s="25">
        <v>7</v>
      </c>
      <c r="F15" s="25">
        <v>8</v>
      </c>
      <c r="G15" s="25">
        <v>2</v>
      </c>
      <c r="H15" s="25">
        <v>3</v>
      </c>
      <c r="I15" s="28">
        <v>88265.41</v>
      </c>
      <c r="J15" s="26">
        <f t="shared" ref="J15:J22" si="0">SUM(B15:H15)</f>
        <v>59</v>
      </c>
    </row>
    <row r="16" spans="1:10" x14ac:dyDescent="0.25">
      <c r="A16" s="24" t="s">
        <v>18</v>
      </c>
      <c r="B16" s="25">
        <v>8</v>
      </c>
      <c r="C16" s="25">
        <v>9</v>
      </c>
      <c r="D16" s="25">
        <v>1</v>
      </c>
      <c r="E16" s="25">
        <v>6</v>
      </c>
      <c r="F16" s="25">
        <v>1</v>
      </c>
      <c r="G16" s="25">
        <v>1</v>
      </c>
      <c r="H16" s="25">
        <v>1</v>
      </c>
      <c r="I16" s="28">
        <v>20000</v>
      </c>
      <c r="J16" s="26">
        <f t="shared" si="0"/>
        <v>27</v>
      </c>
    </row>
    <row r="17" spans="1:10" x14ac:dyDescent="0.25">
      <c r="A17" s="24" t="s">
        <v>6</v>
      </c>
      <c r="B17" s="25">
        <v>22</v>
      </c>
      <c r="C17" s="25">
        <v>26</v>
      </c>
      <c r="D17" s="25">
        <v>3</v>
      </c>
      <c r="E17" s="25">
        <v>8</v>
      </c>
      <c r="F17" s="25">
        <v>12</v>
      </c>
      <c r="G17" s="25">
        <v>2</v>
      </c>
      <c r="H17" s="25">
        <v>4</v>
      </c>
      <c r="I17" s="28">
        <v>76403.149999999994</v>
      </c>
      <c r="J17" s="26">
        <f t="shared" si="0"/>
        <v>77</v>
      </c>
    </row>
    <row r="18" spans="1:10" x14ac:dyDescent="0.25">
      <c r="A18" s="24" t="s">
        <v>10</v>
      </c>
      <c r="B18" s="25">
        <v>16</v>
      </c>
      <c r="C18" s="25">
        <v>23</v>
      </c>
      <c r="D18" s="25">
        <v>0</v>
      </c>
      <c r="E18" s="25">
        <v>8</v>
      </c>
      <c r="F18" s="25">
        <v>10</v>
      </c>
      <c r="G18" s="25">
        <v>3</v>
      </c>
      <c r="H18" s="25">
        <v>3</v>
      </c>
      <c r="I18" s="28">
        <v>72818.2</v>
      </c>
      <c r="J18" s="26">
        <f t="shared" si="0"/>
        <v>63</v>
      </c>
    </row>
    <row r="19" spans="1:10" x14ac:dyDescent="0.25">
      <c r="A19" s="24" t="s">
        <v>146</v>
      </c>
      <c r="B19" s="25">
        <v>3</v>
      </c>
      <c r="C19" s="25">
        <v>2</v>
      </c>
      <c r="D19" s="25">
        <v>0</v>
      </c>
      <c r="E19" s="25">
        <v>2</v>
      </c>
      <c r="F19" s="25">
        <v>1</v>
      </c>
      <c r="G19" s="25">
        <v>1</v>
      </c>
      <c r="H19" s="25">
        <v>1</v>
      </c>
      <c r="I19" s="28">
        <v>0</v>
      </c>
      <c r="J19" s="26">
        <f t="shared" si="0"/>
        <v>10</v>
      </c>
    </row>
    <row r="20" spans="1:10" x14ac:dyDescent="0.25">
      <c r="A20" s="24" t="s">
        <v>64</v>
      </c>
      <c r="B20" s="25">
        <v>1</v>
      </c>
      <c r="C20" s="25">
        <v>0</v>
      </c>
      <c r="D20" s="25">
        <v>3</v>
      </c>
      <c r="E20" s="25">
        <v>1</v>
      </c>
      <c r="F20" s="25">
        <v>1</v>
      </c>
      <c r="G20" s="25">
        <v>1</v>
      </c>
      <c r="H20" s="25">
        <v>0</v>
      </c>
      <c r="I20" s="28">
        <v>68321.460000000006</v>
      </c>
      <c r="J20" s="26">
        <f t="shared" si="0"/>
        <v>7</v>
      </c>
    </row>
    <row r="21" spans="1:10" x14ac:dyDescent="0.25">
      <c r="A21" s="24" t="s">
        <v>153</v>
      </c>
      <c r="B21" s="25">
        <v>7</v>
      </c>
      <c r="C21" s="25">
        <v>9</v>
      </c>
      <c r="D21" s="25">
        <v>1</v>
      </c>
      <c r="E21" s="25">
        <v>6</v>
      </c>
      <c r="F21" s="25">
        <v>1</v>
      </c>
      <c r="G21" s="25">
        <v>3</v>
      </c>
      <c r="H21" s="25">
        <v>1</v>
      </c>
      <c r="I21" s="28">
        <v>5220</v>
      </c>
      <c r="J21" s="26">
        <f t="shared" si="0"/>
        <v>28</v>
      </c>
    </row>
    <row r="22" spans="1:10" x14ac:dyDescent="0.25">
      <c r="A22" s="24" t="s">
        <v>163</v>
      </c>
      <c r="B22" s="25">
        <v>1</v>
      </c>
      <c r="C22" s="25">
        <v>0</v>
      </c>
      <c r="D22" s="25">
        <v>0</v>
      </c>
      <c r="E22" s="25">
        <v>1</v>
      </c>
      <c r="F22" s="25">
        <v>0</v>
      </c>
      <c r="G22" s="25">
        <v>1</v>
      </c>
      <c r="H22" s="25">
        <v>0</v>
      </c>
      <c r="I22" s="28">
        <v>0</v>
      </c>
      <c r="J22" s="26">
        <f t="shared" si="0"/>
        <v>3</v>
      </c>
    </row>
    <row r="23" spans="1:10" x14ac:dyDescent="0.25">
      <c r="A23" s="35" t="s">
        <v>217</v>
      </c>
      <c r="B23" s="36">
        <f t="shared" ref="B23:J23" si="1">SUM(B15:B22)</f>
        <v>77</v>
      </c>
      <c r="C23" s="36">
        <f t="shared" si="1"/>
        <v>82</v>
      </c>
      <c r="D23" s="36">
        <f t="shared" si="1"/>
        <v>15</v>
      </c>
      <c r="E23" s="36">
        <f t="shared" si="1"/>
        <v>39</v>
      </c>
      <c r="F23" s="36">
        <f t="shared" si="1"/>
        <v>34</v>
      </c>
      <c r="G23" s="36">
        <f t="shared" si="1"/>
        <v>14</v>
      </c>
      <c r="H23" s="36">
        <f t="shared" si="1"/>
        <v>13</v>
      </c>
      <c r="I23" s="37">
        <f t="shared" si="1"/>
        <v>331028.22000000003</v>
      </c>
      <c r="J23" s="36">
        <f t="shared" si="1"/>
        <v>274</v>
      </c>
    </row>
    <row r="26" spans="1:10" x14ac:dyDescent="0.25">
      <c r="A26" s="23" t="s">
        <v>218</v>
      </c>
      <c r="B26" s="23" t="s">
        <v>219</v>
      </c>
      <c r="C26" s="23" t="s">
        <v>220</v>
      </c>
      <c r="D26" s="23" t="s">
        <v>196</v>
      </c>
    </row>
    <row r="27" spans="1:10" x14ac:dyDescent="0.25">
      <c r="A27" s="38" t="s">
        <v>21</v>
      </c>
      <c r="B27" s="25">
        <v>7</v>
      </c>
      <c r="C27" s="25">
        <v>22</v>
      </c>
      <c r="D27" s="26">
        <f t="shared" ref="D27:D37" si="2">B27+C27</f>
        <v>29</v>
      </c>
    </row>
    <row r="28" spans="1:10" x14ac:dyDescent="0.25">
      <c r="A28" s="38" t="s">
        <v>26</v>
      </c>
      <c r="B28" s="25">
        <v>10</v>
      </c>
      <c r="C28" s="25">
        <v>7</v>
      </c>
      <c r="D28" s="26">
        <f t="shared" si="2"/>
        <v>17</v>
      </c>
    </row>
    <row r="29" spans="1:10" x14ac:dyDescent="0.25">
      <c r="A29" s="38" t="s">
        <v>81</v>
      </c>
      <c r="B29" s="25">
        <v>8</v>
      </c>
      <c r="C29" s="25">
        <v>0</v>
      </c>
      <c r="D29" s="26">
        <f t="shared" si="2"/>
        <v>8</v>
      </c>
    </row>
    <row r="30" spans="1:10" x14ac:dyDescent="0.25">
      <c r="A30" s="38" t="s">
        <v>61</v>
      </c>
      <c r="B30" s="25">
        <v>7</v>
      </c>
      <c r="C30" s="25">
        <v>0</v>
      </c>
      <c r="D30" s="26">
        <f t="shared" si="2"/>
        <v>7</v>
      </c>
    </row>
    <row r="31" spans="1:10" x14ac:dyDescent="0.25">
      <c r="A31" s="38" t="s">
        <v>221</v>
      </c>
      <c r="B31" s="25">
        <v>6</v>
      </c>
      <c r="C31" s="25">
        <v>0</v>
      </c>
      <c r="D31" s="26">
        <f t="shared" si="2"/>
        <v>6</v>
      </c>
    </row>
    <row r="32" spans="1:10" x14ac:dyDescent="0.25">
      <c r="A32" s="38" t="s">
        <v>56</v>
      </c>
      <c r="B32" s="25">
        <v>6</v>
      </c>
      <c r="C32" s="25">
        <v>22</v>
      </c>
      <c r="D32" s="26">
        <f t="shared" si="2"/>
        <v>28</v>
      </c>
    </row>
    <row r="33" spans="1:4" x14ac:dyDescent="0.25">
      <c r="A33" s="38" t="s">
        <v>8</v>
      </c>
      <c r="B33" s="25">
        <v>3</v>
      </c>
      <c r="C33" s="25">
        <v>9</v>
      </c>
      <c r="D33" s="26">
        <f t="shared" si="2"/>
        <v>12</v>
      </c>
    </row>
    <row r="34" spans="1:4" x14ac:dyDescent="0.25">
      <c r="A34" s="38" t="s">
        <v>12</v>
      </c>
      <c r="B34" s="25">
        <v>4</v>
      </c>
      <c r="C34" s="25">
        <v>3</v>
      </c>
      <c r="D34" s="26">
        <f t="shared" si="2"/>
        <v>7</v>
      </c>
    </row>
    <row r="35" spans="1:4" x14ac:dyDescent="0.25">
      <c r="A35" s="38" t="s">
        <v>16</v>
      </c>
      <c r="B35" s="25">
        <v>4</v>
      </c>
      <c r="C35" s="25">
        <v>3</v>
      </c>
      <c r="D35" s="26">
        <f t="shared" si="2"/>
        <v>7</v>
      </c>
    </row>
    <row r="36" spans="1:4" x14ac:dyDescent="0.25">
      <c r="A36" s="38" t="s">
        <v>44</v>
      </c>
      <c r="B36" s="25">
        <v>0</v>
      </c>
      <c r="C36" s="25">
        <v>4</v>
      </c>
      <c r="D36" s="26">
        <f t="shared" si="2"/>
        <v>4</v>
      </c>
    </row>
    <row r="37" spans="1:4" x14ac:dyDescent="0.25">
      <c r="A37" s="38" t="s">
        <v>157</v>
      </c>
      <c r="B37" s="25">
        <v>3</v>
      </c>
      <c r="C37" s="25">
        <v>3</v>
      </c>
      <c r="D37" s="26">
        <f t="shared" si="2"/>
        <v>6</v>
      </c>
    </row>
  </sheetData>
  <mergeCells count="1">
    <mergeCell ref="A1:J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666C0-DC94-420C-B67D-CA378749EA6B}">
  <sheetPr>
    <tabColor rgb="FF4472C4"/>
  </sheetPr>
  <dimension ref="A1:F165"/>
  <sheetViews>
    <sheetView workbookViewId="0">
      <pane ySplit="1" topLeftCell="A2" activePane="bottomLeft" state="frozen"/>
      <selection pane="bottomLeft"/>
    </sheetView>
  </sheetViews>
  <sheetFormatPr defaultRowHeight="15" x14ac:dyDescent="0.25"/>
  <cols>
    <col min="1" max="1" width="13.5703125" bestFit="1" customWidth="1"/>
    <col min="2" max="2" width="16" bestFit="1" customWidth="1"/>
    <col min="3" max="3" width="26.85546875" bestFit="1" customWidth="1"/>
    <col min="4" max="4" width="30.140625" bestFit="1" customWidth="1"/>
    <col min="5" max="5" width="69.28515625" bestFit="1" customWidth="1"/>
    <col min="6" max="6" width="6.42578125" bestFit="1" customWidth="1"/>
  </cols>
  <sheetData>
    <row r="1" spans="1:6" x14ac:dyDescent="0.25">
      <c r="A1" s="12" t="s">
        <v>0</v>
      </c>
      <c r="B1" s="12" t="s">
        <v>1</v>
      </c>
      <c r="C1" s="12" t="s">
        <v>2</v>
      </c>
      <c r="D1" s="12" t="s">
        <v>3</v>
      </c>
      <c r="E1" s="12" t="s">
        <v>4</v>
      </c>
      <c r="F1" s="12" t="s">
        <v>5</v>
      </c>
    </row>
    <row r="2" spans="1:6" x14ac:dyDescent="0.25">
      <c r="A2" s="13" t="s">
        <v>332</v>
      </c>
      <c r="B2" s="14"/>
      <c r="C2" s="14"/>
      <c r="D2" s="14"/>
      <c r="E2" s="14"/>
      <c r="F2" s="14"/>
    </row>
    <row r="3" spans="1:6" x14ac:dyDescent="0.25">
      <c r="A3" s="6">
        <v>46028</v>
      </c>
      <c r="B3" s="7" t="s">
        <v>14</v>
      </c>
      <c r="C3" s="7" t="s">
        <v>74</v>
      </c>
      <c r="D3" s="7" t="s">
        <v>75</v>
      </c>
      <c r="E3" s="7" t="s">
        <v>76</v>
      </c>
      <c r="F3" s="7">
        <v>1</v>
      </c>
    </row>
    <row r="4" spans="1:6" x14ac:dyDescent="0.25">
      <c r="A4" s="6">
        <v>46049</v>
      </c>
      <c r="B4" s="7"/>
      <c r="C4" s="7" t="s">
        <v>77</v>
      </c>
      <c r="D4" s="7" t="s">
        <v>21</v>
      </c>
      <c r="E4" s="7" t="s">
        <v>65</v>
      </c>
      <c r="F4" s="7">
        <v>1</v>
      </c>
    </row>
    <row r="5" spans="1:6" x14ac:dyDescent="0.25">
      <c r="A5" s="6">
        <v>46050</v>
      </c>
      <c r="B5" s="7"/>
      <c r="C5" s="7" t="s">
        <v>78</v>
      </c>
      <c r="D5" s="7" t="s">
        <v>21</v>
      </c>
      <c r="E5" s="7" t="s">
        <v>65</v>
      </c>
      <c r="F5" s="7">
        <v>1</v>
      </c>
    </row>
    <row r="6" spans="1:6" x14ac:dyDescent="0.25">
      <c r="A6" s="6">
        <v>46049</v>
      </c>
      <c r="B6" s="7"/>
      <c r="C6" s="7" t="s">
        <v>79</v>
      </c>
      <c r="D6" s="7" t="s">
        <v>21</v>
      </c>
      <c r="E6" s="7" t="s">
        <v>65</v>
      </c>
      <c r="F6" s="7">
        <v>1</v>
      </c>
    </row>
    <row r="7" spans="1:6" x14ac:dyDescent="0.25">
      <c r="A7" s="6">
        <v>46051</v>
      </c>
      <c r="B7" s="7"/>
      <c r="C7" s="7" t="s">
        <v>80</v>
      </c>
      <c r="D7" s="7" t="s">
        <v>81</v>
      </c>
      <c r="E7" s="7" t="s">
        <v>82</v>
      </c>
      <c r="F7" s="7">
        <v>1</v>
      </c>
    </row>
    <row r="8" spans="1:6" x14ac:dyDescent="0.25">
      <c r="A8" s="6">
        <v>46049</v>
      </c>
      <c r="B8" s="7"/>
      <c r="C8" s="7" t="s">
        <v>83</v>
      </c>
      <c r="D8" s="7" t="s">
        <v>81</v>
      </c>
      <c r="E8" s="7" t="s">
        <v>82</v>
      </c>
      <c r="F8" s="7">
        <v>1</v>
      </c>
    </row>
    <row r="9" spans="1:6" x14ac:dyDescent="0.25">
      <c r="A9" s="6">
        <v>46036</v>
      </c>
      <c r="B9" s="7"/>
      <c r="C9" s="7" t="s">
        <v>84</v>
      </c>
      <c r="D9" s="7" t="s">
        <v>85</v>
      </c>
      <c r="E9" s="7" t="s">
        <v>86</v>
      </c>
      <c r="F9" s="7">
        <v>1</v>
      </c>
    </row>
    <row r="10" spans="1:6" x14ac:dyDescent="0.25">
      <c r="A10" s="6">
        <v>46047</v>
      </c>
      <c r="B10" s="7"/>
      <c r="C10" s="7" t="s">
        <v>87</v>
      </c>
      <c r="D10" s="7" t="s">
        <v>61</v>
      </c>
      <c r="E10" s="7" t="s">
        <v>62</v>
      </c>
      <c r="F10" s="7">
        <v>1</v>
      </c>
    </row>
    <row r="11" spans="1:6" x14ac:dyDescent="0.25">
      <c r="A11" s="6">
        <v>46047</v>
      </c>
      <c r="B11" s="7"/>
      <c r="C11" s="7" t="s">
        <v>88</v>
      </c>
      <c r="D11" s="7" t="s">
        <v>61</v>
      </c>
      <c r="E11" s="7" t="s">
        <v>62</v>
      </c>
      <c r="F11" s="7">
        <v>1</v>
      </c>
    </row>
    <row r="12" spans="1:6" x14ac:dyDescent="0.25">
      <c r="A12" s="6">
        <v>46051</v>
      </c>
      <c r="B12" s="7"/>
      <c r="C12" s="7" t="s">
        <v>63</v>
      </c>
      <c r="D12" s="7" t="s">
        <v>61</v>
      </c>
      <c r="E12" s="7" t="s">
        <v>62</v>
      </c>
      <c r="F12" s="7">
        <v>1</v>
      </c>
    </row>
    <row r="13" spans="1:6" x14ac:dyDescent="0.25">
      <c r="A13" s="6">
        <v>46047</v>
      </c>
      <c r="B13" s="7"/>
      <c r="C13" s="7" t="s">
        <v>89</v>
      </c>
      <c r="D13" s="7" t="s">
        <v>61</v>
      </c>
      <c r="E13" s="7" t="s">
        <v>62</v>
      </c>
      <c r="F13" s="7">
        <v>1</v>
      </c>
    </row>
    <row r="14" spans="1:6" x14ac:dyDescent="0.25">
      <c r="A14" s="6">
        <v>46047</v>
      </c>
      <c r="B14" s="7"/>
      <c r="C14" s="7" t="s">
        <v>90</v>
      </c>
      <c r="D14" s="7" t="s">
        <v>61</v>
      </c>
      <c r="E14" s="7" t="s">
        <v>62</v>
      </c>
      <c r="F14" s="7">
        <v>1</v>
      </c>
    </row>
    <row r="15" spans="1:6" x14ac:dyDescent="0.25">
      <c r="A15" s="6">
        <v>46043</v>
      </c>
      <c r="B15" s="7"/>
      <c r="C15" s="7" t="s">
        <v>71</v>
      </c>
      <c r="D15" s="7" t="s">
        <v>56</v>
      </c>
      <c r="E15" s="7" t="s">
        <v>69</v>
      </c>
      <c r="F15" s="7">
        <v>1</v>
      </c>
    </row>
    <row r="16" spans="1:6" x14ac:dyDescent="0.25">
      <c r="A16" s="6">
        <v>46043</v>
      </c>
      <c r="B16" s="7"/>
      <c r="C16" s="7" t="s">
        <v>91</v>
      </c>
      <c r="D16" s="7" t="s">
        <v>56</v>
      </c>
      <c r="E16" s="7" t="s">
        <v>69</v>
      </c>
      <c r="F16" s="7">
        <v>1</v>
      </c>
    </row>
    <row r="17" spans="1:6" x14ac:dyDescent="0.25">
      <c r="A17" s="6">
        <v>46044</v>
      </c>
      <c r="B17" s="7"/>
      <c r="C17" s="7" t="s">
        <v>92</v>
      </c>
      <c r="D17" s="7" t="s">
        <v>56</v>
      </c>
      <c r="E17" s="7" t="s">
        <v>69</v>
      </c>
      <c r="F17" s="7">
        <v>1</v>
      </c>
    </row>
    <row r="18" spans="1:6" x14ac:dyDescent="0.25">
      <c r="A18" s="6">
        <v>46043</v>
      </c>
      <c r="B18" s="7"/>
      <c r="C18" s="7" t="s">
        <v>93</v>
      </c>
      <c r="D18" s="7" t="s">
        <v>56</v>
      </c>
      <c r="E18" s="7" t="s">
        <v>69</v>
      </c>
      <c r="F18" s="7">
        <v>1</v>
      </c>
    </row>
    <row r="19" spans="1:6" x14ac:dyDescent="0.25">
      <c r="A19" s="6">
        <v>46051</v>
      </c>
      <c r="B19" s="7"/>
      <c r="C19" s="7" t="s">
        <v>94</v>
      </c>
      <c r="D19" s="7" t="s">
        <v>95</v>
      </c>
      <c r="E19" s="7" t="s">
        <v>96</v>
      </c>
      <c r="F19" s="7">
        <v>1</v>
      </c>
    </row>
    <row r="20" spans="1:6" x14ac:dyDescent="0.25">
      <c r="A20" s="6">
        <v>46051</v>
      </c>
      <c r="B20" s="7"/>
      <c r="C20" s="7" t="s">
        <v>97</v>
      </c>
      <c r="D20" s="7" t="s">
        <v>95</v>
      </c>
      <c r="E20" s="7" t="s">
        <v>98</v>
      </c>
      <c r="F20" s="7">
        <v>1</v>
      </c>
    </row>
    <row r="21" spans="1:6" x14ac:dyDescent="0.25">
      <c r="A21" s="6">
        <v>46051</v>
      </c>
      <c r="B21" s="7"/>
      <c r="C21" s="7" t="s">
        <v>99</v>
      </c>
      <c r="D21" s="7" t="s">
        <v>95</v>
      </c>
      <c r="E21" s="7" t="s">
        <v>98</v>
      </c>
      <c r="F21" s="7">
        <v>1</v>
      </c>
    </row>
    <row r="22" spans="1:6" x14ac:dyDescent="0.25">
      <c r="A22" s="6">
        <v>46034</v>
      </c>
      <c r="B22" s="7" t="s">
        <v>18</v>
      </c>
      <c r="C22" s="7" t="s">
        <v>100</v>
      </c>
      <c r="D22" s="7" t="s">
        <v>12</v>
      </c>
      <c r="E22" s="7" t="s">
        <v>13</v>
      </c>
      <c r="F22" s="7">
        <v>1</v>
      </c>
    </row>
    <row r="23" spans="1:6" x14ac:dyDescent="0.25">
      <c r="A23" s="6">
        <v>46038</v>
      </c>
      <c r="B23" s="7"/>
      <c r="C23" s="7" t="s">
        <v>101</v>
      </c>
      <c r="D23" s="7" t="s">
        <v>12</v>
      </c>
      <c r="E23" s="7" t="s">
        <v>13</v>
      </c>
      <c r="F23" s="7">
        <v>1</v>
      </c>
    </row>
    <row r="24" spans="1:6" x14ac:dyDescent="0.25">
      <c r="A24" s="6">
        <v>46045</v>
      </c>
      <c r="B24" s="7"/>
      <c r="C24" s="7" t="s">
        <v>102</v>
      </c>
      <c r="D24" s="7" t="s">
        <v>75</v>
      </c>
      <c r="E24" s="7" t="s">
        <v>76</v>
      </c>
      <c r="F24" s="7">
        <v>1</v>
      </c>
    </row>
    <row r="25" spans="1:6" x14ac:dyDescent="0.25">
      <c r="A25" s="6">
        <v>46038</v>
      </c>
      <c r="B25" s="7"/>
      <c r="C25" s="7" t="s">
        <v>103</v>
      </c>
      <c r="D25" s="7" t="s">
        <v>16</v>
      </c>
      <c r="E25" s="7" t="s">
        <v>17</v>
      </c>
      <c r="F25" s="7">
        <v>1</v>
      </c>
    </row>
    <row r="26" spans="1:6" x14ac:dyDescent="0.25">
      <c r="A26" s="6">
        <v>46050</v>
      </c>
      <c r="B26" s="7"/>
      <c r="C26" s="7" t="s">
        <v>72</v>
      </c>
      <c r="D26" s="7" t="s">
        <v>16</v>
      </c>
      <c r="E26" s="7" t="s">
        <v>17</v>
      </c>
      <c r="F26" s="7">
        <v>1</v>
      </c>
    </row>
    <row r="27" spans="1:6" x14ac:dyDescent="0.25">
      <c r="A27" s="6">
        <v>46048</v>
      </c>
      <c r="B27" s="7"/>
      <c r="C27" s="7" t="s">
        <v>104</v>
      </c>
      <c r="D27" s="7" t="s">
        <v>16</v>
      </c>
      <c r="E27" s="7" t="s">
        <v>17</v>
      </c>
      <c r="F27" s="7">
        <v>1</v>
      </c>
    </row>
    <row r="28" spans="1:6" x14ac:dyDescent="0.25">
      <c r="A28" s="6">
        <v>46048</v>
      </c>
      <c r="B28" s="7"/>
      <c r="C28" s="7" t="s">
        <v>105</v>
      </c>
      <c r="D28" s="7" t="s">
        <v>16</v>
      </c>
      <c r="E28" s="7" t="s">
        <v>17</v>
      </c>
      <c r="F28" s="7">
        <v>1</v>
      </c>
    </row>
    <row r="29" spans="1:6" x14ac:dyDescent="0.25">
      <c r="A29" s="6">
        <v>46051</v>
      </c>
      <c r="B29" s="7"/>
      <c r="C29" s="7" t="s">
        <v>106</v>
      </c>
      <c r="D29" s="7" t="s">
        <v>95</v>
      </c>
      <c r="E29" s="7" t="s">
        <v>98</v>
      </c>
      <c r="F29" s="7">
        <v>1</v>
      </c>
    </row>
    <row r="30" spans="1:6" x14ac:dyDescent="0.25">
      <c r="A30" s="6">
        <v>46036</v>
      </c>
      <c r="B30" s="7" t="s">
        <v>6</v>
      </c>
      <c r="C30" s="7" t="s">
        <v>107</v>
      </c>
      <c r="D30" s="7" t="s">
        <v>26</v>
      </c>
      <c r="E30" s="7" t="s">
        <v>27</v>
      </c>
      <c r="F30" s="7">
        <v>1</v>
      </c>
    </row>
    <row r="31" spans="1:6" x14ac:dyDescent="0.25">
      <c r="A31" s="6">
        <v>46029</v>
      </c>
      <c r="B31" s="7"/>
      <c r="C31" s="7" t="s">
        <v>108</v>
      </c>
      <c r="D31" s="7" t="s">
        <v>21</v>
      </c>
      <c r="E31" s="7" t="s">
        <v>35</v>
      </c>
      <c r="F31" s="7">
        <v>1</v>
      </c>
    </row>
    <row r="32" spans="1:6" x14ac:dyDescent="0.25">
      <c r="A32" s="6">
        <v>46037</v>
      </c>
      <c r="B32" s="7"/>
      <c r="C32" s="7" t="s">
        <v>109</v>
      </c>
      <c r="D32" s="7" t="s">
        <v>21</v>
      </c>
      <c r="E32" s="7" t="s">
        <v>22</v>
      </c>
      <c r="F32" s="7">
        <v>1</v>
      </c>
    </row>
    <row r="33" spans="1:6" x14ac:dyDescent="0.25">
      <c r="A33" s="6">
        <v>46045</v>
      </c>
      <c r="B33" s="7"/>
      <c r="C33" s="7" t="s">
        <v>110</v>
      </c>
      <c r="D33" s="7" t="s">
        <v>21</v>
      </c>
      <c r="E33" s="7" t="s">
        <v>22</v>
      </c>
      <c r="F33" s="7">
        <v>1</v>
      </c>
    </row>
    <row r="34" spans="1:6" x14ac:dyDescent="0.25">
      <c r="A34" s="6">
        <v>46037</v>
      </c>
      <c r="B34" s="7"/>
      <c r="C34" s="7" t="s">
        <v>111</v>
      </c>
      <c r="D34" s="7" t="s">
        <v>21</v>
      </c>
      <c r="E34" s="7" t="s">
        <v>22</v>
      </c>
      <c r="F34" s="7">
        <v>1</v>
      </c>
    </row>
    <row r="35" spans="1:6" x14ac:dyDescent="0.25">
      <c r="A35" s="6">
        <v>46042</v>
      </c>
      <c r="B35" s="7"/>
      <c r="C35" s="7" t="s">
        <v>112</v>
      </c>
      <c r="D35" s="7" t="s">
        <v>21</v>
      </c>
      <c r="E35" s="7" t="s">
        <v>22</v>
      </c>
      <c r="F35" s="7">
        <v>1</v>
      </c>
    </row>
    <row r="36" spans="1:6" x14ac:dyDescent="0.25">
      <c r="A36" s="6">
        <v>46045</v>
      </c>
      <c r="B36" s="7"/>
      <c r="C36" s="7" t="s">
        <v>113</v>
      </c>
      <c r="D36" s="7" t="s">
        <v>21</v>
      </c>
      <c r="E36" s="7" t="s">
        <v>22</v>
      </c>
      <c r="F36" s="7">
        <v>1</v>
      </c>
    </row>
    <row r="37" spans="1:6" x14ac:dyDescent="0.25">
      <c r="A37" s="6">
        <v>46049</v>
      </c>
      <c r="B37" s="7"/>
      <c r="C37" s="7" t="s">
        <v>114</v>
      </c>
      <c r="D37" s="7" t="s">
        <v>81</v>
      </c>
      <c r="E37" s="7" t="s">
        <v>82</v>
      </c>
      <c r="F37" s="7">
        <v>1</v>
      </c>
    </row>
    <row r="38" spans="1:6" x14ac:dyDescent="0.25">
      <c r="A38" s="6">
        <v>46051</v>
      </c>
      <c r="B38" s="7"/>
      <c r="C38" s="7" t="s">
        <v>115</v>
      </c>
      <c r="D38" s="7" t="s">
        <v>81</v>
      </c>
      <c r="E38" s="7" t="s">
        <v>82</v>
      </c>
      <c r="F38" s="7">
        <v>1</v>
      </c>
    </row>
    <row r="39" spans="1:6" x14ac:dyDescent="0.25">
      <c r="A39" s="6">
        <v>46049</v>
      </c>
      <c r="B39" s="7"/>
      <c r="C39" s="7" t="s">
        <v>116</v>
      </c>
      <c r="D39" s="7" t="s">
        <v>81</v>
      </c>
      <c r="E39" s="7" t="s">
        <v>82</v>
      </c>
      <c r="F39" s="7">
        <v>1</v>
      </c>
    </row>
    <row r="40" spans="1:6" x14ac:dyDescent="0.25">
      <c r="A40" s="6">
        <v>46049</v>
      </c>
      <c r="B40" s="7"/>
      <c r="C40" s="7" t="s">
        <v>117</v>
      </c>
      <c r="D40" s="7" t="s">
        <v>81</v>
      </c>
      <c r="E40" s="7" t="s">
        <v>82</v>
      </c>
      <c r="F40" s="7">
        <v>1</v>
      </c>
    </row>
    <row r="41" spans="1:6" x14ac:dyDescent="0.25">
      <c r="A41" s="6">
        <v>46049</v>
      </c>
      <c r="B41" s="7"/>
      <c r="C41" s="7" t="s">
        <v>118</v>
      </c>
      <c r="D41" s="7" t="s">
        <v>81</v>
      </c>
      <c r="E41" s="7" t="s">
        <v>82</v>
      </c>
      <c r="F41" s="7">
        <v>1</v>
      </c>
    </row>
    <row r="42" spans="1:6" x14ac:dyDescent="0.25">
      <c r="A42" s="6">
        <v>46051</v>
      </c>
      <c r="B42" s="7"/>
      <c r="C42" s="7" t="s">
        <v>119</v>
      </c>
      <c r="D42" s="7" t="s">
        <v>81</v>
      </c>
      <c r="E42" s="7" t="s">
        <v>120</v>
      </c>
      <c r="F42" s="7">
        <v>1</v>
      </c>
    </row>
    <row r="43" spans="1:6" x14ac:dyDescent="0.25">
      <c r="A43" s="6">
        <v>46030</v>
      </c>
      <c r="B43" s="7"/>
      <c r="C43" s="7" t="s">
        <v>121</v>
      </c>
      <c r="D43" s="7" t="s">
        <v>56</v>
      </c>
      <c r="E43" s="7" t="s">
        <v>24</v>
      </c>
      <c r="F43" s="7">
        <v>1</v>
      </c>
    </row>
    <row r="44" spans="1:6" x14ac:dyDescent="0.25">
      <c r="A44" s="6">
        <v>46043</v>
      </c>
      <c r="B44" s="7"/>
      <c r="C44" s="7" t="s">
        <v>38</v>
      </c>
      <c r="D44" s="7" t="s">
        <v>95</v>
      </c>
      <c r="E44" s="7" t="s">
        <v>122</v>
      </c>
      <c r="F44" s="7">
        <v>1</v>
      </c>
    </row>
    <row r="45" spans="1:6" x14ac:dyDescent="0.25">
      <c r="A45" s="6">
        <v>46043</v>
      </c>
      <c r="B45" s="7"/>
      <c r="C45" s="7" t="s">
        <v>40</v>
      </c>
      <c r="D45" s="7" t="s">
        <v>95</v>
      </c>
      <c r="E45" s="7" t="s">
        <v>122</v>
      </c>
      <c r="F45" s="7">
        <v>1</v>
      </c>
    </row>
    <row r="46" spans="1:6" x14ac:dyDescent="0.25">
      <c r="A46" s="6">
        <v>46043</v>
      </c>
      <c r="B46" s="7"/>
      <c r="C46" s="7" t="s">
        <v>123</v>
      </c>
      <c r="D46" s="7" t="s">
        <v>95</v>
      </c>
      <c r="E46" s="7" t="s">
        <v>122</v>
      </c>
      <c r="F46" s="7">
        <v>1</v>
      </c>
    </row>
    <row r="47" spans="1:6" x14ac:dyDescent="0.25">
      <c r="A47" s="6">
        <v>46045</v>
      </c>
      <c r="B47" s="7"/>
      <c r="C47" s="7" t="s">
        <v>124</v>
      </c>
      <c r="D47" s="7" t="s">
        <v>95</v>
      </c>
      <c r="E47" s="7" t="s">
        <v>122</v>
      </c>
      <c r="F47" s="7">
        <v>1</v>
      </c>
    </row>
    <row r="48" spans="1:6" x14ac:dyDescent="0.25">
      <c r="A48" s="6">
        <v>46043</v>
      </c>
      <c r="B48" s="7"/>
      <c r="C48" s="7" t="s">
        <v>125</v>
      </c>
      <c r="D48" s="7" t="s">
        <v>95</v>
      </c>
      <c r="E48" s="7" t="s">
        <v>122</v>
      </c>
      <c r="F48" s="7">
        <v>1</v>
      </c>
    </row>
    <row r="49" spans="1:6" x14ac:dyDescent="0.25">
      <c r="A49" s="6">
        <v>46044</v>
      </c>
      <c r="B49" s="7"/>
      <c r="C49" s="7" t="s">
        <v>126</v>
      </c>
      <c r="D49" s="7" t="s">
        <v>8</v>
      </c>
      <c r="E49" s="7" t="s">
        <v>9</v>
      </c>
      <c r="F49" s="7">
        <v>1</v>
      </c>
    </row>
    <row r="50" spans="1:6" x14ac:dyDescent="0.25">
      <c r="A50" s="6">
        <v>46043</v>
      </c>
      <c r="B50" s="7"/>
      <c r="C50" s="7" t="s">
        <v>73</v>
      </c>
      <c r="D50" s="7" t="s">
        <v>8</v>
      </c>
      <c r="E50" s="7" t="s">
        <v>9</v>
      </c>
      <c r="F50" s="7">
        <v>1</v>
      </c>
    </row>
    <row r="51" spans="1:6" x14ac:dyDescent="0.25">
      <c r="A51" s="6">
        <v>46045</v>
      </c>
      <c r="B51" s="7"/>
      <c r="C51" s="7" t="s">
        <v>127</v>
      </c>
      <c r="D51" s="7" t="s">
        <v>8</v>
      </c>
      <c r="E51" s="7" t="s">
        <v>9</v>
      </c>
      <c r="F51" s="7">
        <v>1</v>
      </c>
    </row>
    <row r="52" spans="1:6" x14ac:dyDescent="0.25">
      <c r="A52" s="6">
        <v>46044</v>
      </c>
      <c r="B52" s="7" t="s">
        <v>10</v>
      </c>
      <c r="C52" s="7" t="s">
        <v>128</v>
      </c>
      <c r="D52" s="7" t="s">
        <v>12</v>
      </c>
      <c r="E52" s="7" t="s">
        <v>33</v>
      </c>
      <c r="F52" s="7">
        <v>1</v>
      </c>
    </row>
    <row r="53" spans="1:6" x14ac:dyDescent="0.25">
      <c r="A53" s="6">
        <v>46044</v>
      </c>
      <c r="B53" s="7"/>
      <c r="C53" s="7" t="s">
        <v>129</v>
      </c>
      <c r="D53" s="7" t="s">
        <v>12</v>
      </c>
      <c r="E53" s="7" t="s">
        <v>33</v>
      </c>
      <c r="F53" s="7">
        <v>1</v>
      </c>
    </row>
    <row r="54" spans="1:6" x14ac:dyDescent="0.25">
      <c r="A54" s="6">
        <v>46030</v>
      </c>
      <c r="B54" s="7"/>
      <c r="C54" s="7" t="s">
        <v>130</v>
      </c>
      <c r="D54" s="7" t="s">
        <v>12</v>
      </c>
      <c r="E54" s="7" t="s">
        <v>13</v>
      </c>
      <c r="F54" s="7">
        <v>1</v>
      </c>
    </row>
    <row r="55" spans="1:6" x14ac:dyDescent="0.25">
      <c r="A55" s="6">
        <v>46028</v>
      </c>
      <c r="B55" s="7"/>
      <c r="C55" s="7" t="s">
        <v>131</v>
      </c>
      <c r="D55" s="7" t="s">
        <v>12</v>
      </c>
      <c r="E55" s="7" t="s">
        <v>13</v>
      </c>
      <c r="F55" s="7">
        <v>1</v>
      </c>
    </row>
    <row r="56" spans="1:6" x14ac:dyDescent="0.25">
      <c r="A56" s="6">
        <v>46034</v>
      </c>
      <c r="B56" s="7"/>
      <c r="C56" s="7" t="s">
        <v>132</v>
      </c>
      <c r="D56" s="7" t="s">
        <v>133</v>
      </c>
      <c r="E56" s="7" t="s">
        <v>134</v>
      </c>
      <c r="F56" s="7">
        <v>1</v>
      </c>
    </row>
    <row r="57" spans="1:6" x14ac:dyDescent="0.25">
      <c r="A57" s="6">
        <v>46034</v>
      </c>
      <c r="B57" s="7"/>
      <c r="C57" s="7" t="s">
        <v>135</v>
      </c>
      <c r="D57" s="7" t="s">
        <v>26</v>
      </c>
      <c r="E57" s="7" t="s">
        <v>136</v>
      </c>
      <c r="F57" s="7">
        <v>1</v>
      </c>
    </row>
    <row r="58" spans="1:6" x14ac:dyDescent="0.25">
      <c r="A58" s="6">
        <v>46035</v>
      </c>
      <c r="B58" s="7"/>
      <c r="C58" s="7" t="s">
        <v>137</v>
      </c>
      <c r="D58" s="7" t="s">
        <v>26</v>
      </c>
      <c r="E58" s="7" t="s">
        <v>136</v>
      </c>
      <c r="F58" s="7">
        <v>1</v>
      </c>
    </row>
    <row r="59" spans="1:6" x14ac:dyDescent="0.25">
      <c r="A59" s="6">
        <v>46034</v>
      </c>
      <c r="B59" s="7"/>
      <c r="C59" s="7" t="s">
        <v>138</v>
      </c>
      <c r="D59" s="7" t="s">
        <v>26</v>
      </c>
      <c r="E59" s="7" t="s">
        <v>136</v>
      </c>
      <c r="F59" s="7">
        <v>1</v>
      </c>
    </row>
    <row r="60" spans="1:6" x14ac:dyDescent="0.25">
      <c r="A60" s="6">
        <v>46034</v>
      </c>
      <c r="B60" s="7"/>
      <c r="C60" s="7" t="s">
        <v>139</v>
      </c>
      <c r="D60" s="7" t="s">
        <v>26</v>
      </c>
      <c r="E60" s="7" t="s">
        <v>27</v>
      </c>
      <c r="F60" s="7">
        <v>1</v>
      </c>
    </row>
    <row r="61" spans="1:6" x14ac:dyDescent="0.25">
      <c r="A61" s="6">
        <v>46035</v>
      </c>
      <c r="B61" s="7"/>
      <c r="C61" s="7" t="s">
        <v>140</v>
      </c>
      <c r="D61" s="7" t="s">
        <v>26</v>
      </c>
      <c r="E61" s="7" t="s">
        <v>27</v>
      </c>
      <c r="F61" s="7">
        <v>1</v>
      </c>
    </row>
    <row r="62" spans="1:6" x14ac:dyDescent="0.25">
      <c r="A62" s="6">
        <v>46035</v>
      </c>
      <c r="B62" s="7"/>
      <c r="C62" s="7" t="s">
        <v>141</v>
      </c>
      <c r="D62" s="7" t="s">
        <v>26</v>
      </c>
      <c r="E62" s="7" t="s">
        <v>27</v>
      </c>
      <c r="F62" s="7">
        <v>1</v>
      </c>
    </row>
    <row r="63" spans="1:6" x14ac:dyDescent="0.25">
      <c r="A63" s="6">
        <v>46036</v>
      </c>
      <c r="B63" s="7"/>
      <c r="C63" s="7" t="s">
        <v>28</v>
      </c>
      <c r="D63" s="7" t="s">
        <v>26</v>
      </c>
      <c r="E63" s="7" t="s">
        <v>27</v>
      </c>
      <c r="F63" s="7">
        <v>1</v>
      </c>
    </row>
    <row r="64" spans="1:6" x14ac:dyDescent="0.25">
      <c r="A64" s="6">
        <v>46036</v>
      </c>
      <c r="B64" s="7"/>
      <c r="C64" s="7" t="s">
        <v>142</v>
      </c>
      <c r="D64" s="7" t="s">
        <v>26</v>
      </c>
      <c r="E64" s="7" t="s">
        <v>27</v>
      </c>
      <c r="F64" s="7">
        <v>1</v>
      </c>
    </row>
    <row r="65" spans="1:6" x14ac:dyDescent="0.25">
      <c r="A65" s="6">
        <v>46036</v>
      </c>
      <c r="B65" s="7"/>
      <c r="C65" s="7" t="s">
        <v>143</v>
      </c>
      <c r="D65" s="7" t="s">
        <v>26</v>
      </c>
      <c r="E65" s="7" t="s">
        <v>27</v>
      </c>
      <c r="F65" s="7">
        <v>1</v>
      </c>
    </row>
    <row r="66" spans="1:6" x14ac:dyDescent="0.25">
      <c r="A66" s="6">
        <v>46043</v>
      </c>
      <c r="B66" s="7"/>
      <c r="C66" s="7" t="s">
        <v>144</v>
      </c>
      <c r="D66" s="7" t="s">
        <v>56</v>
      </c>
      <c r="E66" s="7" t="s">
        <v>69</v>
      </c>
      <c r="F66" s="7">
        <v>1</v>
      </c>
    </row>
    <row r="67" spans="1:6" x14ac:dyDescent="0.25">
      <c r="A67" s="6">
        <v>46043</v>
      </c>
      <c r="B67" s="7"/>
      <c r="C67" s="7" t="s">
        <v>145</v>
      </c>
      <c r="D67" s="7" t="s">
        <v>56</v>
      </c>
      <c r="E67" s="7" t="s">
        <v>69</v>
      </c>
      <c r="F67" s="7">
        <v>1</v>
      </c>
    </row>
    <row r="68" spans="1:6" x14ac:dyDescent="0.25">
      <c r="A68" s="6">
        <v>46034</v>
      </c>
      <c r="B68" s="7" t="s">
        <v>146</v>
      </c>
      <c r="C68" s="7" t="s">
        <v>147</v>
      </c>
      <c r="D68" s="7" t="s">
        <v>133</v>
      </c>
      <c r="E68" s="7" t="s">
        <v>134</v>
      </c>
      <c r="F68" s="7">
        <v>1</v>
      </c>
    </row>
    <row r="69" spans="1:6" x14ac:dyDescent="0.25">
      <c r="A69" s="6">
        <v>46034</v>
      </c>
      <c r="B69" s="7"/>
      <c r="C69" s="7" t="s">
        <v>148</v>
      </c>
      <c r="D69" s="7" t="s">
        <v>133</v>
      </c>
      <c r="E69" s="7" t="s">
        <v>134</v>
      </c>
      <c r="F69" s="7">
        <v>1</v>
      </c>
    </row>
    <row r="70" spans="1:6" x14ac:dyDescent="0.25">
      <c r="A70" s="6">
        <v>46048</v>
      </c>
      <c r="B70" s="7"/>
      <c r="C70" s="7" t="s">
        <v>149</v>
      </c>
      <c r="D70" s="7" t="s">
        <v>150</v>
      </c>
      <c r="E70" s="7" t="s">
        <v>151</v>
      </c>
      <c r="F70" s="7">
        <v>1</v>
      </c>
    </row>
    <row r="71" spans="1:6" x14ac:dyDescent="0.25">
      <c r="A71" s="6">
        <v>46028</v>
      </c>
      <c r="B71" s="7" t="s">
        <v>64</v>
      </c>
      <c r="C71" s="7"/>
      <c r="D71" s="7"/>
      <c r="E71" s="7"/>
      <c r="F71" s="7">
        <v>1</v>
      </c>
    </row>
    <row r="72" spans="1:6" x14ac:dyDescent="0.25">
      <c r="A72" s="6">
        <v>46036</v>
      </c>
      <c r="B72" s="7" t="s">
        <v>153</v>
      </c>
      <c r="C72" s="7" t="s">
        <v>154</v>
      </c>
      <c r="D72" s="7" t="s">
        <v>26</v>
      </c>
      <c r="E72" s="7" t="s">
        <v>136</v>
      </c>
      <c r="F72" s="7">
        <v>1</v>
      </c>
    </row>
    <row r="73" spans="1:6" x14ac:dyDescent="0.25">
      <c r="A73" s="6">
        <v>46036</v>
      </c>
      <c r="B73" s="7"/>
      <c r="C73" s="7" t="s">
        <v>155</v>
      </c>
      <c r="D73" s="7" t="s">
        <v>26</v>
      </c>
      <c r="E73" s="7" t="s">
        <v>136</v>
      </c>
      <c r="F73" s="7">
        <v>1</v>
      </c>
    </row>
    <row r="74" spans="1:6" x14ac:dyDescent="0.25">
      <c r="A74" s="6">
        <v>46045</v>
      </c>
      <c r="B74" s="7"/>
      <c r="C74" s="7" t="s">
        <v>156</v>
      </c>
      <c r="D74" s="7" t="s">
        <v>157</v>
      </c>
      <c r="E74" s="7" t="s">
        <v>158</v>
      </c>
      <c r="F74" s="7">
        <v>1</v>
      </c>
    </row>
    <row r="75" spans="1:6" x14ac:dyDescent="0.25">
      <c r="A75" s="6">
        <v>46030</v>
      </c>
      <c r="B75" s="7"/>
      <c r="C75" s="7" t="s">
        <v>159</v>
      </c>
      <c r="D75" s="7" t="s">
        <v>157</v>
      </c>
      <c r="E75" s="7" t="s">
        <v>158</v>
      </c>
      <c r="F75" s="7">
        <v>1</v>
      </c>
    </row>
    <row r="76" spans="1:6" x14ac:dyDescent="0.25">
      <c r="A76" s="6">
        <v>46038</v>
      </c>
      <c r="B76" s="7"/>
      <c r="C76" s="7" t="s">
        <v>160</v>
      </c>
      <c r="D76" s="7" t="s">
        <v>157</v>
      </c>
      <c r="E76" s="7" t="s">
        <v>158</v>
      </c>
      <c r="F76" s="7">
        <v>1</v>
      </c>
    </row>
    <row r="77" spans="1:6" x14ac:dyDescent="0.25">
      <c r="A77" s="6">
        <v>46049</v>
      </c>
      <c r="B77" s="7"/>
      <c r="C77" s="7" t="s">
        <v>161</v>
      </c>
      <c r="D77" s="7" t="s">
        <v>61</v>
      </c>
      <c r="E77" s="7" t="s">
        <v>62</v>
      </c>
      <c r="F77" s="7">
        <v>1</v>
      </c>
    </row>
    <row r="78" spans="1:6" x14ac:dyDescent="0.25">
      <c r="A78" s="19">
        <v>46049</v>
      </c>
      <c r="B78" s="9"/>
      <c r="C78" s="9" t="s">
        <v>162</v>
      </c>
      <c r="D78" s="9" t="s">
        <v>61</v>
      </c>
      <c r="E78" s="9" t="s">
        <v>62</v>
      </c>
      <c r="F78" s="9">
        <v>1</v>
      </c>
    </row>
    <row r="79" spans="1:6" x14ac:dyDescent="0.25">
      <c r="A79" s="19" t="s">
        <v>163</v>
      </c>
      <c r="B79" s="9"/>
      <c r="C79" s="9"/>
      <c r="D79" s="9"/>
      <c r="E79" s="9"/>
      <c r="F79" s="9">
        <v>1</v>
      </c>
    </row>
    <row r="80" spans="1:6" x14ac:dyDescent="0.25">
      <c r="A80" s="19" t="s">
        <v>5</v>
      </c>
      <c r="B80" s="9"/>
      <c r="C80" s="9"/>
      <c r="D80" s="9"/>
      <c r="E80" s="9"/>
      <c r="F80" s="9">
        <f>SUM(F3:F79)</f>
        <v>77</v>
      </c>
    </row>
    <row r="81" spans="1:6" x14ac:dyDescent="0.25">
      <c r="A81" s="20" t="s">
        <v>331</v>
      </c>
      <c r="B81" s="10"/>
      <c r="C81" s="10"/>
      <c r="D81" s="10"/>
      <c r="E81" s="10"/>
      <c r="F81" s="10"/>
    </row>
    <row r="82" spans="1:6" x14ac:dyDescent="0.25">
      <c r="A82" s="6"/>
      <c r="B82" s="7" t="s">
        <v>14</v>
      </c>
      <c r="C82" s="7" t="s">
        <v>37</v>
      </c>
      <c r="D82" s="7" t="s">
        <v>26</v>
      </c>
      <c r="E82" s="7" t="s">
        <v>27</v>
      </c>
      <c r="F82" s="7">
        <v>1</v>
      </c>
    </row>
    <row r="83" spans="1:6" x14ac:dyDescent="0.25">
      <c r="A83" s="6"/>
      <c r="B83" s="7"/>
      <c r="C83" s="7" t="s">
        <v>239</v>
      </c>
      <c r="D83" s="7" t="s">
        <v>16</v>
      </c>
      <c r="E83" s="7" t="s">
        <v>17</v>
      </c>
      <c r="F83" s="7">
        <v>1</v>
      </c>
    </row>
    <row r="84" spans="1:6" x14ac:dyDescent="0.25">
      <c r="A84" s="6"/>
      <c r="B84" s="7"/>
      <c r="C84" s="7" t="s">
        <v>240</v>
      </c>
      <c r="D84" s="7" t="s">
        <v>241</v>
      </c>
      <c r="E84" s="7" t="s">
        <v>242</v>
      </c>
      <c r="F84" s="7">
        <v>1</v>
      </c>
    </row>
    <row r="85" spans="1:6" x14ac:dyDescent="0.25">
      <c r="A85" s="6"/>
      <c r="B85" s="7"/>
      <c r="C85" s="7" t="s">
        <v>243</v>
      </c>
      <c r="D85" s="7" t="s">
        <v>56</v>
      </c>
      <c r="E85" s="7" t="s">
        <v>244</v>
      </c>
      <c r="F85" s="7">
        <v>1</v>
      </c>
    </row>
    <row r="86" spans="1:6" x14ac:dyDescent="0.25">
      <c r="A86" s="6"/>
      <c r="B86" s="7"/>
      <c r="C86" s="7" t="s">
        <v>245</v>
      </c>
      <c r="D86" s="7" t="s">
        <v>56</v>
      </c>
      <c r="E86" s="7" t="s">
        <v>244</v>
      </c>
      <c r="F86" s="7">
        <v>1</v>
      </c>
    </row>
    <row r="87" spans="1:6" x14ac:dyDescent="0.25">
      <c r="A87" s="6"/>
      <c r="B87" s="7"/>
      <c r="C87" s="7" t="s">
        <v>246</v>
      </c>
      <c r="D87" s="7" t="s">
        <v>56</v>
      </c>
      <c r="E87" s="7" t="s">
        <v>247</v>
      </c>
      <c r="F87" s="7">
        <v>1</v>
      </c>
    </row>
    <row r="88" spans="1:6" x14ac:dyDescent="0.25">
      <c r="A88" s="6"/>
      <c r="B88" s="7"/>
      <c r="C88" s="7" t="s">
        <v>15</v>
      </c>
      <c r="D88" s="7" t="s">
        <v>16</v>
      </c>
      <c r="E88" s="7" t="s">
        <v>17</v>
      </c>
      <c r="F88" s="7">
        <v>1</v>
      </c>
    </row>
    <row r="89" spans="1:6" x14ac:dyDescent="0.25">
      <c r="A89" s="6"/>
      <c r="B89" s="7"/>
      <c r="C89" s="7" t="s">
        <v>248</v>
      </c>
      <c r="D89" s="7" t="s">
        <v>56</v>
      </c>
      <c r="E89" s="7" t="s">
        <v>244</v>
      </c>
      <c r="F89" s="7">
        <v>1</v>
      </c>
    </row>
    <row r="90" spans="1:6" x14ac:dyDescent="0.25">
      <c r="A90" s="6"/>
      <c r="B90" s="7"/>
      <c r="C90" s="7" t="s">
        <v>249</v>
      </c>
      <c r="D90" s="7" t="s">
        <v>150</v>
      </c>
      <c r="E90" s="7" t="s">
        <v>151</v>
      </c>
      <c r="F90" s="7">
        <v>1</v>
      </c>
    </row>
    <row r="91" spans="1:6" x14ac:dyDescent="0.25">
      <c r="A91" s="6"/>
      <c r="B91" s="7"/>
      <c r="C91" s="7" t="s">
        <v>29</v>
      </c>
      <c r="D91" s="7" t="s">
        <v>26</v>
      </c>
      <c r="E91" s="7" t="s">
        <v>27</v>
      </c>
      <c r="F91" s="7">
        <v>1</v>
      </c>
    </row>
    <row r="92" spans="1:6" x14ac:dyDescent="0.25">
      <c r="A92" s="6"/>
      <c r="B92" s="7"/>
      <c r="C92" s="7" t="s">
        <v>250</v>
      </c>
      <c r="D92" s="7" t="s">
        <v>56</v>
      </c>
      <c r="E92" s="7" t="s">
        <v>247</v>
      </c>
      <c r="F92" s="7">
        <v>1</v>
      </c>
    </row>
    <row r="93" spans="1:6" x14ac:dyDescent="0.25">
      <c r="A93" s="6"/>
      <c r="B93" s="7"/>
      <c r="C93" s="7" t="s">
        <v>251</v>
      </c>
      <c r="D93" s="7" t="s">
        <v>56</v>
      </c>
      <c r="E93" s="7" t="s">
        <v>69</v>
      </c>
      <c r="F93" s="7">
        <v>1</v>
      </c>
    </row>
    <row r="94" spans="1:6" x14ac:dyDescent="0.25">
      <c r="A94" s="6"/>
      <c r="B94" s="7"/>
      <c r="C94" s="7" t="s">
        <v>252</v>
      </c>
      <c r="D94" s="7" t="s">
        <v>56</v>
      </c>
      <c r="E94" s="7" t="s">
        <v>244</v>
      </c>
      <c r="F94" s="7">
        <v>1</v>
      </c>
    </row>
    <row r="95" spans="1:6" x14ac:dyDescent="0.25">
      <c r="A95" s="6"/>
      <c r="B95" s="7" t="s">
        <v>18</v>
      </c>
      <c r="C95" s="7" t="s">
        <v>253</v>
      </c>
      <c r="D95" s="7" t="s">
        <v>254</v>
      </c>
      <c r="E95" s="7" t="s">
        <v>255</v>
      </c>
      <c r="F95" s="7">
        <v>1</v>
      </c>
    </row>
    <row r="96" spans="1:6" x14ac:dyDescent="0.25">
      <c r="A96" s="6"/>
      <c r="B96" s="7"/>
      <c r="C96" s="7" t="s">
        <v>19</v>
      </c>
      <c r="D96" s="7" t="s">
        <v>16</v>
      </c>
      <c r="E96" s="7" t="s">
        <v>17</v>
      </c>
      <c r="F96" s="7">
        <v>1</v>
      </c>
    </row>
    <row r="97" spans="1:6" x14ac:dyDescent="0.25">
      <c r="A97" s="6"/>
      <c r="B97" s="7"/>
      <c r="C97" s="7" t="s">
        <v>256</v>
      </c>
      <c r="D97" s="7" t="s">
        <v>254</v>
      </c>
      <c r="E97" s="7" t="s">
        <v>255</v>
      </c>
      <c r="F97" s="7">
        <v>1</v>
      </c>
    </row>
    <row r="98" spans="1:6" x14ac:dyDescent="0.25">
      <c r="A98" s="6"/>
      <c r="B98" s="7"/>
      <c r="C98" s="7" t="s">
        <v>257</v>
      </c>
      <c r="D98" s="7" t="s">
        <v>258</v>
      </c>
      <c r="E98" s="7" t="s">
        <v>259</v>
      </c>
      <c r="F98" s="7">
        <v>1</v>
      </c>
    </row>
    <row r="99" spans="1:6" x14ac:dyDescent="0.25">
      <c r="A99" s="6"/>
      <c r="B99" s="7"/>
      <c r="C99" s="7" t="s">
        <v>257</v>
      </c>
      <c r="D99" s="7" t="s">
        <v>21</v>
      </c>
      <c r="E99" s="7" t="s">
        <v>260</v>
      </c>
      <c r="F99" s="7">
        <v>1</v>
      </c>
    </row>
    <row r="100" spans="1:6" x14ac:dyDescent="0.25">
      <c r="A100" s="6"/>
      <c r="B100" s="7"/>
      <c r="C100" s="7" t="s">
        <v>261</v>
      </c>
      <c r="D100" s="7" t="s">
        <v>254</v>
      </c>
      <c r="E100" s="7" t="s">
        <v>262</v>
      </c>
      <c r="F100" s="7">
        <v>1</v>
      </c>
    </row>
    <row r="101" spans="1:6" x14ac:dyDescent="0.25">
      <c r="A101" s="6"/>
      <c r="B101" s="7"/>
      <c r="C101" s="7" t="s">
        <v>263</v>
      </c>
      <c r="D101" s="7" t="s">
        <v>8</v>
      </c>
      <c r="E101" s="7" t="s">
        <v>9</v>
      </c>
      <c r="F101" s="7">
        <v>1</v>
      </c>
    </row>
    <row r="102" spans="1:6" x14ac:dyDescent="0.25">
      <c r="A102" s="6"/>
      <c r="B102" s="7"/>
      <c r="C102" s="7" t="s">
        <v>264</v>
      </c>
      <c r="D102" s="7" t="s">
        <v>56</v>
      </c>
      <c r="E102" s="7" t="s">
        <v>244</v>
      </c>
      <c r="F102" s="7">
        <v>1</v>
      </c>
    </row>
    <row r="103" spans="1:6" x14ac:dyDescent="0.25">
      <c r="A103" s="6"/>
      <c r="B103" s="7"/>
      <c r="C103" s="7" t="s">
        <v>265</v>
      </c>
      <c r="D103" s="7" t="s">
        <v>258</v>
      </c>
      <c r="E103" s="7" t="s">
        <v>259</v>
      </c>
      <c r="F103" s="7">
        <v>1</v>
      </c>
    </row>
    <row r="104" spans="1:6" x14ac:dyDescent="0.25">
      <c r="A104" s="6"/>
      <c r="B104" s="7" t="s">
        <v>266</v>
      </c>
      <c r="C104" s="7" t="s">
        <v>267</v>
      </c>
      <c r="D104" s="7" t="s">
        <v>56</v>
      </c>
      <c r="E104" s="7" t="s">
        <v>268</v>
      </c>
      <c r="F104" s="7">
        <v>1</v>
      </c>
    </row>
    <row r="105" spans="1:6" x14ac:dyDescent="0.25">
      <c r="A105" s="6"/>
      <c r="B105" s="7" t="s">
        <v>6</v>
      </c>
      <c r="C105" s="7" t="s">
        <v>38</v>
      </c>
      <c r="D105" s="7" t="s">
        <v>21</v>
      </c>
      <c r="E105" s="7" t="s">
        <v>39</v>
      </c>
      <c r="F105" s="7">
        <v>1</v>
      </c>
    </row>
    <row r="106" spans="1:6" x14ac:dyDescent="0.25">
      <c r="A106" s="6"/>
      <c r="B106" s="7"/>
      <c r="C106" s="7" t="s">
        <v>269</v>
      </c>
      <c r="D106" s="7" t="s">
        <v>8</v>
      </c>
      <c r="E106" s="7" t="s">
        <v>9</v>
      </c>
      <c r="F106" s="7">
        <v>1</v>
      </c>
    </row>
    <row r="107" spans="1:6" x14ac:dyDescent="0.25">
      <c r="A107" s="6"/>
      <c r="B107" s="7"/>
      <c r="C107" s="7" t="s">
        <v>270</v>
      </c>
      <c r="D107" s="7" t="s">
        <v>21</v>
      </c>
      <c r="E107" s="7" t="s">
        <v>39</v>
      </c>
      <c r="F107" s="7">
        <v>1</v>
      </c>
    </row>
    <row r="108" spans="1:6" x14ac:dyDescent="0.25">
      <c r="A108" s="6"/>
      <c r="B108" s="7"/>
      <c r="C108" s="7" t="s">
        <v>271</v>
      </c>
      <c r="D108" s="7" t="s">
        <v>21</v>
      </c>
      <c r="E108" s="7" t="s">
        <v>42</v>
      </c>
      <c r="F108" s="7">
        <v>1</v>
      </c>
    </row>
    <row r="109" spans="1:6" x14ac:dyDescent="0.25">
      <c r="A109" s="6"/>
      <c r="B109" s="7"/>
      <c r="C109" s="7" t="s">
        <v>20</v>
      </c>
      <c r="D109" s="7" t="s">
        <v>21</v>
      </c>
      <c r="E109" s="7" t="s">
        <v>22</v>
      </c>
      <c r="F109" s="7">
        <v>1</v>
      </c>
    </row>
    <row r="110" spans="1:6" x14ac:dyDescent="0.25">
      <c r="A110" s="6"/>
      <c r="B110" s="7"/>
      <c r="C110" s="7" t="s">
        <v>40</v>
      </c>
      <c r="D110" s="7" t="s">
        <v>21</v>
      </c>
      <c r="E110" s="7" t="s">
        <v>39</v>
      </c>
      <c r="F110" s="7">
        <v>1</v>
      </c>
    </row>
    <row r="111" spans="1:6" x14ac:dyDescent="0.25">
      <c r="A111" s="6"/>
      <c r="B111" s="7"/>
      <c r="C111" s="7" t="s">
        <v>272</v>
      </c>
      <c r="D111" s="7" t="s">
        <v>21</v>
      </c>
      <c r="E111" s="7" t="s">
        <v>52</v>
      </c>
      <c r="F111" s="7">
        <v>1</v>
      </c>
    </row>
    <row r="112" spans="1:6" x14ac:dyDescent="0.25">
      <c r="A112" s="6"/>
      <c r="B112" s="7"/>
      <c r="C112" s="7" t="s">
        <v>273</v>
      </c>
      <c r="D112" s="7" t="s">
        <v>8</v>
      </c>
      <c r="E112" s="7" t="s">
        <v>9</v>
      </c>
      <c r="F112" s="7">
        <v>1</v>
      </c>
    </row>
    <row r="113" spans="1:6" x14ac:dyDescent="0.25">
      <c r="A113" s="6"/>
      <c r="B113" s="7"/>
      <c r="C113" s="7" t="s">
        <v>30</v>
      </c>
      <c r="D113" s="7" t="s">
        <v>8</v>
      </c>
      <c r="E113" s="7" t="s">
        <v>9</v>
      </c>
      <c r="F113" s="7">
        <v>1</v>
      </c>
    </row>
    <row r="114" spans="1:6" x14ac:dyDescent="0.25">
      <c r="A114" s="6"/>
      <c r="B114" s="7"/>
      <c r="C114" s="7" t="s">
        <v>31</v>
      </c>
      <c r="D114" s="7" t="s">
        <v>8</v>
      </c>
      <c r="E114" s="7" t="s">
        <v>9</v>
      </c>
      <c r="F114" s="7">
        <v>1</v>
      </c>
    </row>
    <row r="115" spans="1:6" x14ac:dyDescent="0.25">
      <c r="A115" s="6"/>
      <c r="B115" s="7"/>
      <c r="C115" s="7" t="s">
        <v>51</v>
      </c>
      <c r="D115" s="7" t="s">
        <v>21</v>
      </c>
      <c r="E115" s="7" t="s">
        <v>52</v>
      </c>
      <c r="F115" s="7">
        <v>1</v>
      </c>
    </row>
    <row r="116" spans="1:6" x14ac:dyDescent="0.25">
      <c r="A116" s="6"/>
      <c r="B116" s="7"/>
      <c r="C116" s="7" t="s">
        <v>274</v>
      </c>
      <c r="D116" s="7" t="s">
        <v>21</v>
      </c>
      <c r="E116" s="7" t="s">
        <v>52</v>
      </c>
      <c r="F116" s="7">
        <v>1</v>
      </c>
    </row>
    <row r="117" spans="1:6" x14ac:dyDescent="0.25">
      <c r="A117" s="6"/>
      <c r="B117" s="7"/>
      <c r="C117" s="7" t="s">
        <v>275</v>
      </c>
      <c r="D117" s="7" t="s">
        <v>21</v>
      </c>
      <c r="E117" s="7" t="s">
        <v>22</v>
      </c>
      <c r="F117" s="7">
        <v>1</v>
      </c>
    </row>
    <row r="118" spans="1:6" x14ac:dyDescent="0.25">
      <c r="A118" s="6"/>
      <c r="B118" s="7"/>
      <c r="C118" s="7" t="s">
        <v>41</v>
      </c>
      <c r="D118" s="7" t="s">
        <v>21</v>
      </c>
      <c r="E118" s="7" t="s">
        <v>42</v>
      </c>
      <c r="F118" s="7">
        <v>1</v>
      </c>
    </row>
    <row r="119" spans="1:6" x14ac:dyDescent="0.25">
      <c r="A119" s="6"/>
      <c r="B119" s="7"/>
      <c r="C119" s="7" t="s">
        <v>276</v>
      </c>
      <c r="D119" s="7" t="s">
        <v>21</v>
      </c>
      <c r="E119" s="7" t="s">
        <v>22</v>
      </c>
      <c r="F119" s="7">
        <v>1</v>
      </c>
    </row>
    <row r="120" spans="1:6" x14ac:dyDescent="0.25">
      <c r="A120" s="6"/>
      <c r="B120" s="7"/>
      <c r="C120" s="7" t="s">
        <v>7</v>
      </c>
      <c r="D120" s="7" t="s">
        <v>8</v>
      </c>
      <c r="E120" s="7" t="s">
        <v>9</v>
      </c>
      <c r="F120" s="7">
        <v>1</v>
      </c>
    </row>
    <row r="121" spans="1:6" x14ac:dyDescent="0.25">
      <c r="A121" s="6"/>
      <c r="B121" s="7"/>
      <c r="C121" s="7" t="s">
        <v>124</v>
      </c>
      <c r="D121" s="7" t="s">
        <v>21</v>
      </c>
      <c r="E121" s="7" t="s">
        <v>39</v>
      </c>
      <c r="F121" s="7">
        <v>1</v>
      </c>
    </row>
    <row r="122" spans="1:6" x14ac:dyDescent="0.25">
      <c r="A122" s="6"/>
      <c r="B122" s="7"/>
      <c r="C122" s="7" t="s">
        <v>43</v>
      </c>
      <c r="D122" s="7" t="s">
        <v>44</v>
      </c>
      <c r="E122" s="7" t="s">
        <v>45</v>
      </c>
      <c r="F122" s="7">
        <v>1</v>
      </c>
    </row>
    <row r="123" spans="1:6" x14ac:dyDescent="0.25">
      <c r="A123" s="6"/>
      <c r="B123" s="7"/>
      <c r="C123" s="7" t="s">
        <v>277</v>
      </c>
      <c r="D123" s="7" t="s">
        <v>21</v>
      </c>
      <c r="E123" s="7" t="s">
        <v>39</v>
      </c>
      <c r="F123" s="7">
        <v>1</v>
      </c>
    </row>
    <row r="124" spans="1:6" x14ac:dyDescent="0.25">
      <c r="A124" s="6"/>
      <c r="B124" s="7"/>
      <c r="C124" s="7" t="s">
        <v>278</v>
      </c>
      <c r="D124" s="7" t="s">
        <v>8</v>
      </c>
      <c r="E124" s="7" t="s">
        <v>9</v>
      </c>
      <c r="F124" s="7">
        <v>1</v>
      </c>
    </row>
    <row r="125" spans="1:6" x14ac:dyDescent="0.25">
      <c r="A125" s="6"/>
      <c r="B125" s="7"/>
      <c r="C125" s="7" t="s">
        <v>23</v>
      </c>
      <c r="D125" s="7" t="s">
        <v>21</v>
      </c>
      <c r="E125" s="7" t="s">
        <v>24</v>
      </c>
      <c r="F125" s="7">
        <v>1</v>
      </c>
    </row>
    <row r="126" spans="1:6" x14ac:dyDescent="0.25">
      <c r="A126" s="6"/>
      <c r="B126" s="7"/>
      <c r="C126" s="7" t="s">
        <v>23</v>
      </c>
      <c r="D126" s="7" t="s">
        <v>21</v>
      </c>
      <c r="E126" s="7" t="s">
        <v>22</v>
      </c>
      <c r="F126" s="7">
        <v>1</v>
      </c>
    </row>
    <row r="127" spans="1:6" x14ac:dyDescent="0.25">
      <c r="A127" s="6"/>
      <c r="B127" s="7"/>
      <c r="C127" s="7" t="s">
        <v>46</v>
      </c>
      <c r="D127" s="7" t="s">
        <v>44</v>
      </c>
      <c r="E127" s="7" t="s">
        <v>45</v>
      </c>
      <c r="F127" s="7">
        <v>1</v>
      </c>
    </row>
    <row r="128" spans="1:6" x14ac:dyDescent="0.25">
      <c r="A128" s="6"/>
      <c r="B128" s="7"/>
      <c r="C128" s="7" t="s">
        <v>47</v>
      </c>
      <c r="D128" s="7" t="s">
        <v>44</v>
      </c>
      <c r="E128" s="7" t="s">
        <v>48</v>
      </c>
      <c r="F128" s="7">
        <v>1</v>
      </c>
    </row>
    <row r="129" spans="1:6" x14ac:dyDescent="0.25">
      <c r="A129" s="6"/>
      <c r="B129" s="7"/>
      <c r="C129" s="7" t="s">
        <v>279</v>
      </c>
      <c r="D129" s="7" t="s">
        <v>21</v>
      </c>
      <c r="E129" s="7" t="s">
        <v>52</v>
      </c>
      <c r="F129" s="7">
        <v>1</v>
      </c>
    </row>
    <row r="130" spans="1:6" x14ac:dyDescent="0.25">
      <c r="A130" s="6"/>
      <c r="B130" s="7"/>
      <c r="C130" s="7" t="s">
        <v>280</v>
      </c>
      <c r="D130" s="7" t="s">
        <v>44</v>
      </c>
      <c r="E130" s="7" t="s">
        <v>48</v>
      </c>
      <c r="F130" s="7">
        <v>1</v>
      </c>
    </row>
    <row r="131" spans="1:6" x14ac:dyDescent="0.25">
      <c r="A131" s="6"/>
      <c r="B131" s="7" t="s">
        <v>281</v>
      </c>
      <c r="C131" s="7" t="s">
        <v>282</v>
      </c>
      <c r="D131" s="7" t="s">
        <v>254</v>
      </c>
      <c r="E131" s="7" t="s">
        <v>283</v>
      </c>
      <c r="F131" s="7">
        <v>1</v>
      </c>
    </row>
    <row r="132" spans="1:6" x14ac:dyDescent="0.25">
      <c r="A132" s="6"/>
      <c r="B132" s="7" t="s">
        <v>10</v>
      </c>
      <c r="C132" s="7" t="s">
        <v>25</v>
      </c>
      <c r="D132" s="7" t="s">
        <v>26</v>
      </c>
      <c r="E132" s="7" t="s">
        <v>27</v>
      </c>
      <c r="F132" s="7">
        <v>1</v>
      </c>
    </row>
    <row r="133" spans="1:6" x14ac:dyDescent="0.25">
      <c r="A133" s="6"/>
      <c r="B133" s="7"/>
      <c r="C133" s="7" t="s">
        <v>284</v>
      </c>
      <c r="D133" s="7" t="s">
        <v>56</v>
      </c>
      <c r="E133" s="7" t="s">
        <v>285</v>
      </c>
      <c r="F133" s="7">
        <v>1</v>
      </c>
    </row>
    <row r="134" spans="1:6" x14ac:dyDescent="0.25">
      <c r="A134" s="6"/>
      <c r="B134" s="7"/>
      <c r="C134" s="7" t="s">
        <v>286</v>
      </c>
      <c r="D134" s="7" t="s">
        <v>26</v>
      </c>
      <c r="E134" s="7" t="s">
        <v>27</v>
      </c>
      <c r="F134" s="7">
        <v>1</v>
      </c>
    </row>
    <row r="135" spans="1:6" x14ac:dyDescent="0.25">
      <c r="A135" s="6"/>
      <c r="B135" s="7"/>
      <c r="C135" s="7" t="s">
        <v>49</v>
      </c>
      <c r="D135" s="7" t="s">
        <v>21</v>
      </c>
      <c r="E135" s="7" t="s">
        <v>35</v>
      </c>
      <c r="F135" s="7">
        <v>1</v>
      </c>
    </row>
    <row r="136" spans="1:6" x14ac:dyDescent="0.25">
      <c r="A136" s="6"/>
      <c r="B136" s="7"/>
      <c r="C136" s="7" t="s">
        <v>50</v>
      </c>
      <c r="D136" s="7" t="s">
        <v>26</v>
      </c>
      <c r="E136" s="7" t="s">
        <v>27</v>
      </c>
      <c r="F136" s="7">
        <v>1</v>
      </c>
    </row>
    <row r="137" spans="1:6" x14ac:dyDescent="0.25">
      <c r="A137" s="6"/>
      <c r="B137" s="7"/>
      <c r="C137" s="7" t="s">
        <v>11</v>
      </c>
      <c r="D137" s="7" t="s">
        <v>12</v>
      </c>
      <c r="E137" s="7" t="s">
        <v>13</v>
      </c>
      <c r="F137" s="7">
        <v>1</v>
      </c>
    </row>
    <row r="138" spans="1:6" x14ac:dyDescent="0.25">
      <c r="A138" s="8"/>
      <c r="B138" s="7"/>
      <c r="C138" s="7" t="s">
        <v>53</v>
      </c>
      <c r="D138" s="7" t="s">
        <v>21</v>
      </c>
      <c r="E138" s="7" t="s">
        <v>35</v>
      </c>
      <c r="F138" s="8">
        <v>1</v>
      </c>
    </row>
    <row r="139" spans="1:6" x14ac:dyDescent="0.25">
      <c r="A139" s="7"/>
      <c r="B139" s="7"/>
      <c r="C139" s="7" t="s">
        <v>287</v>
      </c>
      <c r="D139" s="7" t="s">
        <v>56</v>
      </c>
      <c r="E139" s="7" t="s">
        <v>268</v>
      </c>
      <c r="F139" s="7">
        <v>1</v>
      </c>
    </row>
    <row r="140" spans="1:6" x14ac:dyDescent="0.25">
      <c r="A140" s="6"/>
      <c r="B140" s="7"/>
      <c r="C140" s="7" t="s">
        <v>288</v>
      </c>
      <c r="D140" s="7" t="s">
        <v>12</v>
      </c>
      <c r="E140" s="7" t="s">
        <v>33</v>
      </c>
      <c r="F140" s="7">
        <v>1</v>
      </c>
    </row>
    <row r="141" spans="1:6" x14ac:dyDescent="0.25">
      <c r="A141" s="6"/>
      <c r="B141" s="7"/>
      <c r="C141" s="7" t="s">
        <v>289</v>
      </c>
      <c r="D141" s="7" t="s">
        <v>56</v>
      </c>
      <c r="E141" s="7" t="s">
        <v>247</v>
      </c>
      <c r="F141" s="7">
        <v>1</v>
      </c>
    </row>
    <row r="142" spans="1:6" x14ac:dyDescent="0.25">
      <c r="A142" s="6"/>
      <c r="B142" s="7"/>
      <c r="C142" s="7" t="s">
        <v>32</v>
      </c>
      <c r="D142" s="7" t="s">
        <v>12</v>
      </c>
      <c r="E142" s="7" t="s">
        <v>33</v>
      </c>
      <c r="F142" s="7">
        <v>1</v>
      </c>
    </row>
    <row r="143" spans="1:6" x14ac:dyDescent="0.25">
      <c r="A143" s="6"/>
      <c r="B143" s="7"/>
      <c r="C143" s="7" t="s">
        <v>290</v>
      </c>
      <c r="D143" s="7" t="s">
        <v>56</v>
      </c>
      <c r="E143" s="7" t="s">
        <v>247</v>
      </c>
      <c r="F143" s="7">
        <v>1</v>
      </c>
    </row>
    <row r="144" spans="1:6" x14ac:dyDescent="0.25">
      <c r="A144" s="6"/>
      <c r="B144" s="7"/>
      <c r="C144" s="7" t="s">
        <v>291</v>
      </c>
      <c r="D144" s="7" t="s">
        <v>21</v>
      </c>
      <c r="E144" s="7" t="s">
        <v>36</v>
      </c>
      <c r="F144" s="7">
        <v>1</v>
      </c>
    </row>
    <row r="145" spans="1:6" x14ac:dyDescent="0.25">
      <c r="A145" s="6"/>
      <c r="B145" s="7"/>
      <c r="C145" s="7" t="s">
        <v>28</v>
      </c>
      <c r="D145" s="7" t="s">
        <v>26</v>
      </c>
      <c r="E145" s="7" t="s">
        <v>27</v>
      </c>
      <c r="F145" s="7">
        <v>1</v>
      </c>
    </row>
    <row r="146" spans="1:6" x14ac:dyDescent="0.25">
      <c r="A146" s="6"/>
      <c r="B146" s="7"/>
      <c r="C146" s="7" t="s">
        <v>292</v>
      </c>
      <c r="D146" s="7" t="s">
        <v>8</v>
      </c>
      <c r="E146" s="7" t="s">
        <v>9</v>
      </c>
      <c r="F146" s="7">
        <v>1</v>
      </c>
    </row>
    <row r="147" spans="1:6" x14ac:dyDescent="0.25">
      <c r="A147" s="6"/>
      <c r="B147" s="7"/>
      <c r="C147" s="7" t="s">
        <v>293</v>
      </c>
      <c r="D147" s="7" t="s">
        <v>150</v>
      </c>
      <c r="E147" s="7" t="s">
        <v>151</v>
      </c>
      <c r="F147" s="7">
        <v>1</v>
      </c>
    </row>
    <row r="148" spans="1:6" x14ac:dyDescent="0.25">
      <c r="A148" s="6"/>
      <c r="B148" s="7"/>
      <c r="C148" s="7" t="s">
        <v>294</v>
      </c>
      <c r="D148" s="7" t="s">
        <v>26</v>
      </c>
      <c r="E148" s="7" t="s">
        <v>27</v>
      </c>
      <c r="F148" s="7">
        <v>1</v>
      </c>
    </row>
    <row r="149" spans="1:6" x14ac:dyDescent="0.25">
      <c r="A149" s="6"/>
      <c r="B149" s="7"/>
      <c r="C149" s="7" t="s">
        <v>295</v>
      </c>
      <c r="D149" s="7" t="s">
        <v>21</v>
      </c>
      <c r="E149" s="7" t="s">
        <v>260</v>
      </c>
      <c r="F149" s="7">
        <v>1</v>
      </c>
    </row>
    <row r="150" spans="1:6" x14ac:dyDescent="0.25">
      <c r="A150" s="6"/>
      <c r="B150" s="7"/>
      <c r="C150" s="7" t="s">
        <v>296</v>
      </c>
      <c r="D150" s="7" t="s">
        <v>56</v>
      </c>
      <c r="E150" s="7" t="s">
        <v>297</v>
      </c>
      <c r="F150" s="7">
        <v>1</v>
      </c>
    </row>
    <row r="151" spans="1:6" x14ac:dyDescent="0.25">
      <c r="A151" s="6"/>
      <c r="B151" s="7"/>
      <c r="C151" s="7" t="s">
        <v>34</v>
      </c>
      <c r="D151" s="7" t="s">
        <v>21</v>
      </c>
      <c r="E151" s="7" t="s">
        <v>35</v>
      </c>
      <c r="F151" s="7">
        <v>1</v>
      </c>
    </row>
    <row r="152" spans="1:6" x14ac:dyDescent="0.25">
      <c r="A152" s="6"/>
      <c r="B152" s="7"/>
      <c r="C152" s="7" t="s">
        <v>298</v>
      </c>
      <c r="D152" s="7" t="s">
        <v>8</v>
      </c>
      <c r="E152" s="7" t="s">
        <v>9</v>
      </c>
      <c r="F152" s="7">
        <v>1</v>
      </c>
    </row>
    <row r="153" spans="1:6" x14ac:dyDescent="0.25">
      <c r="A153" s="6"/>
      <c r="B153" s="7"/>
      <c r="C153" s="7" t="s">
        <v>299</v>
      </c>
      <c r="D153" s="7" t="s">
        <v>56</v>
      </c>
      <c r="E153" s="7" t="s">
        <v>69</v>
      </c>
      <c r="F153" s="7">
        <v>1</v>
      </c>
    </row>
    <row r="154" spans="1:6" x14ac:dyDescent="0.25">
      <c r="A154" s="6"/>
      <c r="B154" s="7"/>
      <c r="C154" s="7" t="s">
        <v>300</v>
      </c>
      <c r="D154" s="7" t="s">
        <v>56</v>
      </c>
      <c r="E154" s="7" t="s">
        <v>297</v>
      </c>
      <c r="F154" s="7">
        <v>1</v>
      </c>
    </row>
    <row r="155" spans="1:6" x14ac:dyDescent="0.25">
      <c r="A155" s="6"/>
      <c r="B155" s="7" t="s">
        <v>146</v>
      </c>
      <c r="C155" s="7" t="s">
        <v>301</v>
      </c>
      <c r="D155" s="7" t="s">
        <v>150</v>
      </c>
      <c r="E155" s="7" t="s">
        <v>151</v>
      </c>
      <c r="F155" s="7">
        <v>1</v>
      </c>
    </row>
    <row r="156" spans="1:6" x14ac:dyDescent="0.25">
      <c r="A156" s="6"/>
      <c r="B156" s="7"/>
      <c r="C156" s="7" t="s">
        <v>302</v>
      </c>
      <c r="D156" s="7" t="s">
        <v>150</v>
      </c>
      <c r="E156" s="7" t="s">
        <v>151</v>
      </c>
      <c r="F156" s="7">
        <v>1</v>
      </c>
    </row>
    <row r="157" spans="1:6" x14ac:dyDescent="0.25">
      <c r="A157" s="6"/>
      <c r="B157" s="7" t="s">
        <v>153</v>
      </c>
      <c r="C157" s="7" t="s">
        <v>303</v>
      </c>
      <c r="D157" s="7" t="s">
        <v>56</v>
      </c>
      <c r="E157" s="7" t="s">
        <v>285</v>
      </c>
      <c r="F157" s="7">
        <v>1</v>
      </c>
    </row>
    <row r="158" spans="1:6" x14ac:dyDescent="0.25">
      <c r="A158" s="6"/>
      <c r="B158" s="7"/>
      <c r="C158" s="7" t="s">
        <v>304</v>
      </c>
      <c r="D158" s="7" t="s">
        <v>56</v>
      </c>
      <c r="E158" s="7" t="s">
        <v>305</v>
      </c>
      <c r="F158" s="7">
        <v>2</v>
      </c>
    </row>
    <row r="159" spans="1:6" x14ac:dyDescent="0.25">
      <c r="A159" s="6"/>
      <c r="B159" s="7"/>
      <c r="C159" s="7" t="s">
        <v>306</v>
      </c>
      <c r="D159" s="7" t="s">
        <v>56</v>
      </c>
      <c r="E159" s="7" t="s">
        <v>305</v>
      </c>
      <c r="F159" s="7">
        <v>1</v>
      </c>
    </row>
    <row r="160" spans="1:6" x14ac:dyDescent="0.25">
      <c r="A160" s="6"/>
      <c r="B160" s="7"/>
      <c r="C160" s="7" t="s">
        <v>307</v>
      </c>
      <c r="D160" s="7" t="s">
        <v>56</v>
      </c>
      <c r="E160" s="7" t="s">
        <v>268</v>
      </c>
      <c r="F160" s="7">
        <v>1</v>
      </c>
    </row>
    <row r="161" spans="1:6" x14ac:dyDescent="0.25">
      <c r="A161" s="6"/>
      <c r="B161" s="7"/>
      <c r="C161" s="7" t="s">
        <v>308</v>
      </c>
      <c r="D161" s="7" t="s">
        <v>56</v>
      </c>
      <c r="E161" s="7" t="s">
        <v>305</v>
      </c>
      <c r="F161" s="7">
        <v>1</v>
      </c>
    </row>
    <row r="162" spans="1:6" x14ac:dyDescent="0.25">
      <c r="A162" s="6"/>
      <c r="B162" s="7"/>
      <c r="C162" s="7" t="s">
        <v>309</v>
      </c>
      <c r="D162" s="7" t="s">
        <v>157</v>
      </c>
      <c r="E162" s="7" t="s">
        <v>158</v>
      </c>
      <c r="F162" s="7">
        <v>1</v>
      </c>
    </row>
    <row r="163" spans="1:6" x14ac:dyDescent="0.25">
      <c r="A163" s="6"/>
      <c r="B163" s="7"/>
      <c r="C163" s="7" t="s">
        <v>310</v>
      </c>
      <c r="D163" s="7" t="s">
        <v>157</v>
      </c>
      <c r="E163" s="7" t="s">
        <v>158</v>
      </c>
      <c r="F163" s="7">
        <v>1</v>
      </c>
    </row>
    <row r="164" spans="1:6" x14ac:dyDescent="0.25">
      <c r="A164" s="6"/>
      <c r="B164" s="7"/>
      <c r="C164" s="7" t="s">
        <v>311</v>
      </c>
      <c r="D164" s="7" t="s">
        <v>157</v>
      </c>
      <c r="E164" s="7" t="s">
        <v>158</v>
      </c>
      <c r="F164" s="7">
        <v>1</v>
      </c>
    </row>
    <row r="165" spans="1:6" x14ac:dyDescent="0.25">
      <c r="A165" s="19" t="s">
        <v>5</v>
      </c>
      <c r="B165" s="9"/>
      <c r="C165" s="9"/>
      <c r="D165" s="9"/>
      <c r="E165" s="9"/>
      <c r="F165" s="9">
        <f>SUM(F82:F164)</f>
        <v>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58E79-C601-45B8-BF48-323D25BE1A2B}">
  <sheetPr>
    <tabColor rgb="FF4472C4"/>
  </sheetPr>
  <dimension ref="A1:G32"/>
  <sheetViews>
    <sheetView workbookViewId="0">
      <pane ySplit="1" topLeftCell="A2" activePane="bottomLeft" state="frozen"/>
      <selection pane="bottomLeft"/>
    </sheetView>
  </sheetViews>
  <sheetFormatPr defaultRowHeight="15" x14ac:dyDescent="0.25"/>
  <cols>
    <col min="1" max="1" width="16" bestFit="1" customWidth="1"/>
    <col min="2" max="2" width="13.140625" bestFit="1" customWidth="1"/>
    <col min="3" max="3" width="30.140625" bestFit="1" customWidth="1"/>
    <col min="4" max="4" width="7" bestFit="1" customWidth="1"/>
    <col min="5" max="5" width="69.28515625" bestFit="1" customWidth="1"/>
    <col min="6" max="6" width="12.7109375" bestFit="1" customWidth="1"/>
    <col min="7" max="7" width="6.42578125" bestFit="1" customWidth="1"/>
  </cols>
  <sheetData>
    <row r="1" spans="1:7" x14ac:dyDescent="0.25">
      <c r="A1" s="12" t="s">
        <v>1</v>
      </c>
      <c r="B1" s="12" t="s">
        <v>0</v>
      </c>
      <c r="C1" s="12" t="s">
        <v>3</v>
      </c>
      <c r="D1" s="12" t="s">
        <v>54</v>
      </c>
      <c r="E1" s="12" t="s">
        <v>4</v>
      </c>
      <c r="F1" s="12" t="s">
        <v>55</v>
      </c>
      <c r="G1" s="12" t="s">
        <v>5</v>
      </c>
    </row>
    <row r="2" spans="1:7" x14ac:dyDescent="0.25">
      <c r="A2" s="13" t="s">
        <v>332</v>
      </c>
      <c r="B2" s="14"/>
      <c r="C2" s="14"/>
      <c r="D2" s="14"/>
      <c r="E2" s="14"/>
      <c r="F2" s="14"/>
      <c r="G2" s="14"/>
    </row>
    <row r="3" spans="1:7" x14ac:dyDescent="0.25">
      <c r="A3" s="7" t="s">
        <v>14</v>
      </c>
      <c r="B3" s="7"/>
      <c r="C3" s="7" t="s">
        <v>85</v>
      </c>
      <c r="D3" s="7"/>
      <c r="E3" s="7" t="s">
        <v>86</v>
      </c>
      <c r="F3" s="7"/>
      <c r="G3" s="7">
        <v>1</v>
      </c>
    </row>
    <row r="4" spans="1:7" x14ac:dyDescent="0.25">
      <c r="A4" s="7"/>
      <c r="B4" s="7"/>
      <c r="C4" s="7" t="s">
        <v>56</v>
      </c>
      <c r="D4" s="7"/>
      <c r="E4" s="7" t="s">
        <v>69</v>
      </c>
      <c r="F4" s="7"/>
      <c r="G4" s="7">
        <v>1</v>
      </c>
    </row>
    <row r="5" spans="1:7" x14ac:dyDescent="0.25">
      <c r="A5" s="7"/>
      <c r="B5" s="7"/>
      <c r="C5" s="7" t="s">
        <v>95</v>
      </c>
      <c r="D5" s="7"/>
      <c r="E5" s="7" t="s">
        <v>122</v>
      </c>
      <c r="F5" s="7"/>
      <c r="G5" s="7">
        <v>1</v>
      </c>
    </row>
    <row r="6" spans="1:7" x14ac:dyDescent="0.25">
      <c r="A6" s="7" t="s">
        <v>6</v>
      </c>
      <c r="B6" s="7"/>
      <c r="C6" s="7" t="s">
        <v>21</v>
      </c>
      <c r="D6" s="7"/>
      <c r="E6" s="7" t="s">
        <v>22</v>
      </c>
      <c r="F6" s="7"/>
      <c r="G6" s="7">
        <v>1</v>
      </c>
    </row>
    <row r="7" spans="1:7" x14ac:dyDescent="0.25">
      <c r="A7" s="7"/>
      <c r="B7" s="7"/>
      <c r="C7" s="7" t="s">
        <v>81</v>
      </c>
      <c r="D7" s="7"/>
      <c r="E7" s="7" t="s">
        <v>82</v>
      </c>
      <c r="F7" s="7"/>
      <c r="G7" s="7">
        <v>1</v>
      </c>
    </row>
    <row r="8" spans="1:7" x14ac:dyDescent="0.25">
      <c r="A8" s="7"/>
      <c r="B8" s="7"/>
      <c r="C8" s="7"/>
      <c r="D8" s="7"/>
      <c r="E8" s="7" t="s">
        <v>120</v>
      </c>
      <c r="F8" s="7"/>
      <c r="G8" s="7">
        <v>1</v>
      </c>
    </row>
    <row r="9" spans="1:7" x14ac:dyDescent="0.25">
      <c r="A9" s="7" t="s">
        <v>10</v>
      </c>
      <c r="B9" s="7"/>
      <c r="C9" s="7" t="s">
        <v>12</v>
      </c>
      <c r="D9" s="7"/>
      <c r="E9" s="7" t="s">
        <v>33</v>
      </c>
      <c r="F9" s="7"/>
      <c r="G9" s="7">
        <v>1</v>
      </c>
    </row>
    <row r="10" spans="1:7" x14ac:dyDescent="0.25">
      <c r="A10" s="7"/>
      <c r="B10" s="7"/>
      <c r="C10" s="7" t="s">
        <v>26</v>
      </c>
      <c r="D10" s="7"/>
      <c r="E10" s="7" t="s">
        <v>136</v>
      </c>
      <c r="F10" s="7"/>
      <c r="G10" s="7">
        <v>1</v>
      </c>
    </row>
    <row r="11" spans="1:7" x14ac:dyDescent="0.25">
      <c r="A11" s="7"/>
      <c r="B11" s="7"/>
      <c r="C11" s="7"/>
      <c r="D11" s="7"/>
      <c r="E11" s="7" t="s">
        <v>27</v>
      </c>
      <c r="F11" s="7"/>
      <c r="G11" s="7">
        <v>1</v>
      </c>
    </row>
    <row r="12" spans="1:7" x14ac:dyDescent="0.25">
      <c r="A12" s="7"/>
      <c r="B12" s="7"/>
      <c r="C12" s="7" t="s">
        <v>8</v>
      </c>
      <c r="D12" s="7"/>
      <c r="E12" s="7" t="s">
        <v>9</v>
      </c>
      <c r="F12" s="7"/>
      <c r="G12" s="7">
        <v>1</v>
      </c>
    </row>
    <row r="13" spans="1:7" x14ac:dyDescent="0.25">
      <c r="A13" s="7" t="s">
        <v>64</v>
      </c>
      <c r="B13" s="7"/>
      <c r="C13" s="7" t="s">
        <v>187</v>
      </c>
      <c r="D13" s="7"/>
      <c r="E13" s="7" t="s">
        <v>188</v>
      </c>
      <c r="F13" s="7"/>
      <c r="G13" s="7">
        <v>1</v>
      </c>
    </row>
    <row r="14" spans="1:7" x14ac:dyDescent="0.25">
      <c r="A14" s="7"/>
      <c r="B14" s="7"/>
      <c r="C14" s="7"/>
      <c r="D14" s="7"/>
      <c r="E14" s="7" t="s">
        <v>190</v>
      </c>
      <c r="F14" s="7"/>
      <c r="G14" s="7">
        <v>1</v>
      </c>
    </row>
    <row r="15" spans="1:7" x14ac:dyDescent="0.25">
      <c r="A15" s="9" t="s">
        <v>5</v>
      </c>
      <c r="B15" s="9"/>
      <c r="C15" s="9"/>
      <c r="D15" s="9"/>
      <c r="E15" s="9"/>
      <c r="F15" s="9"/>
      <c r="G15" s="9">
        <f>SUM(G3:G14)</f>
        <v>12</v>
      </c>
    </row>
    <row r="16" spans="1:7" x14ac:dyDescent="0.25">
      <c r="A16" s="10" t="s">
        <v>331</v>
      </c>
      <c r="B16" s="11"/>
      <c r="C16" s="11"/>
      <c r="D16" s="11"/>
      <c r="E16" s="11"/>
      <c r="F16" s="11"/>
      <c r="G16" s="11"/>
    </row>
    <row r="17" spans="1:7" x14ac:dyDescent="0.25">
      <c r="A17" s="7" t="s">
        <v>14</v>
      </c>
      <c r="B17" s="6">
        <v>46059</v>
      </c>
      <c r="C17" s="7" t="s">
        <v>56</v>
      </c>
      <c r="D17" s="7">
        <v>776913</v>
      </c>
      <c r="E17" s="7" t="s">
        <v>57</v>
      </c>
      <c r="F17" s="7" t="s">
        <v>58</v>
      </c>
      <c r="G17" s="7">
        <v>1</v>
      </c>
    </row>
    <row r="18" spans="1:7" x14ac:dyDescent="0.25">
      <c r="A18" s="7"/>
      <c r="B18" s="6">
        <v>46065</v>
      </c>
      <c r="C18" s="7" t="s">
        <v>56</v>
      </c>
      <c r="D18" s="7">
        <v>778692</v>
      </c>
      <c r="E18" s="7" t="s">
        <v>247</v>
      </c>
      <c r="F18" s="7" t="s">
        <v>59</v>
      </c>
      <c r="G18" s="7">
        <v>1</v>
      </c>
    </row>
    <row r="19" spans="1:7" x14ac:dyDescent="0.25">
      <c r="A19" s="7"/>
      <c r="B19" s="6">
        <v>46070</v>
      </c>
      <c r="C19" s="7" t="s">
        <v>56</v>
      </c>
      <c r="D19" s="7">
        <v>780048</v>
      </c>
      <c r="E19" s="7" t="s">
        <v>244</v>
      </c>
      <c r="F19" s="7" t="s">
        <v>58</v>
      </c>
      <c r="G19" s="7">
        <v>1</v>
      </c>
    </row>
    <row r="20" spans="1:7" x14ac:dyDescent="0.25">
      <c r="A20" s="7"/>
      <c r="B20" s="6">
        <v>46077</v>
      </c>
      <c r="C20" s="7" t="s">
        <v>56</v>
      </c>
      <c r="D20" s="7">
        <v>782043</v>
      </c>
      <c r="E20" s="7" t="s">
        <v>268</v>
      </c>
      <c r="F20" s="7" t="s">
        <v>59</v>
      </c>
      <c r="G20" s="7">
        <v>1</v>
      </c>
    </row>
    <row r="21" spans="1:7" x14ac:dyDescent="0.25">
      <c r="A21" s="7"/>
      <c r="B21" s="6">
        <v>46078</v>
      </c>
      <c r="C21" s="7" t="s">
        <v>56</v>
      </c>
      <c r="D21" s="7">
        <v>782618</v>
      </c>
      <c r="E21" s="7" t="s">
        <v>285</v>
      </c>
      <c r="F21" s="7" t="s">
        <v>59</v>
      </c>
      <c r="G21" s="7">
        <v>1</v>
      </c>
    </row>
    <row r="22" spans="1:7" x14ac:dyDescent="0.25">
      <c r="A22" s="7"/>
      <c r="B22" s="6">
        <v>46079</v>
      </c>
      <c r="C22" s="7" t="s">
        <v>56</v>
      </c>
      <c r="D22" s="7">
        <v>782954</v>
      </c>
      <c r="E22" s="7" t="s">
        <v>305</v>
      </c>
      <c r="F22" s="7" t="s">
        <v>59</v>
      </c>
      <c r="G22" s="7">
        <v>1</v>
      </c>
    </row>
    <row r="23" spans="1:7" x14ac:dyDescent="0.25">
      <c r="A23" s="7"/>
      <c r="B23" s="6">
        <v>46080</v>
      </c>
      <c r="C23" s="7" t="s">
        <v>56</v>
      </c>
      <c r="D23" s="7">
        <v>783250</v>
      </c>
      <c r="E23" s="7" t="s">
        <v>297</v>
      </c>
      <c r="F23" s="7" t="s">
        <v>59</v>
      </c>
      <c r="G23" s="7">
        <v>1</v>
      </c>
    </row>
    <row r="24" spans="1:7" x14ac:dyDescent="0.25">
      <c r="A24" s="7" t="s">
        <v>18</v>
      </c>
      <c r="B24" s="6">
        <v>46070</v>
      </c>
      <c r="C24" s="7" t="s">
        <v>258</v>
      </c>
      <c r="D24" s="7">
        <v>780047</v>
      </c>
      <c r="E24" s="7" t="s">
        <v>259</v>
      </c>
      <c r="F24" s="7" t="s">
        <v>59</v>
      </c>
      <c r="G24" s="7">
        <v>1</v>
      </c>
    </row>
    <row r="25" spans="1:7" x14ac:dyDescent="0.25">
      <c r="A25" s="7" t="s">
        <v>6</v>
      </c>
      <c r="B25" s="6">
        <v>46058</v>
      </c>
      <c r="C25" s="7" t="s">
        <v>21</v>
      </c>
      <c r="D25" s="7">
        <v>776652</v>
      </c>
      <c r="E25" s="7" t="s">
        <v>42</v>
      </c>
      <c r="F25" s="7" t="s">
        <v>59</v>
      </c>
      <c r="G25" s="7">
        <v>1</v>
      </c>
    </row>
    <row r="26" spans="1:7" x14ac:dyDescent="0.25">
      <c r="A26" s="7"/>
      <c r="B26" s="7"/>
      <c r="C26" s="7"/>
      <c r="D26" s="7">
        <v>776653</v>
      </c>
      <c r="E26" s="7" t="s">
        <v>39</v>
      </c>
      <c r="F26" s="7" t="s">
        <v>59</v>
      </c>
      <c r="G26" s="7">
        <v>1</v>
      </c>
    </row>
    <row r="27" spans="1:7" x14ac:dyDescent="0.25">
      <c r="A27" s="7"/>
      <c r="B27" s="6">
        <v>46059</v>
      </c>
      <c r="C27" s="7" t="s">
        <v>21</v>
      </c>
      <c r="D27" s="7">
        <v>777030</v>
      </c>
      <c r="E27" s="7" t="s">
        <v>52</v>
      </c>
      <c r="F27" s="7" t="s">
        <v>59</v>
      </c>
      <c r="G27" s="7">
        <v>1</v>
      </c>
    </row>
    <row r="28" spans="1:7" x14ac:dyDescent="0.25">
      <c r="A28" s="7" t="s">
        <v>64</v>
      </c>
      <c r="B28" s="6">
        <v>46065</v>
      </c>
      <c r="C28" s="7" t="s">
        <v>21</v>
      </c>
      <c r="D28" s="7">
        <v>778649</v>
      </c>
      <c r="E28" s="7" t="s">
        <v>316</v>
      </c>
      <c r="F28" s="7" t="s">
        <v>58</v>
      </c>
      <c r="G28" s="7">
        <v>1</v>
      </c>
    </row>
    <row r="29" spans="1:7" x14ac:dyDescent="0.25">
      <c r="A29" s="7"/>
      <c r="B29" s="6">
        <v>46072</v>
      </c>
      <c r="C29" s="7" t="s">
        <v>21</v>
      </c>
      <c r="D29" s="7">
        <v>780635</v>
      </c>
      <c r="E29" s="7" t="s">
        <v>260</v>
      </c>
      <c r="F29" s="7" t="s">
        <v>59</v>
      </c>
      <c r="G29" s="7">
        <v>1</v>
      </c>
    </row>
    <row r="30" spans="1:7" x14ac:dyDescent="0.25">
      <c r="A30" s="7"/>
      <c r="B30" s="6">
        <v>46079</v>
      </c>
      <c r="C30" s="7" t="s">
        <v>317</v>
      </c>
      <c r="D30" s="7">
        <v>783026</v>
      </c>
      <c r="E30" s="7" t="s">
        <v>318</v>
      </c>
      <c r="F30" s="7" t="s">
        <v>58</v>
      </c>
      <c r="G30" s="7">
        <v>1</v>
      </c>
    </row>
    <row r="31" spans="1:7" x14ac:dyDescent="0.25">
      <c r="A31" s="7" t="s">
        <v>153</v>
      </c>
      <c r="B31" s="6">
        <v>46065</v>
      </c>
      <c r="C31" s="7" t="s">
        <v>157</v>
      </c>
      <c r="D31" s="7">
        <v>778673</v>
      </c>
      <c r="E31" s="7" t="s">
        <v>158</v>
      </c>
      <c r="F31" s="7" t="s">
        <v>58</v>
      </c>
      <c r="G31" s="7">
        <v>1</v>
      </c>
    </row>
    <row r="32" spans="1:7" x14ac:dyDescent="0.25">
      <c r="A32" s="9" t="s">
        <v>5</v>
      </c>
      <c r="B32" s="9"/>
      <c r="C32" s="9"/>
      <c r="D32" s="9"/>
      <c r="E32" s="9"/>
      <c r="F32" s="9"/>
      <c r="G32" s="9">
        <f>SUM(G17:G31)</f>
        <v>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B5DBC-6060-49D0-9B4B-3E1EA8E1B9B4}">
  <sheetPr>
    <tabColor rgb="FF4472C4"/>
  </sheetPr>
  <dimension ref="A1:G78"/>
  <sheetViews>
    <sheetView workbookViewId="0">
      <pane ySplit="1" topLeftCell="A56" activePane="bottomLeft" state="frozen"/>
      <selection pane="bottomLeft"/>
    </sheetView>
  </sheetViews>
  <sheetFormatPr defaultRowHeight="15" x14ac:dyDescent="0.25"/>
  <cols>
    <col min="1" max="1" width="16" bestFit="1" customWidth="1"/>
    <col min="2" max="2" width="14.28515625" bestFit="1" customWidth="1"/>
    <col min="3" max="3" width="30.140625" bestFit="1" customWidth="1"/>
    <col min="4" max="4" width="67" bestFit="1" customWidth="1"/>
    <col min="5" max="5" width="23.140625" bestFit="1" customWidth="1"/>
    <col min="6" max="6" width="12.7109375" bestFit="1" customWidth="1"/>
    <col min="7" max="7" width="6.42578125" bestFit="1" customWidth="1"/>
  </cols>
  <sheetData>
    <row r="1" spans="1:7" x14ac:dyDescent="0.25">
      <c r="A1" s="12" t="s">
        <v>1</v>
      </c>
      <c r="B1" s="12" t="s">
        <v>60</v>
      </c>
      <c r="C1" s="12" t="s">
        <v>3</v>
      </c>
      <c r="D1" s="12" t="s">
        <v>4</v>
      </c>
      <c r="E1" s="12" t="s">
        <v>2</v>
      </c>
      <c r="F1" s="12" t="s">
        <v>55</v>
      </c>
      <c r="G1" s="12" t="s">
        <v>5</v>
      </c>
    </row>
    <row r="2" spans="1:7" x14ac:dyDescent="0.25">
      <c r="A2" s="13" t="s">
        <v>332</v>
      </c>
      <c r="B2" s="14"/>
      <c r="C2" s="14"/>
      <c r="D2" s="14"/>
      <c r="E2" s="14"/>
      <c r="F2" s="14"/>
      <c r="G2" s="14"/>
    </row>
    <row r="3" spans="1:7" x14ac:dyDescent="0.25">
      <c r="A3" s="7" t="s">
        <v>14</v>
      </c>
      <c r="B3" s="6">
        <v>46050</v>
      </c>
      <c r="C3" s="7" t="s">
        <v>81</v>
      </c>
      <c r="D3" s="7" t="s">
        <v>82</v>
      </c>
      <c r="E3" s="7" t="s">
        <v>83</v>
      </c>
      <c r="F3" s="7"/>
      <c r="G3" s="7">
        <v>1</v>
      </c>
    </row>
    <row r="4" spans="1:7" x14ac:dyDescent="0.25">
      <c r="A4" s="7"/>
      <c r="B4" s="6">
        <v>46042</v>
      </c>
      <c r="C4" s="7" t="s">
        <v>61</v>
      </c>
      <c r="D4" s="7" t="s">
        <v>62</v>
      </c>
      <c r="E4" s="7" t="s">
        <v>164</v>
      </c>
      <c r="F4" s="7"/>
      <c r="G4" s="7">
        <v>1</v>
      </c>
    </row>
    <row r="5" spans="1:7" x14ac:dyDescent="0.25">
      <c r="A5" s="7"/>
      <c r="B5" s="6">
        <v>46042</v>
      </c>
      <c r="C5" s="7"/>
      <c r="D5" s="7"/>
      <c r="E5" s="7" t="s">
        <v>165</v>
      </c>
      <c r="F5" s="7"/>
      <c r="G5" s="7">
        <v>1</v>
      </c>
    </row>
    <row r="6" spans="1:7" x14ac:dyDescent="0.25">
      <c r="A6" s="7"/>
      <c r="B6" s="6">
        <v>46042</v>
      </c>
      <c r="C6" s="7"/>
      <c r="D6" s="7"/>
      <c r="E6" s="7" t="s">
        <v>166</v>
      </c>
      <c r="F6" s="7"/>
      <c r="G6" s="7">
        <v>1</v>
      </c>
    </row>
    <row r="7" spans="1:7" x14ac:dyDescent="0.25">
      <c r="A7" s="7"/>
      <c r="B7" s="6">
        <v>46048</v>
      </c>
      <c r="C7" s="7" t="s">
        <v>56</v>
      </c>
      <c r="D7" s="7" t="s">
        <v>69</v>
      </c>
      <c r="E7" s="7" t="s">
        <v>71</v>
      </c>
      <c r="F7" s="7"/>
      <c r="G7" s="7">
        <v>1</v>
      </c>
    </row>
    <row r="8" spans="1:7" x14ac:dyDescent="0.25">
      <c r="A8" s="7"/>
      <c r="B8" s="6">
        <v>46048</v>
      </c>
      <c r="C8" s="7"/>
      <c r="D8" s="7"/>
      <c r="E8" s="7" t="s">
        <v>92</v>
      </c>
      <c r="F8" s="7"/>
      <c r="G8" s="7">
        <v>1</v>
      </c>
    </row>
    <row r="9" spans="1:7" x14ac:dyDescent="0.25">
      <c r="A9" s="7"/>
      <c r="B9" s="6">
        <v>46048</v>
      </c>
      <c r="C9" s="7"/>
      <c r="D9" s="7"/>
      <c r="E9" s="7" t="s">
        <v>93</v>
      </c>
      <c r="F9" s="7"/>
      <c r="G9" s="7">
        <v>1</v>
      </c>
    </row>
    <row r="10" spans="1:7" x14ac:dyDescent="0.25">
      <c r="A10" s="7" t="s">
        <v>18</v>
      </c>
      <c r="B10" s="6">
        <v>46038</v>
      </c>
      <c r="C10" s="7" t="s">
        <v>12</v>
      </c>
      <c r="D10" s="7" t="s">
        <v>13</v>
      </c>
      <c r="E10" s="7" t="s">
        <v>100</v>
      </c>
      <c r="F10" s="7"/>
      <c r="G10" s="7">
        <v>1</v>
      </c>
    </row>
    <row r="11" spans="1:7" x14ac:dyDescent="0.25">
      <c r="A11" s="7"/>
      <c r="B11" s="6">
        <v>46045</v>
      </c>
      <c r="C11" s="7" t="s">
        <v>75</v>
      </c>
      <c r="D11" s="7" t="s">
        <v>76</v>
      </c>
      <c r="E11" s="7" t="s">
        <v>102</v>
      </c>
      <c r="F11" s="7"/>
      <c r="G11" s="7">
        <v>1</v>
      </c>
    </row>
    <row r="12" spans="1:7" x14ac:dyDescent="0.25">
      <c r="A12" s="7"/>
      <c r="B12" s="6">
        <v>46034</v>
      </c>
      <c r="C12" s="7" t="s">
        <v>167</v>
      </c>
      <c r="D12" s="7" t="s">
        <v>168</v>
      </c>
      <c r="E12" s="7" t="s">
        <v>169</v>
      </c>
      <c r="F12" s="7"/>
      <c r="G12" s="7">
        <v>1</v>
      </c>
    </row>
    <row r="13" spans="1:7" x14ac:dyDescent="0.25">
      <c r="A13" s="7"/>
      <c r="B13" s="6">
        <v>46044</v>
      </c>
      <c r="C13" s="7"/>
      <c r="D13" s="7"/>
      <c r="E13" s="7"/>
      <c r="F13" s="7"/>
      <c r="G13" s="7">
        <v>1</v>
      </c>
    </row>
    <row r="14" spans="1:7" x14ac:dyDescent="0.25">
      <c r="A14" s="7"/>
      <c r="B14" s="6">
        <v>46031</v>
      </c>
      <c r="C14" s="7" t="s">
        <v>16</v>
      </c>
      <c r="D14" s="7" t="s">
        <v>17</v>
      </c>
      <c r="E14" s="7" t="s">
        <v>170</v>
      </c>
      <c r="F14" s="7"/>
      <c r="G14" s="7">
        <v>1</v>
      </c>
    </row>
    <row r="15" spans="1:7" x14ac:dyDescent="0.25">
      <c r="A15" s="7"/>
      <c r="B15" s="6">
        <v>46051</v>
      </c>
      <c r="C15" s="7"/>
      <c r="D15" s="7"/>
      <c r="E15" s="7" t="s">
        <v>104</v>
      </c>
      <c r="F15" s="7"/>
      <c r="G15" s="7">
        <v>1</v>
      </c>
    </row>
    <row r="16" spans="1:7" x14ac:dyDescent="0.25">
      <c r="A16" s="7" t="s">
        <v>6</v>
      </c>
      <c r="B16" s="6">
        <v>46042</v>
      </c>
      <c r="C16" s="7" t="s">
        <v>21</v>
      </c>
      <c r="D16" s="7" t="s">
        <v>42</v>
      </c>
      <c r="E16" s="7" t="s">
        <v>171</v>
      </c>
      <c r="F16" s="7"/>
      <c r="G16" s="7">
        <v>1</v>
      </c>
    </row>
    <row r="17" spans="1:7" x14ac:dyDescent="0.25">
      <c r="A17" s="7"/>
      <c r="B17" s="6">
        <v>46050</v>
      </c>
      <c r="C17" s="7" t="s">
        <v>81</v>
      </c>
      <c r="D17" s="7" t="s">
        <v>82</v>
      </c>
      <c r="E17" s="7" t="s">
        <v>114</v>
      </c>
      <c r="F17" s="7"/>
      <c r="G17" s="7">
        <v>1</v>
      </c>
    </row>
    <row r="18" spans="1:7" x14ac:dyDescent="0.25">
      <c r="A18" s="7"/>
      <c r="B18" s="6">
        <v>46050</v>
      </c>
      <c r="C18" s="7"/>
      <c r="D18" s="7"/>
      <c r="E18" s="7" t="s">
        <v>116</v>
      </c>
      <c r="F18" s="7"/>
      <c r="G18" s="7">
        <v>1</v>
      </c>
    </row>
    <row r="19" spans="1:7" x14ac:dyDescent="0.25">
      <c r="A19" s="7"/>
      <c r="B19" s="6">
        <v>46050</v>
      </c>
      <c r="C19" s="7"/>
      <c r="D19" s="7"/>
      <c r="E19" s="7" t="s">
        <v>117</v>
      </c>
      <c r="F19" s="7"/>
      <c r="G19" s="7">
        <v>1</v>
      </c>
    </row>
    <row r="20" spans="1:7" x14ac:dyDescent="0.25">
      <c r="A20" s="7"/>
      <c r="B20" s="6">
        <v>46049</v>
      </c>
      <c r="C20" s="7"/>
      <c r="D20" s="7"/>
      <c r="E20" s="7" t="s">
        <v>118</v>
      </c>
      <c r="F20" s="7"/>
      <c r="G20" s="7">
        <v>1</v>
      </c>
    </row>
    <row r="21" spans="1:7" x14ac:dyDescent="0.25">
      <c r="A21" s="7"/>
      <c r="B21" s="6">
        <v>46037</v>
      </c>
      <c r="C21" s="7" t="s">
        <v>56</v>
      </c>
      <c r="D21" s="7" t="s">
        <v>24</v>
      </c>
      <c r="E21" s="7" t="s">
        <v>172</v>
      </c>
      <c r="F21" s="7"/>
      <c r="G21" s="7">
        <v>1</v>
      </c>
    </row>
    <row r="22" spans="1:7" x14ac:dyDescent="0.25">
      <c r="A22" s="7"/>
      <c r="B22" s="6">
        <v>46048</v>
      </c>
      <c r="C22" s="7" t="s">
        <v>8</v>
      </c>
      <c r="D22" s="7" t="s">
        <v>9</v>
      </c>
      <c r="E22" s="7" t="s">
        <v>126</v>
      </c>
      <c r="F22" s="7"/>
      <c r="G22" s="7">
        <v>1</v>
      </c>
    </row>
    <row r="23" spans="1:7" x14ac:dyDescent="0.25">
      <c r="A23" s="7"/>
      <c r="B23" s="6">
        <v>46043</v>
      </c>
      <c r="C23" s="7"/>
      <c r="D23" s="7"/>
      <c r="E23" s="7" t="s">
        <v>73</v>
      </c>
      <c r="F23" s="7"/>
      <c r="G23" s="7">
        <v>1</v>
      </c>
    </row>
    <row r="24" spans="1:7" x14ac:dyDescent="0.25">
      <c r="A24" s="7" t="s">
        <v>10</v>
      </c>
      <c r="B24" s="6">
        <v>46045</v>
      </c>
      <c r="C24" s="7" t="s">
        <v>12</v>
      </c>
      <c r="D24" s="7" t="s">
        <v>33</v>
      </c>
      <c r="E24" s="7" t="s">
        <v>129</v>
      </c>
      <c r="F24" s="7"/>
      <c r="G24" s="7">
        <v>1</v>
      </c>
    </row>
    <row r="25" spans="1:7" x14ac:dyDescent="0.25">
      <c r="A25" s="7"/>
      <c r="B25" s="6">
        <v>46045</v>
      </c>
      <c r="C25" s="7" t="s">
        <v>133</v>
      </c>
      <c r="D25" s="7" t="s">
        <v>134</v>
      </c>
      <c r="E25" s="7" t="s">
        <v>132</v>
      </c>
      <c r="F25" s="7"/>
      <c r="G25" s="7">
        <v>1</v>
      </c>
    </row>
    <row r="26" spans="1:7" x14ac:dyDescent="0.25">
      <c r="A26" s="7"/>
      <c r="B26" s="6">
        <v>46036</v>
      </c>
      <c r="C26" s="7" t="s">
        <v>26</v>
      </c>
      <c r="D26" s="7" t="s">
        <v>136</v>
      </c>
      <c r="E26" s="7" t="s">
        <v>135</v>
      </c>
      <c r="F26" s="7"/>
      <c r="G26" s="7">
        <v>1</v>
      </c>
    </row>
    <row r="27" spans="1:7" x14ac:dyDescent="0.25">
      <c r="A27" s="7"/>
      <c r="B27" s="6">
        <v>46036</v>
      </c>
      <c r="C27" s="7"/>
      <c r="D27" s="7" t="s">
        <v>27</v>
      </c>
      <c r="E27" s="7" t="s">
        <v>139</v>
      </c>
      <c r="F27" s="7"/>
      <c r="G27" s="7">
        <v>1</v>
      </c>
    </row>
    <row r="28" spans="1:7" x14ac:dyDescent="0.25">
      <c r="A28" s="7"/>
      <c r="B28" s="6">
        <v>46036</v>
      </c>
      <c r="C28" s="7"/>
      <c r="D28" s="7"/>
      <c r="E28" s="7" t="s">
        <v>141</v>
      </c>
      <c r="F28" s="7"/>
      <c r="G28" s="7">
        <v>1</v>
      </c>
    </row>
    <row r="29" spans="1:7" x14ac:dyDescent="0.25">
      <c r="A29" s="7"/>
      <c r="B29" s="6">
        <v>46037</v>
      </c>
      <c r="C29" s="7"/>
      <c r="D29" s="7"/>
      <c r="E29" s="7" t="s">
        <v>142</v>
      </c>
      <c r="F29" s="7"/>
      <c r="G29" s="7">
        <v>1</v>
      </c>
    </row>
    <row r="30" spans="1:7" x14ac:dyDescent="0.25">
      <c r="A30" s="7"/>
      <c r="B30" s="6">
        <v>46037</v>
      </c>
      <c r="C30" s="7"/>
      <c r="D30" s="7"/>
      <c r="E30" s="7" t="s">
        <v>143</v>
      </c>
      <c r="F30" s="7"/>
      <c r="G30" s="7">
        <v>1</v>
      </c>
    </row>
    <row r="31" spans="1:7" x14ac:dyDescent="0.25">
      <c r="A31" s="7"/>
      <c r="B31" s="6">
        <v>46028</v>
      </c>
      <c r="C31" s="7" t="s">
        <v>95</v>
      </c>
      <c r="D31" s="7" t="s">
        <v>96</v>
      </c>
      <c r="E31" s="7" t="s">
        <v>173</v>
      </c>
      <c r="F31" s="7"/>
      <c r="G31" s="7">
        <v>1</v>
      </c>
    </row>
    <row r="32" spans="1:7" x14ac:dyDescent="0.25">
      <c r="A32" s="7" t="s">
        <v>146</v>
      </c>
      <c r="B32" s="6">
        <v>46048</v>
      </c>
      <c r="C32" s="7" t="s">
        <v>133</v>
      </c>
      <c r="D32" s="7" t="s">
        <v>134</v>
      </c>
      <c r="E32" s="7" t="s">
        <v>147</v>
      </c>
      <c r="F32" s="7"/>
      <c r="G32" s="7">
        <v>1</v>
      </c>
    </row>
    <row r="33" spans="1:7" x14ac:dyDescent="0.25">
      <c r="A33" s="7"/>
      <c r="B33" s="6">
        <v>46048</v>
      </c>
      <c r="C33" s="7"/>
      <c r="D33" s="7"/>
      <c r="E33" s="7" t="s">
        <v>148</v>
      </c>
      <c r="F33" s="7"/>
      <c r="G33" s="7">
        <v>1</v>
      </c>
    </row>
    <row r="34" spans="1:7" x14ac:dyDescent="0.25">
      <c r="A34" s="7" t="s">
        <v>64</v>
      </c>
      <c r="B34" s="6">
        <v>46028</v>
      </c>
      <c r="C34" s="7" t="s">
        <v>152</v>
      </c>
      <c r="D34" s="7" t="s">
        <v>152</v>
      </c>
      <c r="E34" s="7" t="s">
        <v>152</v>
      </c>
      <c r="F34" s="7"/>
      <c r="G34" s="7">
        <v>1</v>
      </c>
    </row>
    <row r="35" spans="1:7" x14ac:dyDescent="0.25">
      <c r="A35" s="7" t="s">
        <v>153</v>
      </c>
      <c r="B35" s="6">
        <v>46050</v>
      </c>
      <c r="C35" s="7" t="s">
        <v>26</v>
      </c>
      <c r="D35" s="7" t="s">
        <v>136</v>
      </c>
      <c r="E35" s="7" t="s">
        <v>155</v>
      </c>
      <c r="F35" s="7"/>
      <c r="G35" s="7">
        <v>1</v>
      </c>
    </row>
    <row r="36" spans="1:7" x14ac:dyDescent="0.25">
      <c r="A36" s="7"/>
      <c r="B36" s="6">
        <v>46049</v>
      </c>
      <c r="C36" s="7" t="s">
        <v>157</v>
      </c>
      <c r="D36" s="7" t="s">
        <v>158</v>
      </c>
      <c r="E36" s="7" t="s">
        <v>156</v>
      </c>
      <c r="F36" s="7"/>
      <c r="G36" s="7">
        <v>1</v>
      </c>
    </row>
    <row r="37" spans="1:7" x14ac:dyDescent="0.25">
      <c r="A37" s="7"/>
      <c r="B37" s="6">
        <v>46035</v>
      </c>
      <c r="C37" s="7"/>
      <c r="D37" s="7"/>
      <c r="E37" s="7" t="s">
        <v>159</v>
      </c>
      <c r="F37" s="7"/>
      <c r="G37" s="7">
        <v>1</v>
      </c>
    </row>
    <row r="38" spans="1:7" x14ac:dyDescent="0.25">
      <c r="A38" s="7"/>
      <c r="B38" s="6">
        <v>46042</v>
      </c>
      <c r="C38" s="7"/>
      <c r="D38" s="7"/>
      <c r="E38" s="7" t="s">
        <v>160</v>
      </c>
      <c r="F38" s="7"/>
      <c r="G38" s="7">
        <v>1</v>
      </c>
    </row>
    <row r="39" spans="1:7" x14ac:dyDescent="0.25">
      <c r="A39" s="7"/>
      <c r="B39" s="6">
        <v>46030</v>
      </c>
      <c r="C39" s="7"/>
      <c r="D39" s="7"/>
      <c r="E39" s="7" t="s">
        <v>174</v>
      </c>
      <c r="F39" s="7"/>
      <c r="G39" s="7">
        <v>1</v>
      </c>
    </row>
    <row r="40" spans="1:7" x14ac:dyDescent="0.25">
      <c r="A40" s="7"/>
      <c r="B40" s="6">
        <v>46042</v>
      </c>
      <c r="C40" s="7"/>
      <c r="D40" s="7"/>
      <c r="E40" s="7"/>
      <c r="F40" s="7"/>
      <c r="G40" s="7">
        <v>1</v>
      </c>
    </row>
    <row r="41" spans="1:7" x14ac:dyDescent="0.25">
      <c r="A41" s="7" t="s">
        <v>163</v>
      </c>
      <c r="B41" s="6">
        <v>46028</v>
      </c>
      <c r="C41" s="7" t="s">
        <v>152</v>
      </c>
      <c r="D41" s="7" t="s">
        <v>152</v>
      </c>
      <c r="E41" s="7" t="s">
        <v>152</v>
      </c>
      <c r="F41" s="7"/>
      <c r="G41" s="7">
        <v>1</v>
      </c>
    </row>
    <row r="42" spans="1:7" x14ac:dyDescent="0.25">
      <c r="A42" s="9" t="s">
        <v>5</v>
      </c>
      <c r="B42" s="9"/>
      <c r="C42" s="9"/>
      <c r="D42" s="9"/>
      <c r="E42" s="9"/>
      <c r="F42" s="9"/>
      <c r="G42" s="9">
        <f>SUM(G3:G41)</f>
        <v>39</v>
      </c>
    </row>
    <row r="43" spans="1:7" x14ac:dyDescent="0.25">
      <c r="A43" s="10" t="s">
        <v>331</v>
      </c>
      <c r="B43" s="11"/>
      <c r="C43" s="11"/>
      <c r="D43" s="11"/>
      <c r="E43" s="11"/>
      <c r="F43" s="11"/>
      <c r="G43" s="11"/>
    </row>
    <row r="44" spans="1:7" x14ac:dyDescent="0.25">
      <c r="A44" s="7" t="s">
        <v>14</v>
      </c>
      <c r="B44" s="6">
        <v>46056</v>
      </c>
      <c r="C44" s="7" t="s">
        <v>61</v>
      </c>
      <c r="D44" s="7" t="s">
        <v>62</v>
      </c>
      <c r="E44" s="7" t="s">
        <v>63</v>
      </c>
      <c r="F44" s="7" t="s">
        <v>58</v>
      </c>
      <c r="G44" s="7">
        <v>1</v>
      </c>
    </row>
    <row r="45" spans="1:7" x14ac:dyDescent="0.25">
      <c r="A45" s="7"/>
      <c r="B45" s="6">
        <v>46059</v>
      </c>
      <c r="C45" s="7" t="s">
        <v>16</v>
      </c>
      <c r="D45" s="7" t="s">
        <v>17</v>
      </c>
      <c r="E45" s="7" t="s">
        <v>15</v>
      </c>
      <c r="F45" s="7" t="s">
        <v>58</v>
      </c>
      <c r="G45" s="7">
        <v>1</v>
      </c>
    </row>
    <row r="46" spans="1:7" x14ac:dyDescent="0.25">
      <c r="A46" s="7"/>
      <c r="B46" s="6">
        <v>46066</v>
      </c>
      <c r="C46" s="7" t="s">
        <v>16</v>
      </c>
      <c r="D46" s="7" t="s">
        <v>17</v>
      </c>
      <c r="E46" s="7" t="s">
        <v>239</v>
      </c>
      <c r="F46" s="7" t="s">
        <v>58</v>
      </c>
      <c r="G46" s="7">
        <v>1</v>
      </c>
    </row>
    <row r="47" spans="1:7" x14ac:dyDescent="0.25">
      <c r="A47" s="7"/>
      <c r="B47" s="6">
        <v>46072</v>
      </c>
      <c r="C47" s="7" t="s">
        <v>56</v>
      </c>
      <c r="D47" s="7" t="s">
        <v>247</v>
      </c>
      <c r="E47" s="7" t="s">
        <v>246</v>
      </c>
      <c r="F47" s="7" t="s">
        <v>59</v>
      </c>
      <c r="G47" s="7">
        <v>1</v>
      </c>
    </row>
    <row r="48" spans="1:7" x14ac:dyDescent="0.25">
      <c r="A48" s="7"/>
      <c r="B48" s="6">
        <v>46076</v>
      </c>
      <c r="C48" s="7" t="s">
        <v>26</v>
      </c>
      <c r="D48" s="7" t="s">
        <v>27</v>
      </c>
      <c r="E48" s="7" t="s">
        <v>37</v>
      </c>
      <c r="F48" s="7" t="s">
        <v>59</v>
      </c>
      <c r="G48" s="7">
        <v>1</v>
      </c>
    </row>
    <row r="49" spans="1:7" x14ac:dyDescent="0.25">
      <c r="A49" s="7"/>
      <c r="B49" s="6">
        <v>46077</v>
      </c>
      <c r="C49" s="7" t="s">
        <v>56</v>
      </c>
      <c r="D49" s="7" t="s">
        <v>244</v>
      </c>
      <c r="E49" s="7" t="s">
        <v>248</v>
      </c>
      <c r="F49" s="7" t="s">
        <v>58</v>
      </c>
      <c r="G49" s="7">
        <v>1</v>
      </c>
    </row>
    <row r="50" spans="1:7" x14ac:dyDescent="0.25">
      <c r="A50" s="7"/>
      <c r="B50" s="7"/>
      <c r="C50" s="7"/>
      <c r="D50" s="7" t="s">
        <v>69</v>
      </c>
      <c r="E50" s="7" t="s">
        <v>251</v>
      </c>
      <c r="F50" s="7" t="s">
        <v>70</v>
      </c>
      <c r="G50" s="7">
        <v>1</v>
      </c>
    </row>
    <row r="51" spans="1:7" x14ac:dyDescent="0.25">
      <c r="A51" s="7"/>
      <c r="B51" s="6">
        <v>46078</v>
      </c>
      <c r="C51" s="7" t="s">
        <v>56</v>
      </c>
      <c r="D51" s="7" t="s">
        <v>244</v>
      </c>
      <c r="E51" s="7" t="s">
        <v>243</v>
      </c>
      <c r="F51" s="7" t="s">
        <v>58</v>
      </c>
      <c r="G51" s="7">
        <v>1</v>
      </c>
    </row>
    <row r="52" spans="1:7" x14ac:dyDescent="0.25">
      <c r="A52" s="7" t="s">
        <v>18</v>
      </c>
      <c r="B52" s="6">
        <v>46072</v>
      </c>
      <c r="C52" s="7" t="s">
        <v>56</v>
      </c>
      <c r="D52" s="7" t="s">
        <v>244</v>
      </c>
      <c r="E52" s="7" t="s">
        <v>264</v>
      </c>
      <c r="F52" s="7" t="s">
        <v>58</v>
      </c>
      <c r="G52" s="7">
        <v>1</v>
      </c>
    </row>
    <row r="53" spans="1:7" x14ac:dyDescent="0.25">
      <c r="A53" s="7" t="s">
        <v>6</v>
      </c>
      <c r="B53" s="6">
        <v>46058</v>
      </c>
      <c r="C53" s="7" t="s">
        <v>44</v>
      </c>
      <c r="D53" s="7" t="s">
        <v>48</v>
      </c>
      <c r="E53" s="7" t="s">
        <v>46</v>
      </c>
      <c r="F53" s="7" t="s">
        <v>59</v>
      </c>
      <c r="G53" s="7">
        <v>1</v>
      </c>
    </row>
    <row r="54" spans="1:7" x14ac:dyDescent="0.25">
      <c r="A54" s="7"/>
      <c r="B54" s="6">
        <v>46062</v>
      </c>
      <c r="C54" s="7" t="s">
        <v>44</v>
      </c>
      <c r="D54" s="7" t="s">
        <v>48</v>
      </c>
      <c r="E54" s="7" t="s">
        <v>47</v>
      </c>
      <c r="F54" s="7" t="s">
        <v>59</v>
      </c>
      <c r="G54" s="7">
        <v>1</v>
      </c>
    </row>
    <row r="55" spans="1:7" x14ac:dyDescent="0.25">
      <c r="A55" s="7"/>
      <c r="B55" s="7"/>
      <c r="C55" s="7" t="s">
        <v>8</v>
      </c>
      <c r="D55" s="7" t="s">
        <v>9</v>
      </c>
      <c r="E55" s="7" t="s">
        <v>7</v>
      </c>
      <c r="F55" s="7" t="s">
        <v>58</v>
      </c>
      <c r="G55" s="7">
        <v>1</v>
      </c>
    </row>
    <row r="56" spans="1:7" x14ac:dyDescent="0.25">
      <c r="A56" s="7"/>
      <c r="B56" s="6">
        <v>46063</v>
      </c>
      <c r="C56" s="7" t="s">
        <v>21</v>
      </c>
      <c r="D56" s="7" t="s">
        <v>39</v>
      </c>
      <c r="E56" s="7" t="s">
        <v>40</v>
      </c>
      <c r="F56" s="7" t="s">
        <v>59</v>
      </c>
      <c r="G56" s="7">
        <v>1</v>
      </c>
    </row>
    <row r="57" spans="1:7" x14ac:dyDescent="0.25">
      <c r="A57" s="7"/>
      <c r="B57" s="7"/>
      <c r="C57" s="7"/>
      <c r="D57" s="7"/>
      <c r="E57" s="7" t="s">
        <v>124</v>
      </c>
      <c r="F57" s="7" t="s">
        <v>59</v>
      </c>
      <c r="G57" s="7">
        <v>1</v>
      </c>
    </row>
    <row r="58" spans="1:7" x14ac:dyDescent="0.25">
      <c r="A58" s="7"/>
      <c r="B58" s="6">
        <v>46066</v>
      </c>
      <c r="C58" s="7" t="s">
        <v>21</v>
      </c>
      <c r="D58" s="7" t="s">
        <v>39</v>
      </c>
      <c r="E58" s="7" t="s">
        <v>38</v>
      </c>
      <c r="F58" s="7" t="s">
        <v>59</v>
      </c>
      <c r="G58" s="7">
        <v>1</v>
      </c>
    </row>
    <row r="59" spans="1:7" x14ac:dyDescent="0.25">
      <c r="A59" s="7"/>
      <c r="B59" s="6">
        <v>46072</v>
      </c>
      <c r="C59" s="7" t="s">
        <v>21</v>
      </c>
      <c r="D59" s="7" t="s">
        <v>22</v>
      </c>
      <c r="E59" s="7" t="s">
        <v>111</v>
      </c>
      <c r="F59" s="7" t="s">
        <v>59</v>
      </c>
      <c r="G59" s="7">
        <v>1</v>
      </c>
    </row>
    <row r="60" spans="1:7" x14ac:dyDescent="0.25">
      <c r="A60" s="7"/>
      <c r="B60" s="7"/>
      <c r="C60" s="7"/>
      <c r="D60" s="7" t="s">
        <v>42</v>
      </c>
      <c r="E60" s="7" t="s">
        <v>271</v>
      </c>
      <c r="F60" s="7" t="s">
        <v>59</v>
      </c>
      <c r="G60" s="7">
        <v>1</v>
      </c>
    </row>
    <row r="61" spans="1:7" x14ac:dyDescent="0.25">
      <c r="A61" s="7"/>
      <c r="B61" s="6">
        <v>46077</v>
      </c>
      <c r="C61" s="7" t="s">
        <v>21</v>
      </c>
      <c r="D61" s="7" t="s">
        <v>39</v>
      </c>
      <c r="E61" s="7" t="s">
        <v>277</v>
      </c>
      <c r="F61" s="7" t="s">
        <v>59</v>
      </c>
      <c r="G61" s="7">
        <v>1</v>
      </c>
    </row>
    <row r="62" spans="1:7" x14ac:dyDescent="0.25">
      <c r="A62" s="7"/>
      <c r="B62" s="7"/>
      <c r="C62" s="7"/>
      <c r="D62" s="7" t="s">
        <v>22</v>
      </c>
      <c r="E62" s="7" t="s">
        <v>111</v>
      </c>
      <c r="F62" s="7" t="s">
        <v>59</v>
      </c>
      <c r="G62" s="7">
        <v>1</v>
      </c>
    </row>
    <row r="63" spans="1:7" x14ac:dyDescent="0.25">
      <c r="A63" s="7"/>
      <c r="B63" s="7"/>
      <c r="C63" s="7" t="s">
        <v>8</v>
      </c>
      <c r="D63" s="7" t="s">
        <v>9</v>
      </c>
      <c r="E63" s="7" t="s">
        <v>273</v>
      </c>
      <c r="F63" s="7" t="s">
        <v>58</v>
      </c>
      <c r="G63" s="7">
        <v>1</v>
      </c>
    </row>
    <row r="64" spans="1:7" x14ac:dyDescent="0.25">
      <c r="A64" s="7"/>
      <c r="B64" s="6">
        <v>46083</v>
      </c>
      <c r="C64" s="7" t="s">
        <v>21</v>
      </c>
      <c r="D64" s="7" t="s">
        <v>22</v>
      </c>
      <c r="E64" s="7" t="s">
        <v>111</v>
      </c>
      <c r="F64" s="7" t="s">
        <v>59</v>
      </c>
      <c r="G64" s="7">
        <v>1</v>
      </c>
    </row>
    <row r="65" spans="1:7" x14ac:dyDescent="0.25">
      <c r="A65" s="7" t="s">
        <v>10</v>
      </c>
      <c r="B65" s="6">
        <v>46059</v>
      </c>
      <c r="C65" s="7" t="s">
        <v>21</v>
      </c>
      <c r="D65" s="7" t="s">
        <v>35</v>
      </c>
      <c r="E65" s="7" t="s">
        <v>34</v>
      </c>
      <c r="F65" s="7" t="s">
        <v>59</v>
      </c>
      <c r="G65" s="7">
        <v>1</v>
      </c>
    </row>
    <row r="66" spans="1:7" x14ac:dyDescent="0.25">
      <c r="A66" s="7"/>
      <c r="B66" s="6">
        <v>46064</v>
      </c>
      <c r="C66" s="7" t="s">
        <v>12</v>
      </c>
      <c r="D66" s="7" t="s">
        <v>33</v>
      </c>
      <c r="E66" s="7" t="s">
        <v>32</v>
      </c>
      <c r="F66" s="7" t="s">
        <v>58</v>
      </c>
      <c r="G66" s="7">
        <v>1</v>
      </c>
    </row>
    <row r="67" spans="1:7" x14ac:dyDescent="0.25">
      <c r="A67" s="7"/>
      <c r="B67" s="6">
        <v>46066</v>
      </c>
      <c r="C67" s="7" t="s">
        <v>56</v>
      </c>
      <c r="D67" s="7" t="s">
        <v>247</v>
      </c>
      <c r="E67" s="7" t="s">
        <v>290</v>
      </c>
      <c r="F67" s="7" t="s">
        <v>59</v>
      </c>
      <c r="G67" s="7">
        <v>1</v>
      </c>
    </row>
    <row r="68" spans="1:7" x14ac:dyDescent="0.25">
      <c r="A68" s="7"/>
      <c r="B68" s="6">
        <v>46070</v>
      </c>
      <c r="C68" s="7" t="s">
        <v>8</v>
      </c>
      <c r="D68" s="7" t="s">
        <v>9</v>
      </c>
      <c r="E68" s="7" t="s">
        <v>298</v>
      </c>
      <c r="F68" s="7" t="s">
        <v>58</v>
      </c>
      <c r="G68" s="7">
        <v>1</v>
      </c>
    </row>
    <row r="69" spans="1:7" x14ac:dyDescent="0.25">
      <c r="A69" s="7"/>
      <c r="B69" s="6">
        <v>46073</v>
      </c>
      <c r="C69" s="7" t="s">
        <v>21</v>
      </c>
      <c r="D69" s="7" t="s">
        <v>35</v>
      </c>
      <c r="E69" s="7" t="s">
        <v>53</v>
      </c>
      <c r="F69" s="7" t="s">
        <v>59</v>
      </c>
      <c r="G69" s="7">
        <v>1</v>
      </c>
    </row>
    <row r="70" spans="1:7" x14ac:dyDescent="0.25">
      <c r="A70" s="7"/>
      <c r="B70" s="6">
        <v>46077</v>
      </c>
      <c r="C70" s="7" t="s">
        <v>21</v>
      </c>
      <c r="D70" s="7" t="s">
        <v>35</v>
      </c>
      <c r="E70" s="7" t="s">
        <v>49</v>
      </c>
      <c r="F70" s="7" t="s">
        <v>59</v>
      </c>
      <c r="G70" s="7">
        <v>1</v>
      </c>
    </row>
    <row r="71" spans="1:7" x14ac:dyDescent="0.25">
      <c r="A71" s="7"/>
      <c r="B71" s="7"/>
      <c r="C71" s="7" t="s">
        <v>56</v>
      </c>
      <c r="D71" s="7" t="s">
        <v>69</v>
      </c>
      <c r="E71" s="7" t="s">
        <v>299</v>
      </c>
      <c r="F71" s="7" t="s">
        <v>70</v>
      </c>
      <c r="G71" s="7">
        <v>1</v>
      </c>
    </row>
    <row r="72" spans="1:7" x14ac:dyDescent="0.25">
      <c r="A72" s="7"/>
      <c r="B72" s="6">
        <v>46080</v>
      </c>
      <c r="C72" s="7" t="s">
        <v>56</v>
      </c>
      <c r="D72" s="7" t="s">
        <v>247</v>
      </c>
      <c r="E72" s="7" t="s">
        <v>289</v>
      </c>
      <c r="F72" s="7" t="s">
        <v>59</v>
      </c>
      <c r="G72" s="7">
        <v>1</v>
      </c>
    </row>
    <row r="73" spans="1:7" x14ac:dyDescent="0.25">
      <c r="A73" s="7"/>
      <c r="B73" s="6">
        <v>46083</v>
      </c>
      <c r="C73" s="7" t="s">
        <v>56</v>
      </c>
      <c r="D73" s="7" t="s">
        <v>297</v>
      </c>
      <c r="E73" s="7" t="s">
        <v>296</v>
      </c>
      <c r="F73" s="7" t="s">
        <v>59</v>
      </c>
      <c r="G73" s="7">
        <v>1</v>
      </c>
    </row>
    <row r="74" spans="1:7" x14ac:dyDescent="0.25">
      <c r="A74" s="7"/>
      <c r="B74" s="7"/>
      <c r="C74" s="7"/>
      <c r="D74" s="7"/>
      <c r="E74" s="7" t="s">
        <v>300</v>
      </c>
      <c r="F74" s="7" t="s">
        <v>59</v>
      </c>
      <c r="G74" s="7">
        <v>1</v>
      </c>
    </row>
    <row r="75" spans="1:7" x14ac:dyDescent="0.25">
      <c r="A75" s="7" t="s">
        <v>146</v>
      </c>
      <c r="B75" s="6">
        <v>46070</v>
      </c>
      <c r="C75" s="7" t="s">
        <v>150</v>
      </c>
      <c r="D75" s="7" t="s">
        <v>151</v>
      </c>
      <c r="E75" s="7" t="s">
        <v>302</v>
      </c>
      <c r="F75" s="7" t="s">
        <v>58</v>
      </c>
      <c r="G75" s="7">
        <v>1</v>
      </c>
    </row>
    <row r="76" spans="1:7" x14ac:dyDescent="0.25">
      <c r="A76" s="7" t="s">
        <v>64</v>
      </c>
      <c r="B76" s="6">
        <v>46057</v>
      </c>
      <c r="C76" s="7" t="s">
        <v>21</v>
      </c>
      <c r="D76" s="7" t="s">
        <v>65</v>
      </c>
      <c r="E76" s="7" t="s">
        <v>66</v>
      </c>
      <c r="F76" s="7" t="s">
        <v>59</v>
      </c>
      <c r="G76" s="7">
        <v>1</v>
      </c>
    </row>
    <row r="77" spans="1:7" x14ac:dyDescent="0.25">
      <c r="A77" s="7" t="s">
        <v>153</v>
      </c>
      <c r="B77" s="6">
        <v>46070</v>
      </c>
      <c r="C77" s="7" t="s">
        <v>157</v>
      </c>
      <c r="D77" s="7" t="s">
        <v>158</v>
      </c>
      <c r="E77" s="7" t="s">
        <v>310</v>
      </c>
      <c r="F77" s="7" t="s">
        <v>58</v>
      </c>
      <c r="G77" s="7">
        <v>1</v>
      </c>
    </row>
    <row r="78" spans="1:7" x14ac:dyDescent="0.25">
      <c r="A78" s="9" t="s">
        <v>5</v>
      </c>
      <c r="B78" s="9"/>
      <c r="C78" s="9"/>
      <c r="D78" s="9"/>
      <c r="E78" s="9"/>
      <c r="F78" s="9"/>
      <c r="G78" s="9">
        <f>SUM(G44:G77)</f>
        <v>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52663-9C66-42D9-82DB-5CDC39FC09F4}">
  <sheetPr>
    <tabColor rgb="FF4472C4"/>
  </sheetPr>
  <dimension ref="A1:H32"/>
  <sheetViews>
    <sheetView tabSelected="1" workbookViewId="0">
      <pane ySplit="1" topLeftCell="A2" activePane="bottomLeft" state="frozen"/>
      <selection pane="bottomLeft"/>
    </sheetView>
  </sheetViews>
  <sheetFormatPr defaultRowHeight="15" x14ac:dyDescent="0.25"/>
  <cols>
    <col min="1" max="1" width="19.140625" bestFit="1" customWidth="1"/>
    <col min="2" max="2" width="16" bestFit="1" customWidth="1"/>
    <col min="3" max="3" width="14.28515625" bestFit="1" customWidth="1"/>
    <col min="4" max="4" width="24.140625" bestFit="1" customWidth="1"/>
    <col min="5" max="5" width="55.85546875" bestFit="1" customWidth="1"/>
    <col min="6" max="6" width="12.7109375" bestFit="1" customWidth="1"/>
    <col min="7" max="7" width="21.7109375" bestFit="1" customWidth="1"/>
    <col min="8" max="8" width="6.42578125" bestFit="1" customWidth="1"/>
  </cols>
  <sheetData>
    <row r="1" spans="1:8" x14ac:dyDescent="0.25">
      <c r="A1" s="12" t="s">
        <v>67</v>
      </c>
      <c r="B1" s="12" t="s">
        <v>1</v>
      </c>
      <c r="C1" s="12" t="s">
        <v>60</v>
      </c>
      <c r="D1" s="12" t="s">
        <v>3</v>
      </c>
      <c r="E1" s="12" t="s">
        <v>4</v>
      </c>
      <c r="F1" s="12" t="s">
        <v>55</v>
      </c>
      <c r="G1" s="12" t="s">
        <v>2</v>
      </c>
      <c r="H1" s="12" t="s">
        <v>5</v>
      </c>
    </row>
    <row r="2" spans="1:8" x14ac:dyDescent="0.25">
      <c r="A2" s="13" t="s">
        <v>332</v>
      </c>
      <c r="B2" s="14"/>
      <c r="C2" s="14"/>
      <c r="D2" s="14"/>
      <c r="E2" s="14"/>
      <c r="F2" s="14"/>
      <c r="G2" s="14"/>
      <c r="H2" s="14"/>
    </row>
    <row r="3" spans="1:8" x14ac:dyDescent="0.25">
      <c r="A3" s="7" t="s">
        <v>68</v>
      </c>
      <c r="B3" s="7" t="s">
        <v>14</v>
      </c>
      <c r="C3" s="6">
        <v>46028</v>
      </c>
      <c r="D3" s="6"/>
      <c r="E3" s="7" t="s">
        <v>76</v>
      </c>
      <c r="F3" s="7"/>
      <c r="G3" s="7" t="s">
        <v>175</v>
      </c>
      <c r="H3" s="7">
        <v>1</v>
      </c>
    </row>
    <row r="4" spans="1:8" x14ac:dyDescent="0.25">
      <c r="A4" s="7"/>
      <c r="B4" s="7"/>
      <c r="C4" s="6">
        <v>46029</v>
      </c>
      <c r="D4" s="6"/>
      <c r="E4" s="7"/>
      <c r="F4" s="7"/>
      <c r="G4" s="7" t="s">
        <v>176</v>
      </c>
      <c r="H4" s="7">
        <v>1</v>
      </c>
    </row>
    <row r="5" spans="1:8" x14ac:dyDescent="0.25">
      <c r="A5" s="7"/>
      <c r="B5" s="7" t="s">
        <v>18</v>
      </c>
      <c r="C5" s="6">
        <v>46034</v>
      </c>
      <c r="D5" s="6"/>
      <c r="E5" s="7" t="s">
        <v>168</v>
      </c>
      <c r="F5" s="7"/>
      <c r="G5" s="7" t="s">
        <v>169</v>
      </c>
      <c r="H5" s="7">
        <v>1</v>
      </c>
    </row>
    <row r="6" spans="1:8" x14ac:dyDescent="0.25">
      <c r="A6" s="7"/>
      <c r="B6" s="7" t="s">
        <v>6</v>
      </c>
      <c r="C6" s="6">
        <v>46044</v>
      </c>
      <c r="D6" s="6"/>
      <c r="E6" s="7" t="s">
        <v>42</v>
      </c>
      <c r="F6" s="7"/>
      <c r="G6" s="7" t="s">
        <v>171</v>
      </c>
      <c r="H6" s="7">
        <v>1</v>
      </c>
    </row>
    <row r="7" spans="1:8" x14ac:dyDescent="0.25">
      <c r="A7" s="7"/>
      <c r="B7" s="7"/>
      <c r="C7" s="6">
        <v>46037</v>
      </c>
      <c r="D7" s="6"/>
      <c r="E7" s="7" t="s">
        <v>24</v>
      </c>
      <c r="F7" s="7"/>
      <c r="G7" s="7" t="s">
        <v>172</v>
      </c>
      <c r="H7" s="7">
        <v>1</v>
      </c>
    </row>
    <row r="8" spans="1:8" x14ac:dyDescent="0.25">
      <c r="A8" s="7"/>
      <c r="B8" s="7" t="s">
        <v>10</v>
      </c>
      <c r="C8" s="6">
        <v>46050</v>
      </c>
      <c r="D8" s="6"/>
      <c r="E8" s="7" t="s">
        <v>33</v>
      </c>
      <c r="F8" s="7"/>
      <c r="G8" s="7" t="s">
        <v>129</v>
      </c>
      <c r="H8" s="7">
        <v>1</v>
      </c>
    </row>
    <row r="9" spans="1:8" x14ac:dyDescent="0.25">
      <c r="A9" s="7"/>
      <c r="B9" s="7"/>
      <c r="C9" s="6">
        <v>46045</v>
      </c>
      <c r="D9" s="6"/>
      <c r="E9" s="7" t="s">
        <v>27</v>
      </c>
      <c r="F9" s="7"/>
      <c r="G9" s="7" t="s">
        <v>139</v>
      </c>
      <c r="H9" s="7">
        <v>1</v>
      </c>
    </row>
    <row r="10" spans="1:8" x14ac:dyDescent="0.25">
      <c r="A10" s="7"/>
      <c r="B10" s="7"/>
      <c r="C10" s="6">
        <v>46045</v>
      </c>
      <c r="D10" s="6"/>
      <c r="E10" s="7"/>
      <c r="F10" s="7"/>
      <c r="G10" s="7" t="s">
        <v>142</v>
      </c>
      <c r="H10" s="7">
        <v>1</v>
      </c>
    </row>
    <row r="11" spans="1:8" x14ac:dyDescent="0.25">
      <c r="A11" s="7"/>
      <c r="B11" s="7" t="s">
        <v>146</v>
      </c>
      <c r="C11" s="6">
        <v>46028</v>
      </c>
      <c r="D11" s="6"/>
      <c r="E11" s="7" t="s">
        <v>152</v>
      </c>
      <c r="F11" s="7"/>
      <c r="G11" s="7" t="s">
        <v>152</v>
      </c>
      <c r="H11" s="7">
        <v>1</v>
      </c>
    </row>
    <row r="12" spans="1:8" x14ac:dyDescent="0.25">
      <c r="A12" s="7"/>
      <c r="B12" s="7" t="s">
        <v>64</v>
      </c>
      <c r="C12" s="6">
        <v>46028</v>
      </c>
      <c r="D12" s="6"/>
      <c r="E12" s="7" t="s">
        <v>152</v>
      </c>
      <c r="F12" s="7"/>
      <c r="G12" s="7" t="s">
        <v>152</v>
      </c>
      <c r="H12" s="7">
        <v>1</v>
      </c>
    </row>
    <row r="13" spans="1:8" x14ac:dyDescent="0.25">
      <c r="A13" s="7"/>
      <c r="B13" s="7" t="s">
        <v>153</v>
      </c>
      <c r="C13" s="6">
        <v>46050</v>
      </c>
      <c r="D13" s="6"/>
      <c r="E13" s="7" t="s">
        <v>158</v>
      </c>
      <c r="F13" s="7"/>
      <c r="G13" s="7" t="s">
        <v>160</v>
      </c>
      <c r="H13" s="7">
        <v>1</v>
      </c>
    </row>
    <row r="14" spans="1:8" x14ac:dyDescent="0.25">
      <c r="A14" s="7"/>
      <c r="B14" s="7"/>
      <c r="C14" s="6">
        <v>46035</v>
      </c>
      <c r="D14" s="6"/>
      <c r="E14" s="7"/>
      <c r="F14" s="7"/>
      <c r="G14" s="7" t="s">
        <v>174</v>
      </c>
      <c r="H14" s="7">
        <v>1</v>
      </c>
    </row>
    <row r="15" spans="1:8" x14ac:dyDescent="0.25">
      <c r="A15" s="7"/>
      <c r="B15" s="7"/>
      <c r="C15" s="6">
        <v>46042</v>
      </c>
      <c r="D15" s="6"/>
      <c r="E15" s="7"/>
      <c r="F15" s="7"/>
      <c r="G15" s="7"/>
      <c r="H15" s="7">
        <v>1</v>
      </c>
    </row>
    <row r="16" spans="1:8" x14ac:dyDescent="0.25">
      <c r="A16" s="7"/>
      <c r="B16" s="7" t="s">
        <v>163</v>
      </c>
      <c r="C16" s="6">
        <v>46028</v>
      </c>
      <c r="D16" s="6"/>
      <c r="E16" s="7" t="s">
        <v>152</v>
      </c>
      <c r="F16" s="7"/>
      <c r="G16" s="7" t="s">
        <v>152</v>
      </c>
      <c r="H16" s="7">
        <v>1</v>
      </c>
    </row>
    <row r="17" spans="1:8" x14ac:dyDescent="0.25">
      <c r="A17" s="9" t="s">
        <v>5</v>
      </c>
      <c r="B17" s="9"/>
      <c r="C17" s="9"/>
      <c r="D17" s="9"/>
      <c r="E17" s="9"/>
      <c r="F17" s="9"/>
      <c r="G17" s="9"/>
      <c r="H17" s="9">
        <f>SUM(H3:H16)</f>
        <v>14</v>
      </c>
    </row>
    <row r="18" spans="1:8" x14ac:dyDescent="0.25">
      <c r="A18" s="10" t="s">
        <v>331</v>
      </c>
      <c r="B18" s="11"/>
      <c r="C18" s="11"/>
      <c r="D18" s="11"/>
      <c r="E18" s="11"/>
      <c r="F18" s="11"/>
      <c r="G18" s="11"/>
      <c r="H18" s="11"/>
    </row>
    <row r="19" spans="1:8" x14ac:dyDescent="0.25">
      <c r="A19" s="7" t="s">
        <v>68</v>
      </c>
      <c r="B19" s="7" t="s">
        <v>14</v>
      </c>
      <c r="C19" s="6">
        <v>46059</v>
      </c>
      <c r="D19" s="6" t="s">
        <v>61</v>
      </c>
      <c r="E19" s="7" t="s">
        <v>62</v>
      </c>
      <c r="F19" s="7" t="s">
        <v>58</v>
      </c>
      <c r="G19" s="7" t="s">
        <v>63</v>
      </c>
      <c r="H19" s="7">
        <v>1</v>
      </c>
    </row>
    <row r="20" spans="1:8" x14ac:dyDescent="0.25">
      <c r="A20" s="7"/>
      <c r="B20" s="7"/>
      <c r="C20" s="6">
        <v>46062</v>
      </c>
      <c r="D20" s="6" t="s">
        <v>56</v>
      </c>
      <c r="E20" s="7" t="s">
        <v>69</v>
      </c>
      <c r="F20" s="7" t="s">
        <v>70</v>
      </c>
      <c r="G20" s="7" t="s">
        <v>71</v>
      </c>
      <c r="H20" s="7">
        <v>1</v>
      </c>
    </row>
    <row r="21" spans="1:8" x14ac:dyDescent="0.25">
      <c r="A21" s="7"/>
      <c r="B21" s="7"/>
      <c r="C21" s="6">
        <v>46063</v>
      </c>
      <c r="D21" s="6" t="s">
        <v>16</v>
      </c>
      <c r="E21" s="7" t="s">
        <v>17</v>
      </c>
      <c r="F21" s="7" t="s">
        <v>58</v>
      </c>
      <c r="G21" s="7" t="s">
        <v>15</v>
      </c>
      <c r="H21" s="7">
        <v>1</v>
      </c>
    </row>
    <row r="22" spans="1:8" x14ac:dyDescent="0.25">
      <c r="A22" s="7"/>
      <c r="B22" s="7" t="s">
        <v>18</v>
      </c>
      <c r="C22" s="6">
        <v>46055</v>
      </c>
      <c r="D22" s="6" t="s">
        <v>16</v>
      </c>
      <c r="E22" s="7" t="s">
        <v>17</v>
      </c>
      <c r="F22" s="7" t="s">
        <v>58</v>
      </c>
      <c r="G22" s="7" t="s">
        <v>72</v>
      </c>
      <c r="H22" s="7">
        <v>1</v>
      </c>
    </row>
    <row r="23" spans="1:8" x14ac:dyDescent="0.25">
      <c r="A23" s="7"/>
      <c r="B23" s="7" t="s">
        <v>6</v>
      </c>
      <c r="C23" s="6">
        <v>46056</v>
      </c>
      <c r="D23" s="6" t="s">
        <v>8</v>
      </c>
      <c r="E23" s="7" t="s">
        <v>9</v>
      </c>
      <c r="F23" s="7" t="s">
        <v>58</v>
      </c>
      <c r="G23" s="7" t="s">
        <v>73</v>
      </c>
      <c r="H23" s="7">
        <v>1</v>
      </c>
    </row>
    <row r="24" spans="1:8" x14ac:dyDescent="0.25">
      <c r="A24" s="7"/>
      <c r="B24" s="7"/>
      <c r="C24" s="6">
        <v>46064</v>
      </c>
      <c r="D24" s="6" t="s">
        <v>44</v>
      </c>
      <c r="E24" s="7" t="s">
        <v>48</v>
      </c>
      <c r="F24" s="7" t="s">
        <v>59</v>
      </c>
      <c r="G24" s="7" t="s">
        <v>47</v>
      </c>
      <c r="H24" s="7">
        <v>1</v>
      </c>
    </row>
    <row r="25" spans="1:8" x14ac:dyDescent="0.25">
      <c r="A25" s="7"/>
      <c r="B25" s="7"/>
      <c r="C25" s="6">
        <v>46073</v>
      </c>
      <c r="D25" s="6" t="s">
        <v>8</v>
      </c>
      <c r="E25" s="7" t="s">
        <v>9</v>
      </c>
      <c r="F25" s="7" t="s">
        <v>58</v>
      </c>
      <c r="G25" s="7" t="s">
        <v>7</v>
      </c>
      <c r="H25" s="7">
        <v>1</v>
      </c>
    </row>
    <row r="26" spans="1:8" x14ac:dyDescent="0.25">
      <c r="A26" s="7"/>
      <c r="B26" s="7"/>
      <c r="C26" s="6">
        <v>46083</v>
      </c>
      <c r="D26" s="6" t="s">
        <v>21</v>
      </c>
      <c r="E26" s="7" t="s">
        <v>22</v>
      </c>
      <c r="F26" s="7" t="s">
        <v>59</v>
      </c>
      <c r="G26" s="7" t="s">
        <v>111</v>
      </c>
      <c r="H26" s="7">
        <v>1</v>
      </c>
    </row>
    <row r="27" spans="1:8" x14ac:dyDescent="0.25">
      <c r="A27" s="7"/>
      <c r="B27" s="7" t="s">
        <v>10</v>
      </c>
      <c r="C27" s="6">
        <v>46072</v>
      </c>
      <c r="D27" s="6" t="s">
        <v>56</v>
      </c>
      <c r="E27" s="7" t="s">
        <v>247</v>
      </c>
      <c r="F27" s="7" t="s">
        <v>59</v>
      </c>
      <c r="G27" s="7" t="s">
        <v>290</v>
      </c>
      <c r="H27" s="7">
        <v>1</v>
      </c>
    </row>
    <row r="28" spans="1:8" x14ac:dyDescent="0.25">
      <c r="A28" s="7"/>
      <c r="B28" s="7"/>
      <c r="C28" s="6">
        <v>46077</v>
      </c>
      <c r="D28" s="6" t="s">
        <v>8</v>
      </c>
      <c r="E28" s="7" t="s">
        <v>9</v>
      </c>
      <c r="F28" s="7" t="s">
        <v>58</v>
      </c>
      <c r="G28" s="7" t="s">
        <v>298</v>
      </c>
      <c r="H28" s="7">
        <v>1</v>
      </c>
    </row>
    <row r="29" spans="1:8" x14ac:dyDescent="0.25">
      <c r="A29" s="7"/>
      <c r="B29" s="7"/>
      <c r="C29" s="6">
        <v>46084</v>
      </c>
      <c r="D29" s="6" t="s">
        <v>56</v>
      </c>
      <c r="E29" s="7" t="s">
        <v>69</v>
      </c>
      <c r="F29" s="7" t="s">
        <v>70</v>
      </c>
      <c r="G29" s="7" t="s">
        <v>299</v>
      </c>
      <c r="H29" s="7">
        <v>1</v>
      </c>
    </row>
    <row r="30" spans="1:8" x14ac:dyDescent="0.25">
      <c r="A30" s="7"/>
      <c r="B30" s="7" t="s">
        <v>146</v>
      </c>
      <c r="C30" s="6">
        <v>46064</v>
      </c>
      <c r="D30" s="6" t="s">
        <v>133</v>
      </c>
      <c r="E30" s="7" t="s">
        <v>134</v>
      </c>
      <c r="F30" s="7" t="s">
        <v>58</v>
      </c>
      <c r="G30" s="7" t="s">
        <v>148</v>
      </c>
      <c r="H30" s="7">
        <v>1</v>
      </c>
    </row>
    <row r="31" spans="1:8" x14ac:dyDescent="0.25">
      <c r="A31" s="7"/>
      <c r="B31" s="7" t="s">
        <v>153</v>
      </c>
      <c r="C31" s="6">
        <v>46080</v>
      </c>
      <c r="D31" s="6" t="s">
        <v>157</v>
      </c>
      <c r="E31" s="7" t="s">
        <v>158</v>
      </c>
      <c r="F31" s="7" t="s">
        <v>58</v>
      </c>
      <c r="G31" s="7" t="s">
        <v>310</v>
      </c>
      <c r="H31" s="7">
        <v>1</v>
      </c>
    </row>
    <row r="32" spans="1:8" x14ac:dyDescent="0.25">
      <c r="A32" s="9" t="s">
        <v>5</v>
      </c>
      <c r="B32" s="9"/>
      <c r="C32" s="9"/>
      <c r="D32" s="9"/>
      <c r="E32" s="9"/>
      <c r="F32" s="9"/>
      <c r="G32" s="9"/>
      <c r="H32" s="9">
        <f>SUM(H19:H31)</f>
        <v>13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31298-3694-4468-8D04-85BEF4C57870}">
  <sheetPr>
    <tabColor rgb="FF548235"/>
  </sheetPr>
  <dimension ref="A1:F58"/>
  <sheetViews>
    <sheetView workbookViewId="0">
      <pane ySplit="1" topLeftCell="A23" activePane="bottomLeft" state="frozen"/>
      <selection pane="bottomLeft"/>
    </sheetView>
  </sheetViews>
  <sheetFormatPr defaultRowHeight="15" x14ac:dyDescent="0.25"/>
  <cols>
    <col min="1" max="1" width="16" bestFit="1" customWidth="1"/>
    <col min="2" max="2" width="30.140625" bestFit="1" customWidth="1"/>
    <col min="3" max="3" width="67" bestFit="1" customWidth="1"/>
    <col min="4" max="4" width="12" bestFit="1" customWidth="1"/>
    <col min="5" max="5" width="26.85546875" bestFit="1" customWidth="1"/>
    <col min="6" max="6" width="10.42578125" bestFit="1" customWidth="1"/>
  </cols>
  <sheetData>
    <row r="1" spans="1:6" x14ac:dyDescent="0.25">
      <c r="A1" s="12" t="s">
        <v>1</v>
      </c>
      <c r="B1" s="12" t="s">
        <v>3</v>
      </c>
      <c r="C1" s="12" t="s">
        <v>4</v>
      </c>
      <c r="D1" s="12" t="s">
        <v>177</v>
      </c>
      <c r="E1" s="12" t="s">
        <v>2</v>
      </c>
      <c r="F1" s="12" t="s">
        <v>178</v>
      </c>
    </row>
    <row r="2" spans="1:6" x14ac:dyDescent="0.25">
      <c r="A2" s="13" t="s">
        <v>332</v>
      </c>
      <c r="B2" s="14"/>
      <c r="C2" s="14"/>
      <c r="D2" s="14"/>
      <c r="E2" s="14"/>
      <c r="F2" s="14"/>
    </row>
    <row r="3" spans="1:6" x14ac:dyDescent="0.25">
      <c r="A3" s="7" t="s">
        <v>14</v>
      </c>
      <c r="B3" s="7" t="s">
        <v>85</v>
      </c>
      <c r="C3" s="7" t="s">
        <v>86</v>
      </c>
      <c r="D3" s="15">
        <v>2100</v>
      </c>
      <c r="E3" s="7" t="s">
        <v>84</v>
      </c>
      <c r="F3" s="6">
        <v>46034</v>
      </c>
    </row>
    <row r="4" spans="1:6" x14ac:dyDescent="0.25">
      <c r="A4" s="7"/>
      <c r="B4" s="7"/>
      <c r="C4" s="7"/>
      <c r="D4" s="15">
        <v>3150</v>
      </c>
      <c r="E4" s="7" t="s">
        <v>84</v>
      </c>
      <c r="F4" s="6">
        <v>46034</v>
      </c>
    </row>
    <row r="5" spans="1:6" x14ac:dyDescent="0.25">
      <c r="A5" s="7"/>
      <c r="B5" s="7"/>
      <c r="C5" s="7"/>
      <c r="D5" s="15">
        <v>7350</v>
      </c>
      <c r="E5" s="7" t="s">
        <v>84</v>
      </c>
      <c r="F5" s="6">
        <v>46034</v>
      </c>
    </row>
    <row r="6" spans="1:6" x14ac:dyDescent="0.25">
      <c r="A6" s="7"/>
      <c r="B6" s="7" t="s">
        <v>16</v>
      </c>
      <c r="C6" s="7" t="s">
        <v>179</v>
      </c>
      <c r="D6" s="15">
        <v>4893.75</v>
      </c>
      <c r="E6" s="7" t="s">
        <v>180</v>
      </c>
      <c r="F6" s="6">
        <v>46038</v>
      </c>
    </row>
    <row r="7" spans="1:6" x14ac:dyDescent="0.25">
      <c r="A7" s="7"/>
      <c r="B7" s="7"/>
      <c r="C7" s="7"/>
      <c r="D7" s="15">
        <v>9787.5</v>
      </c>
      <c r="E7" s="7" t="s">
        <v>180</v>
      </c>
      <c r="F7" s="6">
        <v>46038</v>
      </c>
    </row>
    <row r="8" spans="1:6" x14ac:dyDescent="0.25">
      <c r="A8" s="7"/>
      <c r="B8" s="7" t="s">
        <v>56</v>
      </c>
      <c r="C8" s="7" t="s">
        <v>181</v>
      </c>
      <c r="D8" s="15">
        <v>3166.2</v>
      </c>
      <c r="E8" s="7" t="s">
        <v>182</v>
      </c>
      <c r="F8" s="6">
        <v>46048</v>
      </c>
    </row>
    <row r="9" spans="1:6" x14ac:dyDescent="0.25">
      <c r="A9" s="7"/>
      <c r="B9" s="7"/>
      <c r="C9" s="7"/>
      <c r="D9" s="15">
        <v>4221.6000000000004</v>
      </c>
      <c r="E9" s="7" t="s">
        <v>182</v>
      </c>
      <c r="F9" s="6">
        <v>46048</v>
      </c>
    </row>
    <row r="10" spans="1:6" x14ac:dyDescent="0.25">
      <c r="A10" s="7"/>
      <c r="B10" s="7"/>
      <c r="C10" s="7"/>
      <c r="D10" s="15">
        <v>7387.8</v>
      </c>
      <c r="E10" s="7" t="s">
        <v>182</v>
      </c>
      <c r="F10" s="6">
        <v>46048</v>
      </c>
    </row>
    <row r="11" spans="1:6" x14ac:dyDescent="0.25">
      <c r="A11" s="7"/>
      <c r="B11" s="7" t="s">
        <v>95</v>
      </c>
      <c r="C11" s="7" t="s">
        <v>183</v>
      </c>
      <c r="D11" s="15">
        <v>1917.4</v>
      </c>
      <c r="E11" s="7" t="s">
        <v>184</v>
      </c>
      <c r="F11" s="6">
        <v>46030</v>
      </c>
    </row>
    <row r="12" spans="1:6" x14ac:dyDescent="0.25">
      <c r="A12" s="7"/>
      <c r="B12" s="7"/>
      <c r="C12" s="7"/>
      <c r="D12" s="15">
        <v>2876.1</v>
      </c>
      <c r="E12" s="7" t="s">
        <v>184</v>
      </c>
      <c r="F12" s="6">
        <v>46030</v>
      </c>
    </row>
    <row r="13" spans="1:6" x14ac:dyDescent="0.25">
      <c r="A13" s="7"/>
      <c r="B13" s="7"/>
      <c r="C13" s="7"/>
      <c r="D13" s="15">
        <v>3834.8</v>
      </c>
      <c r="E13" s="7" t="s">
        <v>184</v>
      </c>
      <c r="F13" s="6">
        <v>46030</v>
      </c>
    </row>
    <row r="14" spans="1:6" x14ac:dyDescent="0.25">
      <c r="A14" s="7"/>
      <c r="B14" s="7"/>
      <c r="C14" s="7"/>
      <c r="D14" s="15">
        <v>6710.9</v>
      </c>
      <c r="E14" s="7" t="s">
        <v>184</v>
      </c>
      <c r="F14" s="6">
        <v>46030</v>
      </c>
    </row>
    <row r="15" spans="1:6" x14ac:dyDescent="0.25">
      <c r="A15" s="7" t="s">
        <v>18</v>
      </c>
      <c r="B15" s="7"/>
      <c r="C15" s="7"/>
      <c r="D15" s="15"/>
      <c r="E15" s="7"/>
      <c r="F15" s="6">
        <v>46048</v>
      </c>
    </row>
    <row r="16" spans="1:6" x14ac:dyDescent="0.25">
      <c r="A16" s="7" t="s">
        <v>6</v>
      </c>
      <c r="B16" s="7" t="s">
        <v>21</v>
      </c>
      <c r="C16" s="7" t="s">
        <v>42</v>
      </c>
      <c r="D16" s="15">
        <v>4737.2</v>
      </c>
      <c r="E16" s="7" t="s">
        <v>171</v>
      </c>
      <c r="F16" s="6">
        <v>46049</v>
      </c>
    </row>
    <row r="17" spans="1:6" x14ac:dyDescent="0.25">
      <c r="A17" s="7"/>
      <c r="B17" s="7"/>
      <c r="C17" s="7"/>
      <c r="D17" s="15">
        <v>7105.8</v>
      </c>
      <c r="E17" s="7" t="s">
        <v>171</v>
      </c>
      <c r="F17" s="6">
        <v>46049</v>
      </c>
    </row>
    <row r="18" spans="1:6" x14ac:dyDescent="0.25">
      <c r="A18" s="7"/>
      <c r="B18" s="7"/>
      <c r="C18" s="7"/>
      <c r="D18" s="15">
        <v>9474.4</v>
      </c>
      <c r="E18" s="7" t="s">
        <v>171</v>
      </c>
      <c r="F18" s="6">
        <v>46049</v>
      </c>
    </row>
    <row r="19" spans="1:6" x14ac:dyDescent="0.25">
      <c r="A19" s="7"/>
      <c r="B19" s="7"/>
      <c r="C19" s="7"/>
      <c r="D19" s="15">
        <v>16580.2</v>
      </c>
      <c r="E19" s="7" t="s">
        <v>171</v>
      </c>
      <c r="F19" s="6">
        <v>46049</v>
      </c>
    </row>
    <row r="20" spans="1:6" x14ac:dyDescent="0.25">
      <c r="A20" s="7" t="s">
        <v>10</v>
      </c>
      <c r="B20" s="7" t="s">
        <v>21</v>
      </c>
      <c r="C20" s="7" t="s">
        <v>42</v>
      </c>
      <c r="D20" s="15">
        <v>4737.2</v>
      </c>
      <c r="E20" s="7" t="s">
        <v>171</v>
      </c>
      <c r="F20" s="6">
        <v>46049</v>
      </c>
    </row>
    <row r="21" spans="1:6" x14ac:dyDescent="0.25">
      <c r="A21" s="7"/>
      <c r="B21" s="7" t="s">
        <v>56</v>
      </c>
      <c r="C21" s="7" t="s">
        <v>181</v>
      </c>
      <c r="D21" s="15">
        <v>2110.8000000000002</v>
      </c>
      <c r="E21" s="7" t="s">
        <v>182</v>
      </c>
      <c r="F21" s="6">
        <v>46048</v>
      </c>
    </row>
    <row r="22" spans="1:6" x14ac:dyDescent="0.25">
      <c r="A22" s="7"/>
      <c r="B22" s="7"/>
      <c r="C22" s="7"/>
      <c r="D22" s="15">
        <v>4221.6000000000004</v>
      </c>
      <c r="E22" s="7" t="s">
        <v>182</v>
      </c>
      <c r="F22" s="6">
        <v>46048</v>
      </c>
    </row>
    <row r="23" spans="1:6" x14ac:dyDescent="0.25">
      <c r="A23" s="7"/>
      <c r="B23" s="7" t="s">
        <v>8</v>
      </c>
      <c r="C23" s="7" t="s">
        <v>185</v>
      </c>
      <c r="D23" s="15">
        <v>30000</v>
      </c>
      <c r="E23" s="7" t="s">
        <v>186</v>
      </c>
      <c r="F23" s="6">
        <v>46027</v>
      </c>
    </row>
    <row r="24" spans="1:6" x14ac:dyDescent="0.25">
      <c r="A24" s="7" t="s">
        <v>146</v>
      </c>
      <c r="B24" s="7"/>
      <c r="C24" s="7"/>
      <c r="D24" s="15"/>
      <c r="E24" s="7"/>
      <c r="F24" s="6">
        <v>46048</v>
      </c>
    </row>
    <row r="25" spans="1:6" x14ac:dyDescent="0.25">
      <c r="A25" s="7" t="s">
        <v>64</v>
      </c>
      <c r="B25" s="7" t="s">
        <v>187</v>
      </c>
      <c r="C25" s="7" t="s">
        <v>188</v>
      </c>
      <c r="D25" s="15">
        <v>5501.6</v>
      </c>
      <c r="E25" s="7" t="s">
        <v>189</v>
      </c>
      <c r="F25" s="6">
        <v>46043</v>
      </c>
    </row>
    <row r="26" spans="1:6" x14ac:dyDescent="0.25">
      <c r="A26" s="7"/>
      <c r="B26" s="7"/>
      <c r="C26" s="7" t="s">
        <v>190</v>
      </c>
      <c r="D26" s="15">
        <v>5501.6</v>
      </c>
      <c r="E26" s="7" t="s">
        <v>191</v>
      </c>
      <c r="F26" s="6">
        <v>46041</v>
      </c>
    </row>
    <row r="27" spans="1:6" x14ac:dyDescent="0.25">
      <c r="A27" s="7"/>
      <c r="B27" s="7" t="s">
        <v>21</v>
      </c>
      <c r="C27" s="7" t="s">
        <v>42</v>
      </c>
      <c r="D27" s="15">
        <v>9474.4</v>
      </c>
      <c r="E27" s="7" t="s">
        <v>171</v>
      </c>
      <c r="F27" s="6">
        <v>46049</v>
      </c>
    </row>
    <row r="28" spans="1:6" x14ac:dyDescent="0.25">
      <c r="A28" s="7"/>
      <c r="B28" s="7" t="s">
        <v>16</v>
      </c>
      <c r="C28" s="7" t="s">
        <v>179</v>
      </c>
      <c r="D28" s="15">
        <v>7340.63</v>
      </c>
      <c r="E28" s="7" t="s">
        <v>180</v>
      </c>
      <c r="F28" s="6">
        <v>46038</v>
      </c>
    </row>
    <row r="29" spans="1:6" x14ac:dyDescent="0.25">
      <c r="A29" s="7"/>
      <c r="B29" s="7"/>
      <c r="C29" s="7"/>
      <c r="D29" s="15">
        <v>9787.5</v>
      </c>
      <c r="E29" s="7" t="s">
        <v>180</v>
      </c>
      <c r="F29" s="6">
        <v>46038</v>
      </c>
    </row>
    <row r="30" spans="1:6" x14ac:dyDescent="0.25">
      <c r="A30" s="7"/>
      <c r="B30" s="7"/>
      <c r="C30" s="7"/>
      <c r="D30" s="15">
        <v>17128.13</v>
      </c>
      <c r="E30" s="7" t="s">
        <v>180</v>
      </c>
      <c r="F30" s="6">
        <v>46038</v>
      </c>
    </row>
    <row r="31" spans="1:6" x14ac:dyDescent="0.25">
      <c r="A31" s="7" t="s">
        <v>153</v>
      </c>
      <c r="B31" s="7"/>
      <c r="C31" s="7"/>
      <c r="D31" s="15"/>
      <c r="E31" s="7"/>
      <c r="F31" s="6">
        <v>46048</v>
      </c>
    </row>
    <row r="32" spans="1:6" x14ac:dyDescent="0.25">
      <c r="A32" s="7" t="s">
        <v>163</v>
      </c>
      <c r="B32" s="7"/>
      <c r="C32" s="7"/>
      <c r="D32" s="15"/>
      <c r="E32" s="7"/>
      <c r="F32" s="6">
        <v>46048</v>
      </c>
    </row>
    <row r="33" spans="1:6" x14ac:dyDescent="0.25">
      <c r="A33" s="9" t="s">
        <v>5</v>
      </c>
      <c r="B33" s="39"/>
      <c r="C33" s="39"/>
      <c r="D33" s="18">
        <f>SUM(D3:D32)</f>
        <v>191097.11000000002</v>
      </c>
      <c r="E33" s="39"/>
      <c r="F33" s="40"/>
    </row>
    <row r="34" spans="1:6" x14ac:dyDescent="0.25">
      <c r="A34" s="10" t="s">
        <v>331</v>
      </c>
      <c r="B34" s="17"/>
      <c r="C34" s="17"/>
      <c r="D34" s="16"/>
      <c r="E34" s="17"/>
      <c r="F34" s="21"/>
    </row>
    <row r="35" spans="1:6" x14ac:dyDescent="0.25">
      <c r="A35" s="7" t="s">
        <v>14</v>
      </c>
      <c r="B35" s="7" t="s">
        <v>56</v>
      </c>
      <c r="C35" s="7" t="s">
        <v>222</v>
      </c>
      <c r="D35" s="15">
        <v>3400.58</v>
      </c>
      <c r="E35" s="7" t="s">
        <v>223</v>
      </c>
      <c r="F35" s="6">
        <v>46082</v>
      </c>
    </row>
    <row r="36" spans="1:6" x14ac:dyDescent="0.25">
      <c r="A36" s="7"/>
      <c r="B36" s="7"/>
      <c r="C36" s="7"/>
      <c r="D36" s="15">
        <v>4534.1000000000004</v>
      </c>
      <c r="E36" s="7" t="s">
        <v>223</v>
      </c>
      <c r="F36" s="6">
        <v>46082</v>
      </c>
    </row>
    <row r="37" spans="1:6" x14ac:dyDescent="0.25">
      <c r="A37" s="7"/>
      <c r="B37" s="7"/>
      <c r="C37" s="7"/>
      <c r="D37" s="15">
        <v>7934.68</v>
      </c>
      <c r="E37" s="7" t="s">
        <v>223</v>
      </c>
      <c r="F37" s="6">
        <v>46082</v>
      </c>
    </row>
    <row r="38" spans="1:6" x14ac:dyDescent="0.25">
      <c r="A38" s="7"/>
      <c r="B38" s="7" t="s">
        <v>61</v>
      </c>
      <c r="C38" s="7" t="s">
        <v>62</v>
      </c>
      <c r="D38" s="15">
        <v>1875</v>
      </c>
      <c r="E38" s="7" t="s">
        <v>63</v>
      </c>
      <c r="F38" s="6">
        <v>46082</v>
      </c>
    </row>
    <row r="39" spans="1:6" x14ac:dyDescent="0.25">
      <c r="A39" s="7"/>
      <c r="B39" s="7"/>
      <c r="C39" s="7"/>
      <c r="D39" s="15">
        <v>2812.5</v>
      </c>
      <c r="E39" s="7" t="s">
        <v>63</v>
      </c>
      <c r="F39" s="6">
        <v>46082</v>
      </c>
    </row>
    <row r="40" spans="1:6" x14ac:dyDescent="0.25">
      <c r="A40" s="7"/>
      <c r="B40" s="7"/>
      <c r="C40" s="7"/>
      <c r="D40" s="15">
        <v>3750</v>
      </c>
      <c r="E40" s="7" t="s">
        <v>63</v>
      </c>
      <c r="F40" s="6">
        <v>46082</v>
      </c>
    </row>
    <row r="41" spans="1:6" x14ac:dyDescent="0.25">
      <c r="A41" s="7"/>
      <c r="B41" s="7"/>
      <c r="C41" s="7"/>
      <c r="D41" s="15">
        <v>6562.5</v>
      </c>
      <c r="E41" s="7" t="s">
        <v>63</v>
      </c>
      <c r="F41" s="6">
        <v>46082</v>
      </c>
    </row>
    <row r="42" spans="1:6" x14ac:dyDescent="0.25">
      <c r="A42" s="7" t="s">
        <v>18</v>
      </c>
      <c r="B42" s="7" t="s">
        <v>167</v>
      </c>
      <c r="C42" s="7" t="s">
        <v>168</v>
      </c>
      <c r="D42" s="15">
        <v>2500</v>
      </c>
      <c r="E42" s="7" t="s">
        <v>169</v>
      </c>
      <c r="F42" s="6">
        <v>46082</v>
      </c>
    </row>
    <row r="43" spans="1:6" x14ac:dyDescent="0.25">
      <c r="A43" s="7"/>
      <c r="B43" s="7"/>
      <c r="C43" s="7"/>
      <c r="D43" s="15">
        <v>3750</v>
      </c>
      <c r="E43" s="7" t="s">
        <v>169</v>
      </c>
      <c r="F43" s="6">
        <v>46082</v>
      </c>
    </row>
    <row r="44" spans="1:6" x14ac:dyDescent="0.25">
      <c r="A44" s="7"/>
      <c r="B44" s="7"/>
      <c r="C44" s="7"/>
      <c r="D44" s="15">
        <v>5000</v>
      </c>
      <c r="E44" s="7" t="s">
        <v>169</v>
      </c>
      <c r="F44" s="6">
        <v>46082</v>
      </c>
    </row>
    <row r="45" spans="1:6" x14ac:dyDescent="0.25">
      <c r="A45" s="7"/>
      <c r="B45" s="7"/>
      <c r="C45" s="7"/>
      <c r="D45" s="15">
        <v>8750</v>
      </c>
      <c r="E45" s="7" t="s">
        <v>169</v>
      </c>
      <c r="F45" s="6">
        <v>46082</v>
      </c>
    </row>
    <row r="46" spans="1:6" x14ac:dyDescent="0.25">
      <c r="A46" s="7" t="s">
        <v>6</v>
      </c>
      <c r="B46" s="7" t="s">
        <v>21</v>
      </c>
      <c r="C46" s="7" t="s">
        <v>39</v>
      </c>
      <c r="D46" s="15">
        <v>6793.8</v>
      </c>
      <c r="E46" s="7" t="s">
        <v>124</v>
      </c>
      <c r="F46" s="6">
        <v>46082</v>
      </c>
    </row>
    <row r="47" spans="1:6" x14ac:dyDescent="0.25">
      <c r="A47" s="7"/>
      <c r="B47" s="7"/>
      <c r="C47" s="7"/>
      <c r="D47" s="15">
        <v>9058.4</v>
      </c>
      <c r="E47" s="7" t="s">
        <v>124</v>
      </c>
      <c r="F47" s="6">
        <v>46082</v>
      </c>
    </row>
    <row r="48" spans="1:6" x14ac:dyDescent="0.25">
      <c r="A48" s="7"/>
      <c r="B48" s="7"/>
      <c r="C48" s="7"/>
      <c r="D48" s="15">
        <v>15852.2</v>
      </c>
      <c r="E48" s="7" t="s">
        <v>124</v>
      </c>
      <c r="F48" s="6">
        <v>46082</v>
      </c>
    </row>
    <row r="49" spans="1:6" x14ac:dyDescent="0.25">
      <c r="A49" s="7"/>
      <c r="B49" s="7" t="s">
        <v>56</v>
      </c>
      <c r="C49" s="7" t="s">
        <v>222</v>
      </c>
      <c r="D49" s="15">
        <v>2267.0500000000002</v>
      </c>
      <c r="E49" s="7" t="s">
        <v>223</v>
      </c>
      <c r="F49" s="6">
        <v>46082</v>
      </c>
    </row>
    <row r="50" spans="1:6" x14ac:dyDescent="0.25">
      <c r="A50" s="7"/>
      <c r="B50" s="7"/>
      <c r="C50" s="7"/>
      <c r="D50" s="15">
        <v>4534.1000000000004</v>
      </c>
      <c r="E50" s="7" t="s">
        <v>223</v>
      </c>
      <c r="F50" s="6">
        <v>46082</v>
      </c>
    </row>
    <row r="51" spans="1:6" x14ac:dyDescent="0.25">
      <c r="A51" s="7" t="s">
        <v>10</v>
      </c>
      <c r="B51" s="7" t="s">
        <v>21</v>
      </c>
      <c r="C51" s="7" t="s">
        <v>39</v>
      </c>
      <c r="D51" s="15">
        <v>4529.2</v>
      </c>
      <c r="E51" s="7" t="s">
        <v>124</v>
      </c>
      <c r="F51" s="6">
        <v>46082</v>
      </c>
    </row>
    <row r="52" spans="1:6" x14ac:dyDescent="0.25">
      <c r="A52" s="7"/>
      <c r="B52" s="7" t="s">
        <v>26</v>
      </c>
      <c r="C52" s="7" t="s">
        <v>27</v>
      </c>
      <c r="D52" s="15">
        <v>27219.4</v>
      </c>
      <c r="E52" s="7" t="s">
        <v>224</v>
      </c>
      <c r="F52" s="6">
        <v>46082</v>
      </c>
    </row>
    <row r="53" spans="1:6" x14ac:dyDescent="0.25">
      <c r="A53" s="7" t="s">
        <v>64</v>
      </c>
      <c r="B53" s="7" t="s">
        <v>21</v>
      </c>
      <c r="C53" s="7" t="s">
        <v>39</v>
      </c>
      <c r="D53" s="15">
        <v>4529.2</v>
      </c>
      <c r="E53" s="7" t="s">
        <v>124</v>
      </c>
      <c r="F53" s="6">
        <v>46082</v>
      </c>
    </row>
    <row r="54" spans="1:6" x14ac:dyDescent="0.25">
      <c r="A54" s="7"/>
      <c r="B54" s="7"/>
      <c r="C54" s="7"/>
      <c r="D54" s="15">
        <v>9058.4</v>
      </c>
      <c r="E54" s="7" t="s">
        <v>124</v>
      </c>
      <c r="F54" s="6">
        <v>46082</v>
      </c>
    </row>
    <row r="55" spans="1:6" x14ac:dyDescent="0.25">
      <c r="A55" s="7" t="s">
        <v>153</v>
      </c>
      <c r="B55" s="7" t="s">
        <v>157</v>
      </c>
      <c r="C55" s="7" t="s">
        <v>158</v>
      </c>
      <c r="D55" s="15">
        <v>1740</v>
      </c>
      <c r="E55" s="7" t="s">
        <v>174</v>
      </c>
      <c r="F55" s="6">
        <v>46082</v>
      </c>
    </row>
    <row r="56" spans="1:6" x14ac:dyDescent="0.25">
      <c r="A56" s="7"/>
      <c r="B56" s="7"/>
      <c r="C56" s="7"/>
      <c r="D56" s="15">
        <v>3480</v>
      </c>
      <c r="E56" s="7" t="s">
        <v>174</v>
      </c>
      <c r="F56" s="6">
        <v>46082</v>
      </c>
    </row>
    <row r="57" spans="1:6" x14ac:dyDescent="0.25">
      <c r="A57" s="9" t="s">
        <v>5</v>
      </c>
      <c r="B57" s="39"/>
      <c r="C57" s="39"/>
      <c r="D57" s="18">
        <f>SUM(D35:D56)</f>
        <v>139931.11000000002</v>
      </c>
      <c r="E57" s="39"/>
      <c r="F57" s="40"/>
    </row>
    <row r="58" spans="1:6" x14ac:dyDescent="0.25">
      <c r="A58" s="41" t="s">
        <v>333</v>
      </c>
      <c r="B58" s="42"/>
      <c r="C58" s="42"/>
      <c r="D58" s="43">
        <f>D33+D57</f>
        <v>331028.22000000003</v>
      </c>
      <c r="E58" s="42"/>
      <c r="F58" s="4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4184E-D69C-4212-A2B2-E3699263A5DF}">
  <sheetPr>
    <tabColor rgb="FFA5A5A5"/>
  </sheetPr>
  <dimension ref="A1:F9"/>
  <sheetViews>
    <sheetView workbookViewId="0"/>
  </sheetViews>
  <sheetFormatPr defaultRowHeight="15" x14ac:dyDescent="0.25"/>
  <cols>
    <col min="1" max="1" width="9.5703125" customWidth="1"/>
    <col min="2" max="2" width="15.28515625" customWidth="1"/>
    <col min="3" max="3" width="38.140625" customWidth="1"/>
    <col min="4" max="4" width="34.28515625" customWidth="1"/>
    <col min="5" max="5" width="47.5703125" customWidth="1"/>
    <col min="6" max="6" width="38.140625" customWidth="1"/>
  </cols>
  <sheetData>
    <row r="1" spans="1:6" x14ac:dyDescent="0.25">
      <c r="A1" s="2" t="s">
        <v>225</v>
      </c>
      <c r="B1" s="2" t="s">
        <v>226</v>
      </c>
      <c r="C1" s="2" t="s">
        <v>227</v>
      </c>
      <c r="D1" s="2" t="s">
        <v>228</v>
      </c>
      <c r="E1" s="2" t="s">
        <v>229</v>
      </c>
      <c r="F1" s="2" t="s">
        <v>230</v>
      </c>
    </row>
    <row r="2" spans="1:6" x14ac:dyDescent="0.25">
      <c r="A2" s="3">
        <v>1</v>
      </c>
      <c r="B2" s="4">
        <v>46087</v>
      </c>
      <c r="C2" s="3" t="s">
        <v>231</v>
      </c>
      <c r="D2" s="3" t="s">
        <v>232</v>
      </c>
      <c r="E2" s="3" t="s">
        <v>233</v>
      </c>
      <c r="F2" s="3" t="s">
        <v>234</v>
      </c>
    </row>
    <row r="3" spans="1:6" x14ac:dyDescent="0.25">
      <c r="A3" s="3">
        <v>2</v>
      </c>
      <c r="B3" s="4">
        <v>46087</v>
      </c>
      <c r="C3" s="3" t="s">
        <v>235</v>
      </c>
      <c r="D3" s="3" t="s">
        <v>236</v>
      </c>
      <c r="E3" s="3" t="s">
        <v>237</v>
      </c>
      <c r="F3" s="3" t="s">
        <v>238</v>
      </c>
    </row>
    <row r="4" spans="1:6" x14ac:dyDescent="0.25">
      <c r="A4" s="3">
        <v>3</v>
      </c>
      <c r="B4" s="4">
        <v>46087</v>
      </c>
      <c r="C4" s="3" t="s">
        <v>312</v>
      </c>
      <c r="D4" s="3" t="s">
        <v>313</v>
      </c>
      <c r="E4" s="3" t="s">
        <v>314</v>
      </c>
      <c r="F4" s="3" t="s">
        <v>315</v>
      </c>
    </row>
    <row r="5" spans="1:6" x14ac:dyDescent="0.25">
      <c r="A5" s="3">
        <v>4</v>
      </c>
      <c r="B5" s="4">
        <v>46087</v>
      </c>
      <c r="C5" s="3" t="s">
        <v>319</v>
      </c>
      <c r="D5" s="3" t="s">
        <v>320</v>
      </c>
      <c r="E5" s="3" t="s">
        <v>321</v>
      </c>
      <c r="F5" s="3" t="s">
        <v>322</v>
      </c>
    </row>
    <row r="6" spans="1:6" x14ac:dyDescent="0.25">
      <c r="A6" s="3">
        <v>5</v>
      </c>
      <c r="B6" s="4">
        <v>46087</v>
      </c>
      <c r="C6" s="3" t="s">
        <v>323</v>
      </c>
      <c r="D6" s="3" t="s">
        <v>324</v>
      </c>
      <c r="E6" s="3" t="s">
        <v>325</v>
      </c>
      <c r="F6" s="3" t="s">
        <v>326</v>
      </c>
    </row>
    <row r="7" spans="1:6" x14ac:dyDescent="0.25">
      <c r="A7" s="3">
        <v>6</v>
      </c>
      <c r="B7" s="4">
        <v>46087</v>
      </c>
      <c r="C7" s="3" t="s">
        <v>327</v>
      </c>
      <c r="D7" s="3" t="s">
        <v>328</v>
      </c>
      <c r="E7" s="3" t="s">
        <v>329</v>
      </c>
      <c r="F7" s="3" t="s">
        <v>330</v>
      </c>
    </row>
    <row r="8" spans="1:6" x14ac:dyDescent="0.25">
      <c r="A8" s="3">
        <v>7</v>
      </c>
      <c r="B8" s="4">
        <v>46087</v>
      </c>
      <c r="C8" s="3" t="s">
        <v>334</v>
      </c>
      <c r="D8" s="3" t="s">
        <v>335</v>
      </c>
      <c r="E8" s="3" t="s">
        <v>336</v>
      </c>
      <c r="F8" s="3" t="s">
        <v>337</v>
      </c>
    </row>
    <row r="9" spans="1:6" x14ac:dyDescent="0.25">
      <c r="A9" s="3">
        <v>8</v>
      </c>
      <c r="B9" s="4">
        <v>46087</v>
      </c>
      <c r="C9" s="3" t="s">
        <v>338</v>
      </c>
      <c r="D9" s="3" t="s">
        <v>339</v>
      </c>
      <c r="E9" s="3" t="s">
        <v>340</v>
      </c>
      <c r="F9" s="3" t="s">
        <v>341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Submissions</vt:lpstr>
      <vt:lpstr>Job Orders</vt:lpstr>
      <vt:lpstr>1st Interviews</vt:lpstr>
      <vt:lpstr>2nd Interviews</vt:lpstr>
      <vt:lpstr>Billings</vt:lpstr>
      <vt:lpstr>Claude 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Bryan Blair</dc:creator>
  <cp:lastModifiedBy>Bryan Blair</cp:lastModifiedBy>
  <dcterms:created xsi:type="dcterms:W3CDTF">2026-03-02T14:22:54Z</dcterms:created>
  <dcterms:modified xsi:type="dcterms:W3CDTF">2026-03-06T15:18:50Z</dcterms:modified>
</cp:coreProperties>
</file>