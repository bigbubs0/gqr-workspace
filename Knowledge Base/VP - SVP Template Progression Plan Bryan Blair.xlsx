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yndenstark-my.sharepoint.com/personal/bryan_blair_gqrgm_com/Documents/Knowledge Base/"/>
    </mc:Choice>
  </mc:AlternateContent>
  <xr:revisionPtr revIDLastSave="50" documentId="8_{CC75CBB4-641E-499F-960F-EA84952393B5}" xr6:coauthVersionLast="47" xr6:coauthVersionMax="47" xr10:uidLastSave="{CE36E154-0232-499D-A135-C5DB73DAFFB9}"/>
  <bookViews>
    <workbookView xWindow="4365" yWindow="1125" windowWidth="21600" windowHeight="13980" activeTab="1" xr2:uid="{9E063282-192C-4C03-B98A-9BBA4F2C2B38}"/>
  </bookViews>
  <sheets>
    <sheet name="Success Cycle" sheetId="5" r:id="rId1"/>
    <sheet name="VP to SVP" sheetId="1" r:id="rId2"/>
    <sheet name="SME VP Example Criteria" sheetId="3" r:id="rId3"/>
    <sheet name="Deal Tracker" sheetId="4" r:id="rId4"/>
    <sheet name="Sheet4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4" l="1"/>
  <c r="R3" i="4"/>
  <c r="Q3" i="4"/>
  <c r="O3" i="4"/>
  <c r="N3" i="4"/>
  <c r="P3" i="4"/>
  <c r="G3" i="4"/>
  <c r="F3" i="4"/>
  <c r="E3" i="4"/>
  <c r="D3" i="4"/>
  <c r="O2" i="4"/>
  <c r="O4" i="4" s="1"/>
  <c r="N2" i="4"/>
  <c r="N4" i="4" s="1"/>
  <c r="M2" i="4"/>
  <c r="M4" i="4" s="1"/>
  <c r="L2" i="4"/>
  <c r="L4" i="4" s="1"/>
  <c r="K2" i="4"/>
  <c r="K4" i="4" s="1"/>
  <c r="J2" i="4"/>
  <c r="J4" i="4" s="1"/>
  <c r="H2" i="4"/>
  <c r="P2" i="4" s="1"/>
  <c r="G2" i="4"/>
  <c r="F2" i="4"/>
  <c r="E2" i="4"/>
  <c r="D2" i="4"/>
  <c r="C2" i="4"/>
  <c r="B2" i="4"/>
  <c r="R2" i="4" l="1"/>
  <c r="T2" i="4" s="1"/>
  <c r="S2" i="4"/>
  <c r="Q2" i="4"/>
  <c r="Q4" i="4" s="1"/>
  <c r="S3" i="4"/>
  <c r="S4" i="4" s="1"/>
  <c r="P4" i="4"/>
  <c r="R4" i="4" l="1"/>
  <c r="T3" i="4"/>
  <c r="T4" i="4" s="1"/>
</calcChain>
</file>

<file path=xl/sharedStrings.xml><?xml version="1.0" encoding="utf-8"?>
<sst xmlns="http://schemas.openxmlformats.org/spreadsheetml/2006/main" count="221" uniqueCount="169">
  <si>
    <t>Development</t>
  </si>
  <si>
    <t>Performance</t>
  </si>
  <si>
    <t>Character</t>
  </si>
  <si>
    <t>Exposure</t>
  </si>
  <si>
    <t>Education</t>
  </si>
  <si>
    <t>Quality</t>
  </si>
  <si>
    <t>Quantity</t>
  </si>
  <si>
    <t>AAA</t>
  </si>
  <si>
    <t>Learning Pathways</t>
  </si>
  <si>
    <t>Learning Progams</t>
  </si>
  <si>
    <t>Specialization</t>
  </si>
  <si>
    <t>Collaboration</t>
  </si>
  <si>
    <t>Productivity</t>
  </si>
  <si>
    <t>Billing</t>
  </si>
  <si>
    <t>(360 Feedback)</t>
  </si>
  <si>
    <t xml:space="preserve">(KDI’s) </t>
  </si>
  <si>
    <t>(Internal)</t>
  </si>
  <si>
    <t>(External)</t>
  </si>
  <si>
    <t>(70:20:10)</t>
  </si>
  <si>
    <t>(3/3)</t>
  </si>
  <si>
    <t>(KPIs)</t>
  </si>
  <si>
    <t>($)</t>
  </si>
  <si>
    <t>Ambition</t>
  </si>
  <si>
    <t>SME</t>
  </si>
  <si>
    <t>Market</t>
  </si>
  <si>
    <t>CA</t>
  </si>
  <si>
    <t>Conversion</t>
  </si>
  <si>
    <t>Adventure</t>
  </si>
  <si>
    <t>Client</t>
  </si>
  <si>
    <t>BD</t>
  </si>
  <si>
    <t>Value</t>
  </si>
  <si>
    <t>Accountability</t>
  </si>
  <si>
    <t>Business</t>
  </si>
  <si>
    <t>Geography</t>
  </si>
  <si>
    <t>PM</t>
  </si>
  <si>
    <t>Volume</t>
  </si>
  <si>
    <t>My Learning</t>
  </si>
  <si>
    <t>Key internal strategist</t>
  </si>
  <si>
    <t>Meetings</t>
  </si>
  <si>
    <t>Volume - BD</t>
  </si>
  <si>
    <t>PROGRESSION PLAN - VP to SVP</t>
  </si>
  <si>
    <t>ICP</t>
  </si>
  <si>
    <t>Mentorship</t>
  </si>
  <si>
    <t>Corporate Title</t>
  </si>
  <si>
    <t xml:space="preserve">SME Functional Title </t>
  </si>
  <si>
    <t xml:space="preserve">SME GP </t>
  </si>
  <si>
    <t xml:space="preserve"> GP within Top Clients (Recruitment)</t>
  </si>
  <si>
    <t xml:space="preserve"> GP of Top Clients (BD/AM)</t>
  </si>
  <si>
    <t>Quality GP</t>
  </si>
  <si>
    <t xml:space="preserve">Indirect GP via initiatives/innovation </t>
  </si>
  <si>
    <t xml:space="preserve">EBITDA </t>
  </si>
  <si>
    <t>NPS Score</t>
  </si>
  <si>
    <t>% Team Collab Deals</t>
  </si>
  <si>
    <t>GP/Head for Team/Division</t>
  </si>
  <si>
    <t>Average Interviews per Month</t>
  </si>
  <si>
    <t>Hired Referrals</t>
  </si>
  <si>
    <t>Completed Business Projects/Initiatives</t>
  </si>
  <si>
    <t xml:space="preserve">Strategy </t>
  </si>
  <si>
    <t xml:space="preserve">Influence </t>
  </si>
  <si>
    <t>Vice President</t>
  </si>
  <si>
    <t>Specialist</t>
  </si>
  <si>
    <t>1x $200k accounts</t>
  </si>
  <si>
    <t>N/A</t>
  </si>
  <si>
    <t xml:space="preserve"> Consistently able to articulate basic market expertise. Learning new ideas around depth/breadth/initiatives through collaboration</t>
  </si>
  <si>
    <r>
      <t xml:space="preserve">Self &amp; functional team: </t>
    </r>
    <r>
      <rPr>
        <u/>
        <sz val="10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 xml:space="preserve">More centered on self, beginning to take on conducting team meetings, masterclasses. </t>
    </r>
  </si>
  <si>
    <t>Beginning to take initiative in mentorship/call coaching/info sharing Analyst&gt;AVP.  Developing consistent personal brand within team and division.</t>
  </si>
  <si>
    <t>Lead</t>
  </si>
  <si>
    <t xml:space="preserve">1x $300k accounts </t>
  </si>
  <si>
    <t>120
(Avg 10/month)</t>
  </si>
  <si>
    <t>12 
(Avg 1/month)</t>
  </si>
  <si>
    <t>Consistent market expertise with good command over functional space ext and internally. Has depth and breadth and helps cover areas of overlap</t>
  </si>
  <si>
    <t xml:space="preserve">Self &amp; functional team: 
Significant collaborating cross division, running 2-3 team meetings/projects. Adopter and champion of division-wide initiatives. </t>
  </si>
  <si>
    <t>Takes initiative to mentor/collaborate with Analyst&gt;AVP. Follows through and reports to TLs. Developing consistent personal brand in division, clear brand in team.</t>
  </si>
  <si>
    <t>Expert</t>
  </si>
  <si>
    <t>$250,000 (or &gt;7 placements)</t>
  </si>
  <si>
    <t>1x $500K account/ 2x $300K accounts</t>
  </si>
  <si>
    <t>120 
(Avg 10/month)</t>
  </si>
  <si>
    <t>24
(Avg 2/month)</t>
  </si>
  <si>
    <t xml:space="preserve"> Clear market expertise and extending knowledge to others, seeks new areas to collaborate/expand business. Exploring cross-functional functions in pitch/articulation</t>
  </si>
  <si>
    <t>Self &amp; functional team: 
Sees accountability to broader team and takes steps to impact. Proactively offering to take on meetings. Initiates ideas for new team initiatives</t>
  </si>
  <si>
    <t xml:space="preserve"> Seeks out opportunities to mentor/collaborate - Analyst&gt;AVP. works with all stakeholders/TLs to support development. Consistent and positive personal brand in division.</t>
  </si>
  <si>
    <t>April</t>
  </si>
  <si>
    <t xml:space="preserve">May 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</si>
  <si>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</si>
  <si>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</si>
  <si>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</si>
  <si>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</si>
  <si>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</si>
  <si>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</si>
  <si>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</si>
  <si>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</si>
  <si>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</si>
  <si>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</si>
  <si>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Q1</t>
  </si>
  <si>
    <t>Q2</t>
  </si>
  <si>
    <t>Q3</t>
  </si>
  <si>
    <t>Q4</t>
  </si>
  <si>
    <t>H1</t>
  </si>
  <si>
    <t>H2</t>
  </si>
  <si>
    <t>Y</t>
  </si>
  <si>
    <t>Actual Accruals</t>
  </si>
  <si>
    <t>Goal Accruals</t>
  </si>
  <si>
    <t>Accruals vs Goal</t>
  </si>
  <si>
    <t>Start</t>
  </si>
  <si>
    <t>Monday</t>
  </si>
  <si>
    <t xml:space="preserve">Tuesday </t>
  </si>
  <si>
    <t xml:space="preserve">Wednesday </t>
  </si>
  <si>
    <t xml:space="preserve">Thursday </t>
  </si>
  <si>
    <t xml:space="preserve">Friday </t>
  </si>
  <si>
    <t>Breakfast / Admin / Review Day Plan</t>
  </si>
  <si>
    <t>Lazy Morning</t>
  </si>
  <si>
    <t>Group Meetings</t>
  </si>
  <si>
    <t xml:space="preserve"> Candidate Sourcing (70%)
BH Lists / Short Lists
1:30hr outbound 50 Dials 
5 Leads &amp; 5 Referrals
5 GQR Interviews booked</t>
  </si>
  <si>
    <t>Candidate Sourcing (70%)
EST &amp; CST Candidates
BH Lists - 1:30hr outbound 50 Dials 
5 Leads &amp; 5 Referrals
5 GQR Interviews booked</t>
  </si>
  <si>
    <t>Candidate Sourcing - Phones</t>
  </si>
  <si>
    <t>Team Meeting
Review KPIs &amp; Strategy for the week</t>
  </si>
  <si>
    <t>Review Day Plan
Admin missed from the week</t>
  </si>
  <si>
    <t>Admin / Email Time</t>
  </si>
  <si>
    <t>Personal Time</t>
  </si>
  <si>
    <t xml:space="preserve">5 Scheduled GQR Interviews
Commitment for 3 submits
5 Referrals &amp; 5 Leads
2hrs outbound
- BH Processes (Request to CV Sub) </t>
  </si>
  <si>
    <t>3 Scheduled GQR Interviews 
Commitment for 2 submits
5 Referrals &amp; 5 Leads - 1hr outbound
- BH Processes (Request to CV Sub)</t>
  </si>
  <si>
    <t>Check in of current TOA
2 Leads &amp; 2 Referrals</t>
  </si>
  <si>
    <t>Candidate Sourcing - Outreach</t>
  </si>
  <si>
    <t>Process Management &amp; Current TOA</t>
  </si>
  <si>
    <t>GQR Deal Time</t>
  </si>
  <si>
    <t>Email Follow-up with all candidates / VMs</t>
  </si>
  <si>
    <t>Email follow-up with all Candidates / VM
&amp; Admin time</t>
  </si>
  <si>
    <t>Process Management of Active Candidates
2 New Leads,2 Referrals &amp; 1 CV Sub</t>
  </si>
  <si>
    <t>Divisional Meeting</t>
  </si>
  <si>
    <t>Lunch &amp; Admin</t>
  </si>
  <si>
    <t>Candidate Sourcing (10%)
30 mins outbound - (2 scheduled call backs)</t>
  </si>
  <si>
    <t>Team Meeting - Review Open Recs and Align Strategy for the week</t>
  </si>
  <si>
    <t>Team Meeting - Review weekly KPIs. Action Items for Friday afternoon. Weekend Plans</t>
  </si>
  <si>
    <t>L&amp;D Session</t>
  </si>
  <si>
    <t>TL Meeting - 1:1</t>
  </si>
  <si>
    <t>Candidate Sourcing (70%)
Vivian, Facebook, Linkedin, Indeed
Outreach to 30 candidates 
5 GQR Interviews booked
10 New Candidates Added</t>
  </si>
  <si>
    <t>Process Management of Active Candidates
2 New Leads,2 Referrals &amp; 1 CV Sub)</t>
  </si>
  <si>
    <t>Candidate Sourcing (20%)
30 mins outbound - 25 dials
5 Leads &amp; 5 Referrals - external Lists</t>
  </si>
  <si>
    <t>Candidate Sourcing (70%)
BH Lists / Short Lists
1:30hr outbound 50 Dials 
5 Leads &amp; 5 Referrals
5 GQR Interviews booked</t>
  </si>
  <si>
    <t>Candidate Sourcing (70%)
30 mins outbound - 25 dials
5 Leads &amp; 5 Referrals - external Lists</t>
  </si>
  <si>
    <t>Admin wrap-up for the week</t>
  </si>
  <si>
    <t>Team Meeting - Review KPIs
Q&amp;A - Team Development</t>
  </si>
  <si>
    <t>Candidate Sourcing (20%) - Outreach
10 candidates contacted - 3 Added</t>
  </si>
  <si>
    <t>Map call lists for tomorrow &amp; Day Plan</t>
  </si>
  <si>
    <t>Minimum Daily KPIs</t>
  </si>
  <si>
    <t>Minimum Weekly KPIs</t>
  </si>
  <si>
    <t>3-4 hrs outbound &amp; 100 Dials</t>
  </si>
  <si>
    <t>15 hrs outbound &amp; 500 Dials</t>
  </si>
  <si>
    <t>10 Leads</t>
  </si>
  <si>
    <t>50 Leads</t>
  </si>
  <si>
    <t>10 Referrals</t>
  </si>
  <si>
    <t>50 Referrals</t>
  </si>
  <si>
    <t>3 GQR Interviews scheduled</t>
  </si>
  <si>
    <t>15 GQR Interviews scheduled</t>
  </si>
  <si>
    <t>3 Request to CV Sub</t>
  </si>
  <si>
    <t>15 Request to CV Sub (10 individual Profiles)</t>
  </si>
  <si>
    <t xml:space="preserve"> </t>
  </si>
  <si>
    <t xml:space="preserve">	• Accountability to myself - not only to others but also to have 3 news clients by years end partnerships in the next 12 months
	• Accountability to team to bring in 6 new jobs by end of year 
	• Greater collaboration - Offer to get work on getting recs that are in my teams wheel house of expertise. 
	• Greater Ambition bring in a lot of new accounts, sell some high price workforce solutions and be the AI Jobs guy in the pharma biotech recruiting world
Advanced confidence as a peer - would like to attend JP Morgan 2024</t>
  </si>
  <si>
    <t xml:space="preserve">Internal </t>
  </si>
  <si>
    <t>500k - billing</t>
  </si>
  <si>
    <t xml:space="preserve">• 1 Key Conversation per week
	• Inviting a team member to different vertical to join search and open their account
	• Presenting to C-Suite
	• Knowledge hour or a how to AI session, update presentation to the team
	• Start a pharma recruiting podcast and fill in for any knowledge hour </t>
  </si>
  <si>
    <t xml:space="preserve">	• Ask someone on the team to go out to lunch once a week
	• Become mentor, join the Business Development
	• Build out Biometrics, MD, AI candidate base to be compliant with AVA
Attend SCDM in 2025</t>
  </si>
  <si>
    <t>External</t>
  </si>
  <si>
    <t>SCDM</t>
  </si>
  <si>
    <t>Quality: Specialization (70:20:10)
	• 70% - CDM
	• 20% Medical Directors
	• 10% Biostats/AI</t>
  </si>
  <si>
    <t xml:space="preserve">Collaboration (3/3)
	• Sell a workforce solution with Amy
	• Sell a commercial build 
	• 360 deal 
	• 20% of time sourcing
	• 80% BD </t>
  </si>
  <si>
    <t>Productivity (KPIs)
	• 10 CV subs a week
	• 5+ 1st interviews a month
	• 50 Specs a week
	• 2-3 hrs a day call time</t>
  </si>
  <si>
    <t xml:space="preserve">	• Minimum $500K
Bill Over $200K with a single client</t>
  </si>
  <si>
    <t xml:space="preserve">	• Build out knowledge base of scientfic and clinical knowledge by researching questions I have throughout the day and writing them down rather than guessing 
	• Make the most of Founder Club Membership and the resources from the LinkedIn Influencer Program. -Join SCDM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</si>
</sst>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1"/>
      <name val="Century Gothic"/>
      <family val="2"/>
    </font>
    <font>
      <sz val="20"/>
      <color theme="0"/>
      <name val="Century Gothic"/>
      <family val="2"/>
    </font>
    <font>
      <b/>
      <sz val="18"/>
      <color rgb="FF0070C0"/>
      <name val="Century Gothic"/>
      <family val="2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4986C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5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2" fillId="0" borderId="0" applyFont="0" applyFill="0" applyBorder="0" applyAlignment="0" applyProtection="0"/>
    <xf numFmtId="9" fontId="12" fillId="0" borderId="0" applyFont="0" applyFill="0" applyBorder="0" applyAlignment="0" applyProtection="0"/>
  </cellStyleXfs>
  <cellXfs count="113">
    <xf numFmtId="0" fontId="0" fillId="0" borderId="0" xfId="0"/>
    <xf numFmtId="0" fontId="2" fillId="0" borderId="0" xfId="0" applyFont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3" fillId="4" borderId="5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11" fillId="0" borderId="1" xfId="0" applyFont="1" applyBorder="1"/>
    <xf numFmtId="9" fontId="6" fillId="0" borderId="0" xfId="0" applyNumberFormat="1" applyFont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6" fontId="14" fillId="0" borderId="17" xfId="0" applyNumberFormat="1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9" fontId="14" fillId="0" borderId="17" xfId="0" applyNumberFormat="1" applyFont="1" applyBorder="1" applyAlignment="1">
      <alignment horizontal="center" vertical="center" wrapText="1"/>
    </xf>
    <xf numFmtId="9" fontId="14" fillId="0" borderId="17" xfId="2" applyFont="1" applyFill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6" fontId="14" fillId="0" borderId="20" xfId="0" applyNumberFormat="1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9" fontId="14" fillId="0" borderId="20" xfId="0" applyNumberFormat="1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44" fontId="14" fillId="0" borderId="20" xfId="1" applyFont="1" applyFill="1" applyBorder="1" applyAlignment="1">
      <alignment horizontal="center" vertical="center" wrapText="1"/>
    </xf>
    <xf numFmtId="0" fontId="1" fillId="0" borderId="20" xfId="0" applyFont="1" applyBorder="1"/>
    <xf numFmtId="0" fontId="5" fillId="0" borderId="20" xfId="0" applyFont="1" applyBorder="1"/>
    <xf numFmtId="164" fontId="5" fillId="7" borderId="20" xfId="0" applyNumberFormat="1" applyFont="1" applyFill="1" applyBorder="1" applyAlignment="1">
      <alignment horizontal="center"/>
    </xf>
    <xf numFmtId="164" fontId="5" fillId="6" borderId="20" xfId="0" applyNumberFormat="1" applyFont="1" applyFill="1" applyBorder="1" applyAlignment="1">
      <alignment horizontal="center"/>
    </xf>
    <xf numFmtId="0" fontId="0" fillId="0" borderId="20" xfId="0" applyBorder="1"/>
    <xf numFmtId="164" fontId="0" fillId="7" borderId="20" xfId="0" applyNumberFormat="1" applyFill="1" applyBorder="1" applyAlignment="1">
      <alignment horizontal="center"/>
    </xf>
    <xf numFmtId="164" fontId="0" fillId="6" borderId="20" xfId="0" applyNumberFormat="1" applyFill="1" applyBorder="1" applyAlignment="1">
      <alignment horizontal="center"/>
    </xf>
    <xf numFmtId="164" fontId="5" fillId="8" borderId="20" xfId="0" applyNumberFormat="1" applyFont="1" applyFill="1" applyBorder="1" applyAlignment="1">
      <alignment horizontal="center"/>
    </xf>
    <xf numFmtId="164" fontId="0" fillId="8" borderId="20" xfId="0" applyNumberFormat="1" applyFill="1" applyBorder="1" applyAlignment="1">
      <alignment horizontal="center"/>
    </xf>
    <xf numFmtId="164" fontId="5" fillId="9" borderId="20" xfId="0" applyNumberFormat="1" applyFont="1" applyFill="1" applyBorder="1" applyAlignment="1">
      <alignment horizontal="center"/>
    </xf>
    <xf numFmtId="164" fontId="0" fillId="9" borderId="20" xfId="0" applyNumberFormat="1" applyFill="1" applyBorder="1" applyAlignment="1">
      <alignment horizontal="center"/>
    </xf>
    <xf numFmtId="0" fontId="1" fillId="8" borderId="20" xfId="0" applyFont="1" applyFill="1" applyBorder="1" applyAlignment="1">
      <alignment horizontal="center"/>
    </xf>
    <xf numFmtId="0" fontId="1" fillId="9" borderId="20" xfId="0" applyFont="1" applyFill="1" applyBorder="1" applyAlignment="1">
      <alignment horizontal="center"/>
    </xf>
    <xf numFmtId="0" fontId="1" fillId="7" borderId="20" xfId="0" applyFont="1" applyFill="1" applyBorder="1" applyAlignment="1">
      <alignment horizontal="center"/>
    </xf>
    <xf numFmtId="0" fontId="1" fillId="6" borderId="20" xfId="0" applyFont="1" applyFill="1" applyBorder="1" applyAlignment="1">
      <alignment horizontal="center"/>
    </xf>
    <xf numFmtId="164" fontId="6" fillId="7" borderId="20" xfId="0" applyNumberFormat="1" applyFont="1" applyFill="1" applyBorder="1" applyAlignment="1">
      <alignment horizontal="center"/>
    </xf>
    <xf numFmtId="164" fontId="1" fillId="7" borderId="20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20" fontId="0" fillId="0" borderId="0" xfId="0" applyNumberFormat="1"/>
    <xf numFmtId="0" fontId="0" fillId="10" borderId="16" xfId="0" applyFill="1" applyBorder="1" applyAlignment="1">
      <alignment horizontal="center" vertical="center" wrapText="1"/>
    </xf>
    <xf numFmtId="0" fontId="0" fillId="8" borderId="0" xfId="0" applyFill="1"/>
    <xf numFmtId="0" fontId="0" fillId="7" borderId="0" xfId="0" applyFill="1"/>
    <xf numFmtId="0" fontId="0" fillId="10" borderId="0" xfId="0" applyFill="1"/>
    <xf numFmtId="0" fontId="0" fillId="11" borderId="0" xfId="0" applyFill="1"/>
    <xf numFmtId="0" fontId="0" fillId="13" borderId="0" xfId="0" applyFill="1"/>
    <xf numFmtId="0" fontId="0" fillId="12" borderId="0" xfId="0" applyFill="1"/>
    <xf numFmtId="0" fontId="0" fillId="10" borderId="25" xfId="0" applyFill="1" applyBorder="1" applyAlignment="1">
      <alignment horizontal="center" vertical="center" wrapText="1"/>
    </xf>
    <xf numFmtId="0" fontId="0" fillId="10" borderId="26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0" fillId="2" borderId="9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  <xf numFmtId="0" fontId="10" fillId="5" borderId="10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13" fillId="0" borderId="16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0" fillId="10" borderId="8" xfId="0" applyFill="1" applyBorder="1" applyAlignment="1">
      <alignment horizontal="center" vertical="center" wrapText="1"/>
    </xf>
    <xf numFmtId="0" fontId="0" fillId="11" borderId="23" xfId="0" applyFill="1" applyBorder="1" applyAlignment="1">
      <alignment horizontal="center" vertical="center" wrapText="1"/>
    </xf>
    <xf numFmtId="0" fontId="0" fillId="11" borderId="16" xfId="0" applyFill="1" applyBorder="1" applyAlignment="1">
      <alignment horizontal="center" vertical="center" wrapText="1"/>
    </xf>
    <xf numFmtId="0" fontId="0" fillId="7" borderId="24" xfId="0" applyFill="1" applyBorder="1" applyAlignment="1">
      <alignment horizontal="center" vertical="center" wrapText="1"/>
    </xf>
    <xf numFmtId="0" fontId="0" fillId="7" borderId="23" xfId="0" applyFill="1" applyBorder="1" applyAlignment="1">
      <alignment horizontal="center" vertical="center" wrapText="1"/>
    </xf>
    <xf numFmtId="0" fontId="0" fillId="7" borderId="16" xfId="0" applyFill="1" applyBorder="1" applyAlignment="1">
      <alignment horizontal="center" vertical="center" wrapText="1"/>
    </xf>
    <xf numFmtId="0" fontId="0" fillId="7" borderId="19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4" xfId="0" applyFill="1" applyBorder="1" applyAlignment="1">
      <alignment horizontal="center" vertical="center" wrapText="1"/>
    </xf>
    <xf numFmtId="0" fontId="0" fillId="10" borderId="16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12" borderId="19" xfId="0" applyFill="1" applyBorder="1" applyAlignment="1">
      <alignment horizontal="center" vertical="center" wrapText="1"/>
    </xf>
    <xf numFmtId="0" fontId="0" fillId="8" borderId="19" xfId="0" applyFill="1" applyBorder="1" applyAlignment="1">
      <alignment horizontal="center" vertical="center" wrapText="1"/>
    </xf>
    <xf numFmtId="0" fontId="0" fillId="10" borderId="19" xfId="0" applyFill="1" applyBorder="1" applyAlignment="1">
      <alignment horizontal="center" vertical="center" wrapText="1"/>
    </xf>
    <xf numFmtId="0" fontId="0" fillId="7" borderId="10" xfId="0" applyFill="1" applyBorder="1" applyAlignment="1">
      <alignment horizontal="center" vertical="center" wrapText="1"/>
    </xf>
    <xf numFmtId="0" fontId="0" fillId="7" borderId="8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3" borderId="19" xfId="0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0" fontId="0" fillId="11" borderId="19" xfId="0" applyFill="1" applyBorder="1" applyAlignment="1">
      <alignment horizontal="center" vertical="center" wrapText="1"/>
    </xf>
    <xf numFmtId="0" fontId="0" fillId="11" borderId="25" xfId="0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3399FF"/>
      <color rgb="FF4986C3"/>
      <color rgb="FF33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27118</xdr:colOff>
      <xdr:row>31</xdr:row>
      <xdr:rowOff>76729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400FB3-4219-4B32-8A2B-039BBD82C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856418" cy="56869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104E3-7D77-4151-B84D-D139DC0D7059}">
  <dimension ref="A1"/>
  <sheetViews>
    <sheetView workbookViewId="0">
      <selection activeCell="M13" sqref="M1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69BD3-5E23-4C2D-8C8D-D3FECB9D2B91}">
  <dimension ref="A1:H22"/>
  <sheetViews>
    <sheetView tabSelected="1" zoomScale="90" zoomScaleNormal="90" workbookViewId="0">
      <selection activeCell="E11" sqref="E11"/>
    </sheetView>
  </sheetViews>
  <sheetFormatPr defaultRowHeight="15" x14ac:dyDescent="0.25"/>
  <cols>
    <col min="1" max="1" width="34.28515625" bestFit="1" customWidth="1"/>
    <col min="2" max="2" width="24.85546875" bestFit="1" customWidth="1"/>
    <col min="3" max="3" width="24.7109375" customWidth="1"/>
    <col min="4" max="4" width="25" bestFit="1" customWidth="1"/>
    <col min="5" max="5" width="22.42578125" bestFit="1" customWidth="1"/>
    <col min="6" max="6" width="24.5703125" bestFit="1" customWidth="1"/>
    <col min="7" max="7" width="22.140625" bestFit="1" customWidth="1"/>
    <col min="8" max="8" width="19" bestFit="1" customWidth="1"/>
  </cols>
  <sheetData>
    <row r="1" spans="1:8" ht="22.5" x14ac:dyDescent="0.3">
      <c r="A1" s="29" t="s">
        <v>40</v>
      </c>
      <c r="B1" s="2"/>
      <c r="C1" s="2"/>
      <c r="D1" s="3"/>
      <c r="E1" s="2"/>
      <c r="F1" s="2"/>
      <c r="G1" s="2"/>
      <c r="H1" s="4"/>
    </row>
    <row r="2" spans="1:8" s="25" customFormat="1" ht="26.25" x14ac:dyDescent="0.35">
      <c r="A2" s="81" t="s">
        <v>0</v>
      </c>
      <c r="B2" s="82"/>
      <c r="C2" s="82"/>
      <c r="D2" s="83"/>
      <c r="E2" s="78" t="s">
        <v>1</v>
      </c>
      <c r="F2" s="79"/>
      <c r="G2" s="79"/>
      <c r="H2" s="80"/>
    </row>
    <row r="3" spans="1:8" ht="15.75" x14ac:dyDescent="0.25">
      <c r="A3" s="26" t="s">
        <v>2</v>
      </c>
      <c r="B3" s="27" t="s">
        <v>3</v>
      </c>
      <c r="C3" s="86" t="s">
        <v>4</v>
      </c>
      <c r="D3" s="87"/>
      <c r="E3" s="84" t="s">
        <v>5</v>
      </c>
      <c r="F3" s="85"/>
      <c r="G3" s="85"/>
      <c r="H3" s="28" t="s">
        <v>6</v>
      </c>
    </row>
    <row r="4" spans="1:8" x14ac:dyDescent="0.25">
      <c r="A4" s="5" t="s">
        <v>7</v>
      </c>
      <c r="B4" s="6" t="s">
        <v>0</v>
      </c>
      <c r="C4" s="6" t="s">
        <v>8</v>
      </c>
      <c r="D4" s="7" t="s">
        <v>9</v>
      </c>
      <c r="E4" s="6" t="s">
        <v>10</v>
      </c>
      <c r="F4" s="6" t="s">
        <v>11</v>
      </c>
      <c r="G4" s="6" t="s">
        <v>12</v>
      </c>
      <c r="H4" s="7" t="s">
        <v>13</v>
      </c>
    </row>
    <row r="5" spans="1:8" x14ac:dyDescent="0.25">
      <c r="A5" s="5" t="s">
        <v>14</v>
      </c>
      <c r="B5" s="6" t="s">
        <v>15</v>
      </c>
      <c r="C5" s="6" t="s">
        <v>16</v>
      </c>
      <c r="D5" s="7" t="s">
        <v>17</v>
      </c>
      <c r="E5" s="6" t="s">
        <v>18</v>
      </c>
      <c r="F5" s="6" t="s">
        <v>19</v>
      </c>
      <c r="G5" s="6" t="s">
        <v>20</v>
      </c>
      <c r="H5" s="7" t="s">
        <v>21</v>
      </c>
    </row>
    <row r="6" spans="1:8" x14ac:dyDescent="0.25">
      <c r="A6" s="8" t="s">
        <v>22</v>
      </c>
      <c r="B6" s="9" t="s">
        <v>23</v>
      </c>
      <c r="C6" s="9" t="s">
        <v>23</v>
      </c>
      <c r="D6" s="10" t="s">
        <v>23</v>
      </c>
      <c r="E6" s="9" t="s">
        <v>24</v>
      </c>
      <c r="F6" s="9" t="s">
        <v>25</v>
      </c>
      <c r="G6" s="9" t="s">
        <v>26</v>
      </c>
      <c r="H6" s="7"/>
    </row>
    <row r="7" spans="1:8" x14ac:dyDescent="0.25">
      <c r="A7" s="8" t="s">
        <v>27</v>
      </c>
      <c r="B7" s="9" t="s">
        <v>28</v>
      </c>
      <c r="C7" s="9" t="s">
        <v>28</v>
      </c>
      <c r="D7" s="10" t="s">
        <v>28</v>
      </c>
      <c r="E7" s="9" t="s">
        <v>28</v>
      </c>
      <c r="F7" s="9" t="s">
        <v>29</v>
      </c>
      <c r="G7" s="9" t="s">
        <v>30</v>
      </c>
      <c r="H7" s="7"/>
    </row>
    <row r="8" spans="1:8" x14ac:dyDescent="0.25">
      <c r="A8" s="11" t="s">
        <v>31</v>
      </c>
      <c r="B8" s="12" t="s">
        <v>32</v>
      </c>
      <c r="C8" s="12" t="s">
        <v>32</v>
      </c>
      <c r="D8" s="13" t="s">
        <v>32</v>
      </c>
      <c r="E8" s="11" t="s">
        <v>33</v>
      </c>
      <c r="F8" s="12" t="s">
        <v>34</v>
      </c>
      <c r="G8" s="12" t="s">
        <v>35</v>
      </c>
      <c r="H8" s="14"/>
    </row>
    <row r="9" spans="1:8" x14ac:dyDescent="0.25">
      <c r="A9" s="15" t="s">
        <v>31</v>
      </c>
      <c r="B9" s="15" t="s">
        <v>28</v>
      </c>
      <c r="C9" s="15" t="s">
        <v>36</v>
      </c>
      <c r="D9" s="15" t="s">
        <v>162</v>
      </c>
      <c r="E9" s="15" t="s">
        <v>41</v>
      </c>
    </row>
    <row r="10" spans="1:8" x14ac:dyDescent="0.25">
      <c r="A10" s="16" t="s">
        <v>37</v>
      </c>
      <c r="B10" s="16" t="s">
        <v>38</v>
      </c>
      <c r="C10" s="16" t="s">
        <v>158</v>
      </c>
      <c r="D10" s="17" t="s">
        <v>163</v>
      </c>
      <c r="E10" s="30">
        <v>0.7</v>
      </c>
      <c r="F10" s="18" t="s">
        <v>159</v>
      </c>
      <c r="G10" s="16" t="s">
        <v>39</v>
      </c>
      <c r="H10" s="16"/>
    </row>
    <row r="11" spans="1:8" ht="240" x14ac:dyDescent="0.25">
      <c r="A11" s="19" t="s">
        <v>157</v>
      </c>
      <c r="B11" s="19" t="s">
        <v>160</v>
      </c>
      <c r="C11" s="19" t="s">
        <v>161</v>
      </c>
      <c r="D11" s="19" t="s">
        <v>168</v>
      </c>
      <c r="E11" s="19" t="s">
        <v>164</v>
      </c>
      <c r="F11" s="19" t="s">
        <v>165</v>
      </c>
      <c r="G11" s="19" t="s">
        <v>166</v>
      </c>
      <c r="H11" s="19" t="s">
        <v>167</v>
      </c>
    </row>
    <row r="12" spans="1:8" x14ac:dyDescent="0.25">
      <c r="A12" s="16"/>
      <c r="B12" s="15"/>
      <c r="C12" s="15"/>
      <c r="D12" s="15"/>
      <c r="F12" s="20"/>
    </row>
    <row r="13" spans="1:8" x14ac:dyDescent="0.25">
      <c r="B13" s="16"/>
      <c r="C13" s="16"/>
      <c r="D13" s="16"/>
      <c r="E13" s="30"/>
      <c r="G13" s="21"/>
    </row>
    <row r="14" spans="1:8" x14ac:dyDescent="0.25">
      <c r="A14" s="19" t="s">
        <v>156</v>
      </c>
      <c r="B14" s="22"/>
      <c r="C14" s="19"/>
      <c r="D14" s="19"/>
      <c r="E14" s="19"/>
      <c r="F14" s="19"/>
      <c r="G14" s="19"/>
    </row>
    <row r="15" spans="1:8" x14ac:dyDescent="0.25">
      <c r="A15" s="15"/>
      <c r="B15" s="15"/>
      <c r="C15" s="15"/>
    </row>
    <row r="16" spans="1:8" x14ac:dyDescent="0.25">
      <c r="A16" s="16"/>
      <c r="B16" s="16"/>
      <c r="C16" s="16"/>
      <c r="E16" s="30"/>
      <c r="F16" s="16"/>
      <c r="G16" s="16"/>
    </row>
    <row r="17" spans="1:7" x14ac:dyDescent="0.25">
      <c r="A17" s="19"/>
      <c r="B17" s="19"/>
      <c r="C17" s="19"/>
      <c r="E17" s="19"/>
      <c r="F17" s="1"/>
      <c r="G17" s="19"/>
    </row>
    <row r="18" spans="1:7" x14ac:dyDescent="0.25">
      <c r="A18" s="22"/>
      <c r="B18" s="22"/>
      <c r="F18" s="23"/>
    </row>
    <row r="19" spans="1:7" x14ac:dyDescent="0.25">
      <c r="A19" s="22"/>
      <c r="B19" s="22"/>
      <c r="F19" s="23"/>
    </row>
    <row r="20" spans="1:7" x14ac:dyDescent="0.25">
      <c r="A20" s="16"/>
      <c r="B20" s="15"/>
      <c r="F20" s="23"/>
    </row>
    <row r="21" spans="1:7" x14ac:dyDescent="0.25">
      <c r="A21" s="16"/>
      <c r="B21" s="16"/>
      <c r="F21" s="24"/>
    </row>
    <row r="22" spans="1:7" x14ac:dyDescent="0.25">
      <c r="A22" s="19"/>
      <c r="B22" s="19"/>
      <c r="F22" s="24"/>
    </row>
  </sheetData>
  <mergeCells count="4">
    <mergeCell ref="E2:H2"/>
    <mergeCell ref="A2:D2"/>
    <mergeCell ref="E3:G3"/>
    <mergeCell ref="C3:D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B260F-017C-4C59-85F1-83241CEB3A41}">
  <dimension ref="A1:Q4"/>
  <sheetViews>
    <sheetView workbookViewId="0">
      <selection activeCell="F16" sqref="F16"/>
    </sheetView>
  </sheetViews>
  <sheetFormatPr defaultRowHeight="15" x14ac:dyDescent="0.25"/>
  <cols>
    <col min="3" max="3" width="9.5703125" bestFit="1" customWidth="1"/>
    <col min="4" max="4" width="11.5703125" customWidth="1"/>
    <col min="15" max="15" width="29.7109375" customWidth="1"/>
    <col min="16" max="16" width="26.7109375" customWidth="1"/>
    <col min="17" max="17" width="31.5703125" customWidth="1"/>
  </cols>
  <sheetData>
    <row r="1" spans="1:17" ht="64.5" thickBot="1" x14ac:dyDescent="0.3">
      <c r="A1" s="31" t="s">
        <v>43</v>
      </c>
      <c r="B1" s="32" t="s">
        <v>44</v>
      </c>
      <c r="C1" s="33" t="s">
        <v>45</v>
      </c>
      <c r="D1" s="33" t="s">
        <v>46</v>
      </c>
      <c r="E1" s="33" t="s">
        <v>47</v>
      </c>
      <c r="F1" s="33" t="s">
        <v>48</v>
      </c>
      <c r="G1" s="33" t="s">
        <v>49</v>
      </c>
      <c r="H1" s="33" t="s">
        <v>50</v>
      </c>
      <c r="I1" s="33" t="s">
        <v>51</v>
      </c>
      <c r="J1" s="33" t="s">
        <v>52</v>
      </c>
      <c r="K1" s="33" t="s">
        <v>53</v>
      </c>
      <c r="L1" s="33" t="s">
        <v>54</v>
      </c>
      <c r="M1" s="33" t="s">
        <v>55</v>
      </c>
      <c r="N1" s="33" t="s">
        <v>56</v>
      </c>
      <c r="O1" s="33" t="s">
        <v>57</v>
      </c>
      <c r="P1" s="33" t="s">
        <v>58</v>
      </c>
      <c r="Q1" s="34" t="s">
        <v>42</v>
      </c>
    </row>
    <row r="2" spans="1:17" ht="63.75" x14ac:dyDescent="0.25">
      <c r="A2" s="88" t="s">
        <v>59</v>
      </c>
      <c r="B2" s="35" t="s">
        <v>60</v>
      </c>
      <c r="C2" s="36">
        <v>650000</v>
      </c>
      <c r="D2" s="36">
        <v>150000</v>
      </c>
      <c r="E2" s="37" t="s">
        <v>61</v>
      </c>
      <c r="F2" s="38">
        <v>0.15</v>
      </c>
      <c r="G2" s="36">
        <v>65000</v>
      </c>
      <c r="H2" s="38" t="s">
        <v>62</v>
      </c>
      <c r="I2" s="37">
        <v>96</v>
      </c>
      <c r="J2" s="39">
        <v>0.3</v>
      </c>
      <c r="K2" s="36" t="s">
        <v>62</v>
      </c>
      <c r="L2" s="37">
        <v>5</v>
      </c>
      <c r="M2" s="37">
        <v>1</v>
      </c>
      <c r="N2" s="37">
        <v>2</v>
      </c>
      <c r="O2" s="37" t="s">
        <v>63</v>
      </c>
      <c r="P2" s="37" t="s">
        <v>64</v>
      </c>
      <c r="Q2" s="40" t="s">
        <v>65</v>
      </c>
    </row>
    <row r="3" spans="1:17" ht="76.5" x14ac:dyDescent="0.25">
      <c r="A3" s="89"/>
      <c r="B3" s="41" t="s">
        <v>66</v>
      </c>
      <c r="C3" s="42">
        <v>800000</v>
      </c>
      <c r="D3" s="42">
        <v>200000</v>
      </c>
      <c r="E3" s="43" t="s">
        <v>67</v>
      </c>
      <c r="F3" s="44">
        <v>0.15</v>
      </c>
      <c r="G3" s="42">
        <v>75000</v>
      </c>
      <c r="H3" s="38" t="s">
        <v>62</v>
      </c>
      <c r="I3" s="43" t="s">
        <v>68</v>
      </c>
      <c r="J3" s="44">
        <v>0.35</v>
      </c>
      <c r="K3" s="36" t="s">
        <v>62</v>
      </c>
      <c r="L3" s="43" t="s">
        <v>69</v>
      </c>
      <c r="M3" s="43">
        <v>3</v>
      </c>
      <c r="N3" s="43">
        <v>2</v>
      </c>
      <c r="O3" s="43" t="s">
        <v>70</v>
      </c>
      <c r="P3" s="43" t="s">
        <v>71</v>
      </c>
      <c r="Q3" s="45" t="s">
        <v>72</v>
      </c>
    </row>
    <row r="4" spans="1:17" ht="76.5" x14ac:dyDescent="0.25">
      <c r="A4" s="89"/>
      <c r="B4" s="41" t="s">
        <v>73</v>
      </c>
      <c r="C4" s="42">
        <v>1000000</v>
      </c>
      <c r="D4" s="46" t="s">
        <v>74</v>
      </c>
      <c r="E4" s="43" t="s">
        <v>75</v>
      </c>
      <c r="F4" s="44">
        <v>0.2</v>
      </c>
      <c r="G4" s="42">
        <v>100000</v>
      </c>
      <c r="H4" s="38" t="s">
        <v>62</v>
      </c>
      <c r="I4" s="43" t="s">
        <v>76</v>
      </c>
      <c r="J4" s="44">
        <v>0.4</v>
      </c>
      <c r="K4" s="42">
        <v>250000</v>
      </c>
      <c r="L4" s="43" t="s">
        <v>77</v>
      </c>
      <c r="M4" s="43">
        <v>4</v>
      </c>
      <c r="N4" s="43">
        <v>3</v>
      </c>
      <c r="O4" s="43" t="s">
        <v>78</v>
      </c>
      <c r="P4" s="43" t="s">
        <v>79</v>
      </c>
      <c r="Q4" s="45" t="s">
        <v>80</v>
      </c>
    </row>
  </sheetData>
  <mergeCells count="1">
    <mergeCell ref="A2: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8983D-3BCB-4261-95A3-52F1CDE9CBF7}">
  <dimension ref="A1:T5"/>
  <sheetViews>
    <sheetView workbookViewId="0">
      <selection activeCell="F17" sqref="F17"/>
    </sheetView>
  </sheetViews>
  <sheetFormatPr defaultRowHeight="15" x14ac:dyDescent="0.25"/>
  <cols>
    <col min="1" max="1" width="14" bestFit="1" customWidth="1"/>
    <col min="13" max="13" width="9.42578125" bestFit="1" customWidth="1"/>
    <col min="19" max="20" width="10" bestFit="1" customWidth="1"/>
  </cols>
  <sheetData>
    <row r="1" spans="1:20" x14ac:dyDescent="0.25">
      <c r="A1" s="47"/>
      <c r="B1" s="58" t="s">
        <v>81</v>
      </c>
      <c r="C1" s="58" t="s">
        <v>82</v>
      </c>
      <c r="D1" s="58" t="s">
        <v>83</v>
      </c>
      <c r="E1" s="59" t="s">
        <v>84</v>
      </c>
      <c r="F1" s="59" t="s">
        <v>85</v>
      </c>
      <c r="G1" s="59" t="s">
        <v>86</v>
      </c>
      <c r="H1" s="58" t="s">
        <v>87</v>
      </c>
      <c r="I1" s="58" t="s">
        <v>88</v>
      </c>
      <c r="J1" s="58" t="s">
        <v>89</v>
      </c>
      <c r="K1" s="59" t="s">
        <v>90</v>
      </c>
      <c r="L1" s="59" t="s">
        <v>91</v>
      </c>
      <c r="M1" s="59" t="s">
        <v>92</v>
      </c>
      <c r="N1" s="60" t="s">
        <v>93</v>
      </c>
      <c r="O1" s="60" t="s">
        <v>94</v>
      </c>
      <c r="P1" s="60" t="s">
        <v>95</v>
      </c>
      <c r="Q1" s="60" t="s">
        <v>96</v>
      </c>
      <c r="R1" s="61" t="s">
        <v>97</v>
      </c>
      <c r="S1" s="61" t="s">
        <v>98</v>
      </c>
      <c r="T1" s="60" t="s">
        <v>99</v>
      </c>
    </row>
    <row r="2" spans="1:20" x14ac:dyDescent="0.25">
      <c r="A2" s="48" t="s">
        <v>100</v>
      </c>
      <c r="B2" s="54">
        <f>SUM(B22)</f>
        <v>0</v>
      </c>
      <c r="C2" s="54">
        <f t="shared" ref="C2:O2" si="0">SUM(C22)</f>
        <v>0</v>
      </c>
      <c r="D2" s="54">
        <f t="shared" si="0"/>
        <v>0</v>
      </c>
      <c r="E2" s="56">
        <f t="shared" si="0"/>
        <v>0</v>
      </c>
      <c r="F2" s="56">
        <f t="shared" si="0"/>
        <v>0</v>
      </c>
      <c r="G2" s="56">
        <f t="shared" si="0"/>
        <v>0</v>
      </c>
      <c r="H2" s="54">
        <f t="shared" si="0"/>
        <v>0</v>
      </c>
      <c r="I2" s="54"/>
      <c r="J2" s="54">
        <f t="shared" si="0"/>
        <v>0</v>
      </c>
      <c r="K2" s="56">
        <f t="shared" si="0"/>
        <v>0</v>
      </c>
      <c r="L2" s="56">
        <f t="shared" si="0"/>
        <v>0</v>
      </c>
      <c r="M2" s="56">
        <f t="shared" si="0"/>
        <v>0</v>
      </c>
      <c r="N2" s="49">
        <f t="shared" si="0"/>
        <v>0</v>
      </c>
      <c r="O2" s="49">
        <f t="shared" si="0"/>
        <v>0</v>
      </c>
      <c r="P2" s="49">
        <f>SUM(H2:J2)</f>
        <v>0</v>
      </c>
      <c r="Q2" s="49">
        <f>SUM(K2:M2)</f>
        <v>0</v>
      </c>
      <c r="R2" s="50">
        <f>SUM(B2:G2)</f>
        <v>0</v>
      </c>
      <c r="S2" s="50">
        <f>SUM(H2:M2)</f>
        <v>0</v>
      </c>
      <c r="T2" s="62">
        <f>SUM(R2:S2)</f>
        <v>0</v>
      </c>
    </row>
    <row r="3" spans="1:20" x14ac:dyDescent="0.25">
      <c r="A3" s="51" t="s">
        <v>101</v>
      </c>
      <c r="B3" s="55">
        <v>0</v>
      </c>
      <c r="C3" s="55">
        <v>0</v>
      </c>
      <c r="D3" s="55">
        <f t="shared" ref="D3:R3" si="1">SUM(D10)</f>
        <v>0</v>
      </c>
      <c r="E3" s="57">
        <f t="shared" si="1"/>
        <v>0</v>
      </c>
      <c r="F3" s="57">
        <f t="shared" si="1"/>
        <v>0</v>
      </c>
      <c r="G3" s="57">
        <f t="shared" si="1"/>
        <v>0</v>
      </c>
      <c r="H3" s="55">
        <v>30000</v>
      </c>
      <c r="I3" s="55">
        <v>30000</v>
      </c>
      <c r="J3" s="55">
        <v>30000</v>
      </c>
      <c r="K3" s="57">
        <v>30000</v>
      </c>
      <c r="L3" s="57">
        <v>30000</v>
      </c>
      <c r="M3" s="57">
        <v>30000</v>
      </c>
      <c r="N3" s="52">
        <f t="shared" si="1"/>
        <v>0</v>
      </c>
      <c r="O3" s="52">
        <f t="shared" si="1"/>
        <v>0</v>
      </c>
      <c r="P3" s="52">
        <f>SUM(H3:J3)</f>
        <v>90000</v>
      </c>
      <c r="Q3" s="52">
        <f>SUM(K3:M3)</f>
        <v>90000</v>
      </c>
      <c r="R3" s="53">
        <f t="shared" si="1"/>
        <v>0</v>
      </c>
      <c r="S3" s="53">
        <f>SUM(P3:Q3)</f>
        <v>180000</v>
      </c>
      <c r="T3" s="63">
        <f>SUM(R3:S3)</f>
        <v>180000</v>
      </c>
    </row>
    <row r="4" spans="1:20" x14ac:dyDescent="0.25">
      <c r="A4" s="51" t="s">
        <v>102</v>
      </c>
      <c r="B4" s="55"/>
      <c r="C4" s="55"/>
      <c r="D4" s="55"/>
      <c r="E4" s="57"/>
      <c r="F4" s="57"/>
      <c r="G4" s="57"/>
      <c r="H4" s="55"/>
      <c r="I4" s="55">
        <f>SUM(I2-I3)</f>
        <v>-30000</v>
      </c>
      <c r="J4" s="55">
        <f>SUM(J2-J3)</f>
        <v>-30000</v>
      </c>
      <c r="K4" s="57">
        <f t="shared" ref="K4:T4" si="2">SUM(K2-K3)</f>
        <v>-30000</v>
      </c>
      <c r="L4" s="57">
        <f t="shared" si="2"/>
        <v>-30000</v>
      </c>
      <c r="M4" s="57">
        <f t="shared" si="2"/>
        <v>-30000</v>
      </c>
      <c r="N4" s="52">
        <f t="shared" si="2"/>
        <v>0</v>
      </c>
      <c r="O4" s="52">
        <f t="shared" si="2"/>
        <v>0</v>
      </c>
      <c r="P4" s="52">
        <f t="shared" si="2"/>
        <v>-90000</v>
      </c>
      <c r="Q4" s="52">
        <f t="shared" si="2"/>
        <v>-90000</v>
      </c>
      <c r="R4" s="53">
        <f t="shared" si="2"/>
        <v>0</v>
      </c>
      <c r="S4" s="53">
        <f t="shared" si="2"/>
        <v>-180000</v>
      </c>
      <c r="T4" s="52">
        <f t="shared" si="2"/>
        <v>-180000</v>
      </c>
    </row>
    <row r="5" spans="1:20" x14ac:dyDescent="0.25">
      <c r="D5" t="s">
        <v>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17F31-0AB0-48A0-BE8A-317C948A6591}">
  <dimension ref="A1:H40"/>
  <sheetViews>
    <sheetView workbookViewId="0">
      <selection activeCell="G19" sqref="G19"/>
    </sheetView>
  </sheetViews>
  <sheetFormatPr defaultRowHeight="15" x14ac:dyDescent="0.25"/>
  <cols>
    <col min="2" max="6" width="36.5703125" customWidth="1"/>
    <col min="8" max="8" width="31.5703125" bestFit="1" customWidth="1"/>
  </cols>
  <sheetData>
    <row r="1" spans="1:8" x14ac:dyDescent="0.25">
      <c r="B1" s="64"/>
      <c r="C1" s="64"/>
      <c r="D1" s="64"/>
      <c r="E1" s="64"/>
      <c r="F1" s="64"/>
    </row>
    <row r="2" spans="1:8" ht="15.75" thickBot="1" x14ac:dyDescent="0.3">
      <c r="B2" s="64"/>
      <c r="C2" s="64"/>
      <c r="D2" s="64"/>
      <c r="E2" s="64"/>
      <c r="F2" s="64"/>
    </row>
    <row r="3" spans="1:8" ht="15.75" thickBot="1" x14ac:dyDescent="0.3">
      <c r="B3" s="65" t="s">
        <v>104</v>
      </c>
      <c r="C3" s="66" t="s">
        <v>105</v>
      </c>
      <c r="D3" s="65" t="s">
        <v>106</v>
      </c>
      <c r="E3" s="66" t="s">
        <v>107</v>
      </c>
      <c r="F3" s="65" t="s">
        <v>108</v>
      </c>
    </row>
    <row r="4" spans="1:8" x14ac:dyDescent="0.25">
      <c r="A4" s="67">
        <v>0.29166666666666669</v>
      </c>
      <c r="B4" s="68" t="s">
        <v>109</v>
      </c>
      <c r="C4" s="90" t="s">
        <v>109</v>
      </c>
      <c r="D4" s="68" t="s">
        <v>109</v>
      </c>
      <c r="E4" s="90" t="s">
        <v>109</v>
      </c>
      <c r="F4" s="92" t="s">
        <v>110</v>
      </c>
      <c r="H4" s="69" t="s">
        <v>111</v>
      </c>
    </row>
    <row r="5" spans="1:8" x14ac:dyDescent="0.25">
      <c r="A5" s="67">
        <v>0.3125</v>
      </c>
      <c r="B5" s="94" t="s">
        <v>112</v>
      </c>
      <c r="C5" s="91"/>
      <c r="D5" s="97" t="s">
        <v>113</v>
      </c>
      <c r="E5" s="91"/>
      <c r="F5" s="93"/>
      <c r="H5" s="70" t="s">
        <v>114</v>
      </c>
    </row>
    <row r="6" spans="1:8" x14ac:dyDescent="0.25">
      <c r="A6" s="67">
        <v>0.33333333333333331</v>
      </c>
      <c r="B6" s="95"/>
      <c r="C6" s="98" t="s">
        <v>115</v>
      </c>
      <c r="D6" s="97"/>
      <c r="E6" s="98" t="s">
        <v>115</v>
      </c>
      <c r="F6" s="99" t="s">
        <v>116</v>
      </c>
      <c r="H6" s="71" t="s">
        <v>117</v>
      </c>
    </row>
    <row r="7" spans="1:8" x14ac:dyDescent="0.25">
      <c r="A7" s="67">
        <v>0.35416666666666669</v>
      </c>
      <c r="B7" s="95"/>
      <c r="C7" s="98"/>
      <c r="D7" s="97"/>
      <c r="E7" s="98"/>
      <c r="F7" s="100"/>
      <c r="H7" s="72" t="s">
        <v>118</v>
      </c>
    </row>
    <row r="8" spans="1:8" x14ac:dyDescent="0.25">
      <c r="A8" s="67">
        <v>0.375</v>
      </c>
      <c r="B8" s="95"/>
      <c r="C8" s="101" t="s">
        <v>119</v>
      </c>
      <c r="D8" s="97"/>
      <c r="E8" s="101" t="s">
        <v>120</v>
      </c>
      <c r="F8" s="102" t="s">
        <v>121</v>
      </c>
      <c r="H8" s="73" t="s">
        <v>122</v>
      </c>
    </row>
    <row r="9" spans="1:8" x14ac:dyDescent="0.25">
      <c r="A9" s="67">
        <v>0.39583333333333398</v>
      </c>
      <c r="B9" s="95"/>
      <c r="C9" s="101"/>
      <c r="D9" s="97"/>
      <c r="E9" s="101"/>
      <c r="F9" s="102"/>
      <c r="H9" s="74" t="s">
        <v>123</v>
      </c>
    </row>
    <row r="10" spans="1:8" x14ac:dyDescent="0.25">
      <c r="A10" s="67">
        <v>0.41666666666666702</v>
      </c>
      <c r="B10" s="95"/>
      <c r="C10" s="101"/>
      <c r="D10" s="97"/>
      <c r="E10" s="101"/>
      <c r="F10" s="103" t="s">
        <v>124</v>
      </c>
    </row>
    <row r="11" spans="1:8" x14ac:dyDescent="0.25">
      <c r="A11" s="67">
        <v>0.4375</v>
      </c>
      <c r="B11" s="96"/>
      <c r="C11" s="101"/>
      <c r="D11" s="99" t="s">
        <v>125</v>
      </c>
      <c r="E11" s="101"/>
      <c r="F11" s="103"/>
    </row>
    <row r="12" spans="1:8" x14ac:dyDescent="0.25">
      <c r="A12" s="67">
        <v>0.45833333333333398</v>
      </c>
      <c r="B12" s="99" t="s">
        <v>126</v>
      </c>
      <c r="C12" s="101"/>
      <c r="D12" s="100"/>
      <c r="E12" s="101"/>
      <c r="F12" s="102" t="s">
        <v>127</v>
      </c>
    </row>
    <row r="13" spans="1:8" x14ac:dyDescent="0.25">
      <c r="A13" s="67">
        <v>0.47916666666666702</v>
      </c>
      <c r="B13" s="100"/>
      <c r="C13" s="101"/>
      <c r="D13" s="102" t="s">
        <v>121</v>
      </c>
      <c r="E13" s="98" t="s">
        <v>128</v>
      </c>
      <c r="F13" s="102"/>
    </row>
    <row r="14" spans="1:8" x14ac:dyDescent="0.25">
      <c r="A14" s="67">
        <v>0.5</v>
      </c>
      <c r="B14" s="104" t="s">
        <v>129</v>
      </c>
      <c r="C14" s="105" t="s">
        <v>130</v>
      </c>
      <c r="D14" s="102"/>
      <c r="E14" s="98"/>
      <c r="F14" s="104" t="s">
        <v>129</v>
      </c>
    </row>
    <row r="15" spans="1:8" x14ac:dyDescent="0.25">
      <c r="A15" s="67">
        <v>0.52083333333333304</v>
      </c>
      <c r="B15" s="104"/>
      <c r="C15" s="106"/>
      <c r="D15" s="104" t="s">
        <v>129</v>
      </c>
      <c r="E15" s="98"/>
      <c r="F15" s="104"/>
    </row>
    <row r="16" spans="1:8" x14ac:dyDescent="0.25">
      <c r="A16" s="67">
        <v>0.54166666666666696</v>
      </c>
      <c r="B16" s="103" t="s">
        <v>131</v>
      </c>
      <c r="C16" s="107" t="s">
        <v>129</v>
      </c>
      <c r="D16" s="104"/>
      <c r="E16" s="107" t="s">
        <v>129</v>
      </c>
      <c r="F16" s="103" t="s">
        <v>132</v>
      </c>
    </row>
    <row r="17" spans="1:6" x14ac:dyDescent="0.25">
      <c r="A17" s="67">
        <v>0.5625</v>
      </c>
      <c r="B17" s="103"/>
      <c r="C17" s="107"/>
      <c r="D17" s="103" t="s">
        <v>133</v>
      </c>
      <c r="E17" s="107"/>
      <c r="F17" s="103"/>
    </row>
    <row r="18" spans="1:6" x14ac:dyDescent="0.25">
      <c r="A18" s="67">
        <v>0.58333333333333304</v>
      </c>
      <c r="B18" s="97" t="s">
        <v>119</v>
      </c>
      <c r="C18" s="98" t="s">
        <v>134</v>
      </c>
      <c r="D18" s="103"/>
      <c r="E18" s="98" t="s">
        <v>134</v>
      </c>
      <c r="F18" s="108" t="s">
        <v>135</v>
      </c>
    </row>
    <row r="19" spans="1:6" x14ac:dyDescent="0.25">
      <c r="A19" s="67">
        <v>0.60416666666666696</v>
      </c>
      <c r="B19" s="97"/>
      <c r="C19" s="98"/>
      <c r="D19" s="103"/>
      <c r="E19" s="98"/>
      <c r="F19" s="108"/>
    </row>
    <row r="20" spans="1:6" x14ac:dyDescent="0.25">
      <c r="A20" s="67">
        <v>0.625</v>
      </c>
      <c r="B20" s="97"/>
      <c r="C20" s="105" t="s">
        <v>136</v>
      </c>
      <c r="D20" s="97" t="s">
        <v>137</v>
      </c>
      <c r="E20" s="101" t="s">
        <v>138</v>
      </c>
      <c r="F20" s="108"/>
    </row>
    <row r="21" spans="1:6" x14ac:dyDescent="0.25">
      <c r="A21" s="67">
        <v>0.64583333333333304</v>
      </c>
      <c r="B21" s="97"/>
      <c r="C21" s="106"/>
      <c r="D21" s="97"/>
      <c r="E21" s="101"/>
      <c r="F21" s="108"/>
    </row>
    <row r="22" spans="1:6" x14ac:dyDescent="0.25">
      <c r="A22" s="67">
        <v>0.66666666666666696</v>
      </c>
      <c r="B22" s="97"/>
      <c r="C22" s="109" t="s">
        <v>135</v>
      </c>
      <c r="D22" s="97"/>
      <c r="E22" s="101"/>
      <c r="F22" s="108"/>
    </row>
    <row r="23" spans="1:6" x14ac:dyDescent="0.25">
      <c r="A23" s="67">
        <v>0.6875</v>
      </c>
      <c r="B23" s="97"/>
      <c r="C23" s="109"/>
      <c r="D23" s="97" t="s">
        <v>139</v>
      </c>
      <c r="E23" s="101"/>
      <c r="F23" s="108"/>
    </row>
    <row r="24" spans="1:6" x14ac:dyDescent="0.25">
      <c r="A24" s="67">
        <v>0.70833333333333304</v>
      </c>
      <c r="B24" s="97" t="s">
        <v>137</v>
      </c>
      <c r="C24" s="109"/>
      <c r="D24" s="97"/>
      <c r="E24" s="101"/>
      <c r="F24" s="99" t="s">
        <v>140</v>
      </c>
    </row>
    <row r="25" spans="1:6" x14ac:dyDescent="0.25">
      <c r="A25" s="67">
        <v>0.72916666666666696</v>
      </c>
      <c r="B25" s="97"/>
      <c r="C25" s="109"/>
      <c r="D25" s="97"/>
      <c r="E25" s="101"/>
      <c r="F25" s="100"/>
    </row>
    <row r="26" spans="1:6" x14ac:dyDescent="0.25">
      <c r="A26" s="67">
        <v>0.75</v>
      </c>
      <c r="B26" s="97"/>
      <c r="C26" s="109"/>
      <c r="D26" s="103" t="s">
        <v>141</v>
      </c>
      <c r="E26" s="109" t="s">
        <v>142</v>
      </c>
      <c r="F26" s="110" t="s">
        <v>118</v>
      </c>
    </row>
    <row r="27" spans="1:6" x14ac:dyDescent="0.25">
      <c r="A27" s="67">
        <v>0.77083333333333304</v>
      </c>
      <c r="B27" s="102" t="s">
        <v>127</v>
      </c>
      <c r="C27" s="109"/>
      <c r="D27" s="103"/>
      <c r="E27" s="109"/>
      <c r="F27" s="110"/>
    </row>
    <row r="28" spans="1:6" x14ac:dyDescent="0.25">
      <c r="A28" s="67">
        <v>0.79166666666666696</v>
      </c>
      <c r="B28" s="102"/>
      <c r="C28" s="102" t="s">
        <v>121</v>
      </c>
      <c r="D28" s="110" t="s">
        <v>118</v>
      </c>
      <c r="E28" s="112" t="s">
        <v>127</v>
      </c>
      <c r="F28" s="110"/>
    </row>
    <row r="29" spans="1:6" x14ac:dyDescent="0.25">
      <c r="A29" s="67">
        <v>0.8125</v>
      </c>
      <c r="B29" s="102"/>
      <c r="C29" s="102"/>
      <c r="D29" s="110"/>
      <c r="E29" s="112"/>
      <c r="F29" s="110"/>
    </row>
    <row r="30" spans="1:6" ht="15.75" thickBot="1" x14ac:dyDescent="0.3">
      <c r="A30" s="67">
        <v>0.83333333333333304</v>
      </c>
      <c r="B30" s="75" t="s">
        <v>143</v>
      </c>
      <c r="C30" s="76" t="s">
        <v>143</v>
      </c>
      <c r="D30" s="111"/>
      <c r="E30" s="76" t="s">
        <v>143</v>
      </c>
      <c r="F30" s="111"/>
    </row>
    <row r="31" spans="1:6" x14ac:dyDescent="0.25">
      <c r="B31" s="64"/>
      <c r="C31" s="64"/>
      <c r="D31" s="64"/>
      <c r="E31" s="64"/>
      <c r="F31" s="64"/>
    </row>
    <row r="32" spans="1:6" x14ac:dyDescent="0.25">
      <c r="B32" s="77" t="s">
        <v>144</v>
      </c>
      <c r="C32" s="77" t="s">
        <v>144</v>
      </c>
      <c r="D32" s="77" t="s">
        <v>144</v>
      </c>
      <c r="E32" s="77" t="s">
        <v>144</v>
      </c>
      <c r="F32" s="77" t="s">
        <v>145</v>
      </c>
    </row>
    <row r="33" spans="2:6" x14ac:dyDescent="0.25">
      <c r="B33" s="64" t="s">
        <v>146</v>
      </c>
      <c r="C33" s="64" t="s">
        <v>146</v>
      </c>
      <c r="D33" s="64" t="s">
        <v>146</v>
      </c>
      <c r="E33" s="64" t="s">
        <v>146</v>
      </c>
      <c r="F33" s="64" t="s">
        <v>147</v>
      </c>
    </row>
    <row r="34" spans="2:6" x14ac:dyDescent="0.25">
      <c r="B34" s="64" t="s">
        <v>148</v>
      </c>
      <c r="C34" s="64" t="s">
        <v>148</v>
      </c>
      <c r="D34" s="64" t="s">
        <v>148</v>
      </c>
      <c r="E34" s="64" t="s">
        <v>148</v>
      </c>
      <c r="F34" s="64" t="s">
        <v>149</v>
      </c>
    </row>
    <row r="35" spans="2:6" x14ac:dyDescent="0.25">
      <c r="B35" s="64" t="s">
        <v>150</v>
      </c>
      <c r="C35" s="64" t="s">
        <v>150</v>
      </c>
      <c r="D35" s="64" t="s">
        <v>150</v>
      </c>
      <c r="E35" s="64" t="s">
        <v>150</v>
      </c>
      <c r="F35" s="64" t="s">
        <v>151</v>
      </c>
    </row>
    <row r="36" spans="2:6" x14ac:dyDescent="0.25">
      <c r="B36" s="64" t="s">
        <v>152</v>
      </c>
      <c r="C36" s="64" t="s">
        <v>152</v>
      </c>
      <c r="D36" s="64" t="s">
        <v>152</v>
      </c>
      <c r="E36" s="64" t="s">
        <v>152</v>
      </c>
      <c r="F36" s="64" t="s">
        <v>153</v>
      </c>
    </row>
    <row r="37" spans="2:6" x14ac:dyDescent="0.25">
      <c r="B37" s="64" t="s">
        <v>154</v>
      </c>
      <c r="C37" s="64" t="s">
        <v>154</v>
      </c>
      <c r="D37" s="64" t="s">
        <v>154</v>
      </c>
      <c r="E37" s="64" t="s">
        <v>154</v>
      </c>
      <c r="F37" s="64" t="s">
        <v>155</v>
      </c>
    </row>
    <row r="38" spans="2:6" x14ac:dyDescent="0.25">
      <c r="B38" s="64"/>
      <c r="C38" s="64"/>
      <c r="D38" s="64"/>
      <c r="E38" s="64"/>
      <c r="F38" s="64"/>
    </row>
    <row r="39" spans="2:6" x14ac:dyDescent="0.25">
      <c r="B39" s="64"/>
      <c r="C39" s="64"/>
      <c r="D39" s="64"/>
      <c r="E39" s="64"/>
      <c r="F39" s="64"/>
    </row>
    <row r="40" spans="2:6" x14ac:dyDescent="0.25">
      <c r="B40" s="64"/>
      <c r="C40" s="64"/>
      <c r="D40" s="64"/>
      <c r="E40" s="64"/>
      <c r="F40" s="64"/>
    </row>
  </sheetData>
  <mergeCells count="44">
    <mergeCell ref="B27:B29"/>
    <mergeCell ref="C28:C29"/>
    <mergeCell ref="D28:D30"/>
    <mergeCell ref="E28:E29"/>
    <mergeCell ref="B24:B26"/>
    <mergeCell ref="E20:E25"/>
    <mergeCell ref="C22:C27"/>
    <mergeCell ref="D23:D25"/>
    <mergeCell ref="F24:F25"/>
    <mergeCell ref="D26:D27"/>
    <mergeCell ref="E26:E27"/>
    <mergeCell ref="F26:F30"/>
    <mergeCell ref="E13:E15"/>
    <mergeCell ref="B14:B15"/>
    <mergeCell ref="C14:C15"/>
    <mergeCell ref="F14:F15"/>
    <mergeCell ref="D15:D16"/>
    <mergeCell ref="B16:B17"/>
    <mergeCell ref="C16:C17"/>
    <mergeCell ref="E16:E17"/>
    <mergeCell ref="F16:F17"/>
    <mergeCell ref="D17:D19"/>
    <mergeCell ref="B18:B23"/>
    <mergeCell ref="C18:C19"/>
    <mergeCell ref="E18:E19"/>
    <mergeCell ref="F18:F23"/>
    <mergeCell ref="C20:C21"/>
    <mergeCell ref="D20:D22"/>
    <mergeCell ref="C4:C5"/>
    <mergeCell ref="E4:E5"/>
    <mergeCell ref="F4:F5"/>
    <mergeCell ref="B5:B11"/>
    <mergeCell ref="D5:D10"/>
    <mergeCell ref="C6:C7"/>
    <mergeCell ref="E6:E7"/>
    <mergeCell ref="F6:F7"/>
    <mergeCell ref="C8:C13"/>
    <mergeCell ref="E8:E12"/>
    <mergeCell ref="F8:F9"/>
    <mergeCell ref="F10:F11"/>
    <mergeCell ref="D11:D12"/>
    <mergeCell ref="B12:B13"/>
    <mergeCell ref="F12:F13"/>
    <mergeCell ref="D13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Success Cycle</vt:lpstr>
      <vt:lpstr>VP to SVP</vt:lpstr>
      <vt:lpstr>SME VP Example Criteria</vt:lpstr>
      <vt:lpstr>Deal Tracker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Leinders at GQR</dc:creator>
  <cp:lastModifiedBy>Bryan Blair</cp:lastModifiedBy>
  <dcterms:created xsi:type="dcterms:W3CDTF">2020-04-21T18:01:11Z</dcterms:created>
  <dcterms:modified xsi:type="dcterms:W3CDTF">2024-08-01T14:27:15Z</dcterms:modified>
</cp:coreProperties>
</file>