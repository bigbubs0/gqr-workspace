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09"/>
  <workbookPr/>
  <mc:AlternateContent xmlns:mc="http://schemas.openxmlformats.org/markup-compatibility/2006">
    <mc:Choice Requires="x15">
      <x15ac:absPath xmlns:x15ac="http://schemas.microsoft.com/office/spreadsheetml/2010/11/ac" url="https://wyndenstark.sharepoint.com/sites/lifesciences/Shared Documents/Process Documents/"/>
    </mc:Choice>
  </mc:AlternateContent>
  <xr:revisionPtr revIDLastSave="130" documentId="8_{AB5D5D21-FBC8-444C-BF2A-8B475CC830D1}" xr6:coauthVersionLast="47" xr6:coauthVersionMax="47" xr10:uidLastSave="{7B5560FA-998B-46C0-8040-089B73568589}"/>
  <bookViews>
    <workbookView xWindow="43080" yWindow="-120" windowWidth="29040" windowHeight="15720" firstSheet="1" activeTab="1" xr2:uid="{D6CBF629-932A-4F88-8E2F-773330F31B51}"/>
  </bookViews>
  <sheets>
    <sheet name="ICP Definition" sheetId="1" r:id="rId1"/>
    <sheet name="ICP - Client Type" sheetId="2" r:id="rId2"/>
    <sheet name="Buyer Personas" sheetId="3" r:id="rId3"/>
    <sheet name="Template Client Org Char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2" l="1"/>
  <c r="G31" i="2" s="1"/>
  <c r="H31" i="2" s="1"/>
  <c r="E30" i="2"/>
  <c r="G30" i="2" s="1"/>
  <c r="H30" i="2" s="1"/>
  <c r="E3" i="2"/>
  <c r="G3" i="2" s="1"/>
  <c r="H3" i="2" s="1"/>
  <c r="E10" i="2"/>
  <c r="E2" i="2"/>
  <c r="E4" i="2"/>
  <c r="E5" i="2"/>
  <c r="E6" i="2"/>
  <c r="E7" i="2"/>
  <c r="E8" i="2"/>
  <c r="E9" i="2"/>
  <c r="E11" i="2"/>
  <c r="E12" i="2"/>
  <c r="E13" i="2"/>
  <c r="E14" i="2"/>
  <c r="E15" i="2"/>
  <c r="E16" i="2"/>
  <c r="E17" i="2"/>
  <c r="E18" i="2"/>
  <c r="E19" i="2"/>
  <c r="E20" i="2"/>
  <c r="E21" i="2"/>
  <c r="E22" i="2"/>
  <c r="E23" i="2"/>
  <c r="E24" i="2"/>
  <c r="E25" i="2"/>
  <c r="E26" i="2"/>
  <c r="E27" i="2"/>
  <c r="E28" i="2"/>
  <c r="E29" i="2"/>
  <c r="G2" i="2" l="1"/>
  <c r="H2" i="2" s="1"/>
  <c r="G4" i="2"/>
  <c r="H4" i="2" s="1"/>
  <c r="G5" i="2"/>
  <c r="H5" i="2" s="1"/>
  <c r="G6" i="2"/>
  <c r="H6" i="2" s="1"/>
  <c r="G7" i="2"/>
  <c r="H7" i="2" s="1"/>
  <c r="G8" i="2"/>
  <c r="H8" i="2" s="1"/>
  <c r="G9" i="2"/>
  <c r="H9" i="2" s="1"/>
  <c r="G10" i="2"/>
  <c r="H10" i="2" s="1"/>
  <c r="G11" i="2"/>
  <c r="H11" i="2" s="1"/>
  <c r="G12" i="2"/>
  <c r="H12" i="2" s="1"/>
  <c r="G13" i="2"/>
  <c r="H13" i="2" s="1"/>
  <c r="G14" i="2"/>
  <c r="H14" i="2" s="1"/>
  <c r="G15" i="2"/>
  <c r="H15" i="2" s="1"/>
  <c r="G16" i="2"/>
  <c r="H16" i="2" s="1"/>
  <c r="G17" i="2"/>
  <c r="H17" i="2" s="1"/>
  <c r="G18" i="2"/>
  <c r="H18" i="2" s="1"/>
  <c r="G19" i="2"/>
  <c r="H19" i="2" s="1"/>
  <c r="G20" i="2"/>
  <c r="H20" i="2" s="1"/>
  <c r="G21" i="2"/>
  <c r="H21" i="2" s="1"/>
  <c r="G22" i="2"/>
  <c r="H22" i="2" s="1"/>
  <c r="G23" i="2"/>
  <c r="H23" i="2" s="1"/>
  <c r="G24" i="2"/>
  <c r="H24" i="2" s="1"/>
  <c r="G25" i="2"/>
  <c r="H25" i="2" s="1"/>
  <c r="G26" i="2"/>
  <c r="H26" i="2" s="1"/>
  <c r="G27" i="2"/>
  <c r="H27" i="2" s="1"/>
  <c r="G28" i="2"/>
  <c r="H28" i="2" s="1"/>
  <c r="G29" i="2"/>
  <c r="H29" i="2" s="1"/>
</calcChain>
</file>

<file path=xl/sharedStrings.xml><?xml version="1.0" encoding="utf-8"?>
<sst xmlns="http://schemas.openxmlformats.org/spreadsheetml/2006/main" count="289" uniqueCount="143">
  <si>
    <t>ICP Scoring Matrix</t>
  </si>
  <si>
    <t>MARKET SEGMENT</t>
  </si>
  <si>
    <t>Category</t>
  </si>
  <si>
    <t>Tier</t>
  </si>
  <si>
    <t xml:space="preserve">Scoring </t>
  </si>
  <si>
    <t>Scoring Criteria</t>
  </si>
  <si>
    <t>&gt; Sector (Company types)</t>
  </si>
  <si>
    <t>Very High</t>
  </si>
  <si>
    <r>
      <rPr>
        <b/>
        <i/>
        <sz val="11"/>
        <color theme="1"/>
        <rFont val="Calibri"/>
        <family val="2"/>
      </rPr>
      <t>IMPACT X CONFIDENCE/EFFORT 
Impact</t>
    </r>
    <r>
      <rPr>
        <i/>
        <sz val="11"/>
        <color theme="1"/>
        <rFont val="Calibri"/>
        <family val="2"/>
      </rPr>
      <t xml:space="preserve">: This factor measures the potential Serviceable Available Market (SAM) of a client, calculated on the basis of the total staffing spend and taking into account our margin and the staffing sectors that we can support. The higher the potential SAM of the client, the greater the impact. 
</t>
    </r>
    <r>
      <rPr>
        <b/>
        <i/>
        <sz val="11"/>
        <color theme="1"/>
        <rFont val="Calibri"/>
        <family val="2"/>
      </rPr>
      <t>Confidence</t>
    </r>
    <r>
      <rPr>
        <i/>
        <sz val="11"/>
        <color theme="1"/>
        <rFont val="Calibri"/>
        <family val="2"/>
      </rPr>
      <t xml:space="preserve">: This factor reflects the type of relationship we currently have or could potentially develop with the client. It's an estimate of our influence on the client and our capacity to capture more of their SAM. A more influential or established relationship would mean higher confidence. 
</t>
    </r>
    <r>
      <rPr>
        <b/>
        <i/>
        <sz val="11"/>
        <color theme="1"/>
        <rFont val="Calibri"/>
        <family val="2"/>
      </rPr>
      <t>Effort</t>
    </r>
    <r>
      <rPr>
        <i/>
        <sz val="11"/>
        <color theme="1"/>
        <rFont val="Calibri"/>
        <family val="2"/>
      </rPr>
      <t>: This factor quantifies the amount of sales effort we would need to invest to capture the Serviceable Obtainable Market (SOM) of the client. Higher effort could mean more resources or time would be required to achieve results.</t>
    </r>
  </si>
  <si>
    <t xml:space="preserve">Description: Direct vs indirect, SOW,  Agency spend </t>
  </si>
  <si>
    <t>High</t>
  </si>
  <si>
    <t>Medium</t>
  </si>
  <si>
    <t>Low</t>
  </si>
  <si>
    <t>Very Low</t>
  </si>
  <si>
    <t>&gt; Geography (Major Metro)</t>
  </si>
  <si>
    <r>
      <rPr>
        <b/>
        <i/>
        <sz val="11"/>
        <color theme="1"/>
        <rFont val="Calibri"/>
        <family val="2"/>
      </rPr>
      <t xml:space="preserve">SIZE X CLUSTERABILITY </t>
    </r>
    <r>
      <rPr>
        <i/>
        <sz val="11"/>
        <color theme="1"/>
        <rFont val="Calibri"/>
        <family val="2"/>
      </rPr>
      <t xml:space="preserve">
</t>
    </r>
    <r>
      <rPr>
        <b/>
        <i/>
        <sz val="11"/>
        <color theme="1"/>
        <rFont val="Calibri"/>
        <family val="2"/>
      </rPr>
      <t>SIZE</t>
    </r>
    <r>
      <rPr>
        <i/>
        <sz val="11"/>
        <color theme="1"/>
        <rFont val="Calibri"/>
        <family val="2"/>
      </rPr>
      <t xml:space="preserve"> = Population: The total number of people living in the metropolitan area. Areas with larger populations tend to have more beds, therefore more Demand and subsequent spend (businesses and potential clients, hence are typically more attractive for expansion.
</t>
    </r>
    <r>
      <rPr>
        <b/>
        <i/>
        <sz val="11"/>
        <color theme="1"/>
        <rFont val="Calibri"/>
        <family val="2"/>
      </rPr>
      <t>CLUSTERABILITY</t>
    </r>
    <r>
      <rPr>
        <i/>
        <sz val="11"/>
        <color theme="1"/>
        <rFont val="Calibri"/>
        <family val="2"/>
      </rPr>
      <t>: Existing Client Relationships. A metric that indicates whether we already have clients in the metro area. If we do, this adds a "multiplier" effect to the population score, because we can cluster our efforts and potentially offer our existing candidates to more facilities within the same area.</t>
    </r>
  </si>
  <si>
    <t>Description: Score assigned based on prioritizaton of major metro</t>
  </si>
  <si>
    <t>&gt; Functions (Position, Seniority, Skills)</t>
  </si>
  <si>
    <r>
      <t xml:space="preserve">This category is scored by considering:
</t>
    </r>
    <r>
      <rPr>
        <b/>
        <i/>
        <sz val="11"/>
        <color theme="1"/>
        <rFont val="Calibri"/>
        <family val="2"/>
      </rPr>
      <t xml:space="preserve">Existing Candidate Database: </t>
    </r>
    <r>
      <rPr>
        <i/>
        <sz val="11"/>
        <color theme="1"/>
        <rFont val="Calibri"/>
        <family val="2"/>
      </rPr>
      <t xml:space="preserve">This represents the current pool of candidates you have in your database for a particular functional specialization. A larger pool usually suggests a higher score in this category.
</t>
    </r>
    <r>
      <rPr>
        <b/>
        <i/>
        <sz val="11"/>
        <color theme="1"/>
        <rFont val="Calibri"/>
        <family val="2"/>
      </rPr>
      <t>Average Fee Size</t>
    </r>
    <r>
      <rPr>
        <i/>
        <sz val="11"/>
        <color theme="1"/>
        <rFont val="Calibri"/>
        <family val="2"/>
      </rPr>
      <t xml:space="preserve">: This signifies the average fee you earn per placement in each functional area. Higher average fees should contribute to a higher score 
</t>
    </r>
    <r>
      <rPr>
        <b/>
        <i/>
        <sz val="11"/>
        <color theme="1"/>
        <rFont val="Calibri"/>
        <family val="2"/>
      </rPr>
      <t>Level of Difficulty</t>
    </r>
    <r>
      <rPr>
        <i/>
        <sz val="11"/>
        <color theme="1"/>
        <rFont val="Calibri"/>
        <family val="2"/>
      </rPr>
      <t>: This refers to how challenging it is to place a candidate in a particular function. More difficult placements should score lower in this category.. 
Prioritization:
Very High: Floor
High Specialty
Medium: Allied
Low: Behavioral
Very Low: Post Acute</t>
    </r>
  </si>
  <si>
    <t>Description:</t>
  </si>
  <si>
    <t>CLIENT ACCOUNT</t>
  </si>
  <si>
    <t>&gt; Growth (Scalability)</t>
  </si>
  <si>
    <t>&gt;$7m</t>
  </si>
  <si>
    <r>
      <t>$2-7</t>
    </r>
    <r>
      <rPr>
        <i/>
        <sz val="11"/>
        <color theme="1"/>
        <rFont val="Calibri"/>
        <family val="2"/>
      </rPr>
      <t>m</t>
    </r>
  </si>
  <si>
    <t>by Serviceable Obtainable Wallet ($)</t>
  </si>
  <si>
    <t>&lt;$2m</t>
  </si>
  <si>
    <t>&gt; Profitability (Efficiency)</t>
  </si>
  <si>
    <t xml:space="preserve">High </t>
  </si>
  <si>
    <t>by best estimate of ROI (Ratio of $in to $out) implied by funnel conversion, time and resources time invested</t>
  </si>
  <si>
    <t>&gt; Quality (Predictability)</t>
  </si>
  <si>
    <t>MSP, RPO, MYR</t>
  </si>
  <si>
    <t>Direct MSA/SOW</t>
  </si>
  <si>
    <t xml:space="preserve">by predictability of revenue, guranteed to contingent </t>
  </si>
  <si>
    <t>Vendor through VMS</t>
  </si>
  <si>
    <t>Solutions Architecture</t>
  </si>
  <si>
    <t>&gt; Price (Value)</t>
  </si>
  <si>
    <t>&gt; Quality (Fill rate, retention rate)</t>
  </si>
  <si>
    <t>&gt; Speed (Velocity)</t>
  </si>
  <si>
    <t>Slow</t>
  </si>
  <si>
    <t xml:space="preserve">Time to fill, process efficiency (slower we are, cheaper we can be) </t>
  </si>
  <si>
    <t>Fast</t>
  </si>
  <si>
    <t>CLIENT</t>
  </si>
  <si>
    <t>SAM $</t>
  </si>
  <si>
    <t>SAM SCORE</t>
  </si>
  <si>
    <t>CONFIDENCE</t>
  </si>
  <si>
    <t>Confidence Score</t>
  </si>
  <si>
    <t>EFFORT</t>
  </si>
  <si>
    <t>TOTAL</t>
  </si>
  <si>
    <t>Score</t>
  </si>
  <si>
    <t>IMPACT</t>
  </si>
  <si>
    <t>Explanation</t>
  </si>
  <si>
    <t>Average fee  in trailing 12 currently is around $150,000, our top 10 accounts average out to $500,000 using those 2 numbers as our baseline.</t>
  </si>
  <si>
    <t>Kiniksa Pharmaceuticals Corp</t>
  </si>
  <si>
    <t>MSP/RPO/MYR</t>
  </si>
  <si>
    <t>SCORE</t>
  </si>
  <si>
    <t>Pliant Therapeutics</t>
  </si>
  <si>
    <t>Centralized</t>
  </si>
  <si>
    <t xml:space="preserve">SAM </t>
  </si>
  <si>
    <t>$1,000,000+</t>
  </si>
  <si>
    <t xml:space="preserve">Alkermes </t>
  </si>
  <si>
    <t>Decentralized</t>
  </si>
  <si>
    <t>Servier PharmaceuticalsC</t>
  </si>
  <si>
    <t>CONFIDENCE (Client Relationship)</t>
  </si>
  <si>
    <t>Exclusive, retained relationships with recurring revenue score the highest. Decentralized TA or hiring manager relationships ensure continuation of relationship even if one person leaves. Indirect relationships minimize our opportunity to influence</t>
  </si>
  <si>
    <t>Cabaletta Bio</t>
  </si>
  <si>
    <t>Kyverna Therapeutics</t>
  </si>
  <si>
    <t>Relationship</t>
  </si>
  <si>
    <t>Indirect/3rd Party/VMS</t>
  </si>
  <si>
    <t>Renaissance Pharmaceuticals</t>
  </si>
  <si>
    <t>Passage Bio</t>
  </si>
  <si>
    <t>Measured by CV &gt; Placement ratio</t>
  </si>
  <si>
    <t>Biohaven Pharmaceuticals</t>
  </si>
  <si>
    <t>Atomwise</t>
  </si>
  <si>
    <t>Easy</t>
  </si>
  <si>
    <t>Hard</t>
  </si>
  <si>
    <t>DBV Technologies</t>
  </si>
  <si>
    <t>Tango Therapeutics</t>
  </si>
  <si>
    <t>CLIENT TYPE SCORE</t>
  </si>
  <si>
    <t>Apollo Therapeutics</t>
  </si>
  <si>
    <t>Entrada Therapeutics</t>
  </si>
  <si>
    <t xml:space="preserve">Halloran </t>
  </si>
  <si>
    <t>KSQ Therapeutics</t>
  </si>
  <si>
    <t>Lower Band</t>
  </si>
  <si>
    <t>Upper Band</t>
  </si>
  <si>
    <t>X4 Pharmaceuticals</t>
  </si>
  <si>
    <t>Nimbus Therapeutics</t>
  </si>
  <si>
    <t>Revance Therapeutics</t>
  </si>
  <si>
    <t>Treeline Biosciences</t>
  </si>
  <si>
    <t>Insmed</t>
  </si>
  <si>
    <t>Myro Therapeutics</t>
  </si>
  <si>
    <t>Inozyme Pharma</t>
  </si>
  <si>
    <t>Shinobi Therapeutics</t>
  </si>
  <si>
    <t>Impact (Serviceable Addressable Market): Rate each client based on the size of the potential serviceable addressable market that they represent. A larger potential market would score higher.</t>
  </si>
  <si>
    <t>Neurocrine Biosciences</t>
  </si>
  <si>
    <t>For example, a client who potentially requires a large volume of staffing and represents a substantial portion of your serviceable addressable market might score a 10 on a 1-10 scale, while a smaller client might score a 5.</t>
  </si>
  <si>
    <t>Eko Devices Inc</t>
  </si>
  <si>
    <t>ImmunityBio</t>
  </si>
  <si>
    <t>IMPACT = SAM x Capture x Probability X Effort</t>
  </si>
  <si>
    <t>Skyhawk Therapeutics</t>
  </si>
  <si>
    <t>Confidence (Relationship Type): Score clients on the existing relationship strength. Direct relationships would score higher, while indirect ones score lower.</t>
  </si>
  <si>
    <t>Vertex Pharmacruticals</t>
  </si>
  <si>
    <t>For instance, a client with whom you have a strong, direct relationship could score a 5, while an indirect relationship or new client might score lower</t>
  </si>
  <si>
    <t>Abdera Therapeutics</t>
  </si>
  <si>
    <t>Effort (Sales Effort Needed): This is a measure of the difficulty or effort required to win or maintain the account. Clients that require less effort to win or keep would score higher, whereas high-maintenance or hard-to-win clients would score lower.</t>
  </si>
  <si>
    <t>For example, a client that has shown strong interest and would be easy to convert might score a 5, while a difficult, high-effort client might score a 2 or 3</t>
  </si>
  <si>
    <r>
      <t>Define Your Total Addressable Market (TAM):</t>
    </r>
    <r>
      <rPr>
        <sz val="12"/>
        <rFont val="Calibri"/>
        <family val="2"/>
      </rPr>
      <t xml:space="preserve"> The TAM represents the total staffing spend by all healthcare organizations. To calculate this, you could research industry reports, surveys, market analyses, and other sources to estimate the total healthcare staffing spend in your regions of operation. This information could be found in healthcare industry reports, HR reports, or government labor reports, for instance.</t>
    </r>
  </si>
  <si>
    <t>Calculate Your Serviceable Available Market (SAM): The SAM is the portion of the TAM that you could serve given your business model. For example, if you specialize in nurse staffing and nurses represent 40% of the total healthcare staffing spend, then your SAM would be 40% of your TAM.</t>
  </si>
  <si>
    <t>Determine Your Serviceable Obtainable Market (SOM): Your SOM is the portion of the SAM that you can realistically capture given your resources, competition, and other factors. To estimate this, consider your current market share, your growth rate, your capacity to fulfill demand, and the competitive landscape.</t>
  </si>
  <si>
    <t>Who They Are:</t>
  </si>
  <si>
    <t>Head of Talent Acquisition, Chief Scientific Officers, and other senior roles in biotech, pharmaceutical, and medical device companies.</t>
  </si>
  <si>
    <t>Needs + Challenges:</t>
  </si>
  <si>
    <t>Attracting specialized talent in a niche field, managing regulatory requirements, meeting tight project timelines, and staying within budget.</t>
  </si>
  <si>
    <t xml:space="preserve">Preferred Content: </t>
  </si>
  <si>
    <t>In-depth articles, case studies + success stories, and detailed candidate profiles.</t>
  </si>
  <si>
    <t>Decision-Making Process:</t>
  </si>
  <si>
    <t>They require detailed information on candidate qualifications, regulatory compliance, and speed of hiring. Decisions are data-driven and involve consultation with department heads.</t>
  </si>
  <si>
    <t xml:space="preserve">Buyer Persona 1: </t>
  </si>
  <si>
    <t>Perm, Contingent</t>
  </si>
  <si>
    <t xml:space="preserve">Individual/Name: </t>
  </si>
  <si>
    <t xml:space="preserve">Responsibilities: </t>
  </si>
  <si>
    <t xml:space="preserve">Company: </t>
  </si>
  <si>
    <t>Kyverna</t>
  </si>
  <si>
    <t>Challenges:</t>
  </si>
  <si>
    <t>Age:</t>
  </si>
  <si>
    <t>Goals:</t>
  </si>
  <si>
    <t>Location:</t>
  </si>
  <si>
    <t>Pain Points:</t>
  </si>
  <si>
    <t>Title:</t>
  </si>
  <si>
    <t xml:space="preserve">Content + Comms Preferences: </t>
  </si>
  <si>
    <t>Education:</t>
  </si>
  <si>
    <t xml:space="preserve">Decision-Making Process: </t>
  </si>
  <si>
    <t>Company Size:</t>
  </si>
  <si>
    <t xml:space="preserve">Buyer Persona 2: </t>
  </si>
  <si>
    <t>RPO</t>
  </si>
  <si>
    <t>Kiniksa</t>
  </si>
  <si>
    <t xml:space="preserve">Buyer Persona 3: </t>
  </si>
  <si>
    <t>Contract &amp; Perm</t>
  </si>
  <si>
    <t>Pliant</t>
  </si>
  <si>
    <t xml:space="preserve">Buyer Persona 4: </t>
  </si>
  <si>
    <t>Advisory &amp; RPO</t>
  </si>
  <si>
    <t>Servier</t>
  </si>
  <si>
    <t xml:space="preserve">Buyer Persona 5: </t>
  </si>
  <si>
    <t>X4, Cabaletta,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</si>
</sst>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409]* #,##0.00_);_([$$-409]* \(#,##0.00\);_([$$-409]* &quot;-&quot;??_);_(@_)"/>
    <numFmt numFmtId="165" formatCode="_(&quot;$&quot;* #,##0_);_(&quot;$&quot;* \(#,##0\);_(&quot;$&quot;*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i/>
      <sz val="11"/>
      <color theme="1"/>
      <name val="Aptos Narrow"/>
      <family val="2"/>
      <scheme val="minor"/>
    </font>
    <font>
      <i/>
      <sz val="11"/>
      <color theme="0"/>
      <name val="Aptos Narrow"/>
      <family val="2"/>
      <scheme val="minor"/>
    </font>
    <font>
      <i/>
      <sz val="11"/>
      <color theme="1"/>
      <name val="Calibri"/>
      <family val="2"/>
    </font>
    <font>
      <b/>
      <i/>
      <sz val="11"/>
      <color theme="1"/>
      <name val="Calibri"/>
      <family val="2"/>
    </font>
    <font>
      <i/>
      <sz val="11"/>
      <color rgb="FF000000"/>
      <name val="Calibri"/>
      <family val="2"/>
    </font>
    <font>
      <b/>
      <sz val="11"/>
      <color theme="1"/>
      <name val="Aptos Narrow"/>
      <family val="2"/>
      <scheme val="minor"/>
    </font>
    <font>
      <sz val="12"/>
      <color theme="4" tint="-0.249977111117893"/>
      <name val="Calibri"/>
      <family val="2"/>
    </font>
    <font>
      <sz val="12"/>
      <color theme="1"/>
      <name val="Calibri"/>
      <family val="2"/>
    </font>
    <font>
      <sz val="12"/>
      <color theme="0"/>
      <name val="Calibri"/>
      <family val="2"/>
    </font>
    <font>
      <sz val="12"/>
      <name val="Calibri"/>
      <family val="2"/>
    </font>
    <font>
      <sz val="12"/>
      <color rgb="FF000000"/>
      <name val="Calibri"/>
      <family val="2"/>
    </font>
    <font>
      <b/>
      <sz val="12"/>
      <color theme="1"/>
      <name val="Calibri"/>
      <family val="2"/>
    </font>
    <font>
      <sz val="12"/>
      <color theme="0"/>
      <name val="Aptos Narrow"/>
      <family val="2"/>
      <scheme val="minor"/>
    </font>
  </fonts>
  <fills count="7">
    <fill>
      <patternFill patternType="none"/>
    </fill>
    <fill>
      <patternFill patternType="gray125"/>
    </fill>
    <fill>
      <patternFill patternType="solid">
        <fgColor theme="2"/>
        <bgColor indexed="64"/>
      </patternFill>
    </fill>
    <fill>
      <patternFill patternType="solid">
        <fgColor theme="4"/>
        <bgColor indexed="64"/>
      </patternFill>
    </fill>
    <fill>
      <patternFill patternType="solid">
        <fgColor rgb="FFFFFF00"/>
        <bgColor indexed="64"/>
      </patternFill>
    </fill>
    <fill>
      <patternFill patternType="solid">
        <fgColor rgb="FF002060"/>
        <bgColor indexed="64"/>
      </patternFill>
    </fill>
    <fill>
      <patternFill patternType="solid">
        <fgColor theme="3" tint="0.74999237037263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57">
    <xf numFmtId="0" fontId="0" fillId="0" borderId="0" xfId="0"/>
    <xf numFmtId="0" fontId="3" fillId="0" borderId="0" xfId="0" applyFont="1"/>
    <xf numFmtId="0" fontId="2" fillId="3" borderId="1" xfId="0" applyFont="1" applyFill="1" applyBorder="1"/>
    <xf numFmtId="0" fontId="2" fillId="3" borderId="2" xfId="0" applyFont="1" applyFill="1" applyBorder="1"/>
    <xf numFmtId="0" fontId="4" fillId="3" borderId="3" xfId="0" applyFont="1" applyFill="1" applyBorder="1"/>
    <xf numFmtId="0" fontId="0" fillId="0" borderId="1" xfId="0" applyBorder="1"/>
    <xf numFmtId="0" fontId="0" fillId="0" borderId="2" xfId="0" applyBorder="1" applyAlignment="1">
      <alignment horizontal="center"/>
    </xf>
    <xf numFmtId="0" fontId="0" fillId="0" borderId="4" xfId="0" applyBorder="1" applyAlignment="1">
      <alignment wrapText="1"/>
    </xf>
    <xf numFmtId="0" fontId="0" fillId="0" borderId="0" xfId="0" applyAlignment="1">
      <alignment horizontal="center"/>
    </xf>
    <xf numFmtId="0" fontId="0" fillId="0" borderId="6" xfId="0" applyBorder="1"/>
    <xf numFmtId="0" fontId="0" fillId="0" borderId="7" xfId="0" applyBorder="1" applyAlignment="1">
      <alignment horizontal="center"/>
    </xf>
    <xf numFmtId="0" fontId="0" fillId="0" borderId="4" xfId="0" applyBorder="1"/>
    <xf numFmtId="0" fontId="2" fillId="3" borderId="0" xfId="0" applyFont="1" applyFill="1"/>
    <xf numFmtId="0" fontId="4" fillId="3" borderId="0" xfId="0" applyFont="1" applyFill="1"/>
    <xf numFmtId="0" fontId="7" fillId="0" borderId="3" xfId="0" applyFont="1" applyBorder="1" applyAlignment="1">
      <alignment vertical="center"/>
    </xf>
    <xf numFmtId="0" fontId="7" fillId="0" borderId="5" xfId="0" applyFont="1" applyBorder="1" applyAlignment="1">
      <alignment vertical="center"/>
    </xf>
    <xf numFmtId="0" fontId="3" fillId="0" borderId="3" xfId="0" applyFont="1" applyBorder="1"/>
    <xf numFmtId="0" fontId="3" fillId="0" borderId="5" xfId="0" applyFont="1" applyBorder="1"/>
    <xf numFmtId="0" fontId="3" fillId="0" borderId="6" xfId="0" applyFont="1" applyBorder="1" applyAlignment="1">
      <alignment horizontal="left" vertical="top" wrapText="1"/>
    </xf>
    <xf numFmtId="0" fontId="3" fillId="0" borderId="8" xfId="0" applyFont="1" applyBorder="1"/>
    <xf numFmtId="9" fontId="0" fillId="0" borderId="2" xfId="2" applyFont="1" applyBorder="1" applyAlignment="1">
      <alignment horizontal="center"/>
    </xf>
    <xf numFmtId="9" fontId="0" fillId="0" borderId="0" xfId="2" applyFont="1" applyBorder="1" applyAlignment="1">
      <alignment horizontal="center"/>
    </xf>
    <xf numFmtId="9" fontId="0" fillId="0" borderId="7" xfId="2" applyFont="1" applyBorder="1" applyAlignment="1">
      <alignment horizontal="center"/>
    </xf>
    <xf numFmtId="0" fontId="0" fillId="0" borderId="3" xfId="0" applyBorder="1"/>
    <xf numFmtId="0" fontId="0" fillId="0" borderId="5" xfId="0" applyBorder="1"/>
    <xf numFmtId="0" fontId="3" fillId="0" borderId="6" xfId="0" applyFont="1" applyBorder="1"/>
    <xf numFmtId="0" fontId="0" fillId="0" borderId="8" xfId="0" applyBorder="1"/>
    <xf numFmtId="0" fontId="8" fillId="0" borderId="0" xfId="0" applyFont="1"/>
    <xf numFmtId="0" fontId="0" fillId="4" borderId="0" xfId="0" applyFill="1"/>
    <xf numFmtId="0" fontId="0" fillId="0" borderId="2" xfId="0" applyBorder="1"/>
    <xf numFmtId="0" fontId="8" fillId="0" borderId="4" xfId="0" applyFont="1" applyBorder="1"/>
    <xf numFmtId="0" fontId="8" fillId="0" borderId="6" xfId="0" applyFont="1" applyBorder="1"/>
    <xf numFmtId="0" fontId="0" fillId="4" borderId="7" xfId="0" applyFill="1" applyBorder="1"/>
    <xf numFmtId="0" fontId="0" fillId="0" borderId="7" xfId="0" applyBorder="1"/>
    <xf numFmtId="0" fontId="0" fillId="4" borderId="5" xfId="0" applyFill="1" applyBorder="1" applyAlignment="1">
      <alignment horizontal="left" wrapText="1"/>
    </xf>
    <xf numFmtId="0" fontId="0" fillId="0" borderId="8" xfId="0" applyBorder="1" applyAlignment="1">
      <alignment horizontal="left"/>
    </xf>
    <xf numFmtId="0" fontId="0" fillId="0" borderId="3" xfId="0" applyBorder="1" applyAlignment="1">
      <alignment horizontal="left"/>
    </xf>
    <xf numFmtId="164" fontId="10" fillId="0" borderId="0" xfId="0" applyNumberFormat="1" applyFont="1"/>
    <xf numFmtId="0" fontId="10" fillId="0" borderId="0" xfId="0" applyFont="1" applyAlignment="1">
      <alignment horizontal="center"/>
    </xf>
    <xf numFmtId="9" fontId="10" fillId="0" borderId="0" xfId="2" applyFont="1" applyAlignment="1">
      <alignment horizontal="center"/>
    </xf>
    <xf numFmtId="0" fontId="10" fillId="0" borderId="0" xfId="0" applyFont="1"/>
    <xf numFmtId="165" fontId="10" fillId="0" borderId="0" xfId="1" applyNumberFormat="1" applyFont="1"/>
    <xf numFmtId="9" fontId="10" fillId="0" borderId="0" xfId="0" applyNumberFormat="1" applyFont="1" applyAlignment="1">
      <alignment horizontal="center"/>
    </xf>
    <xf numFmtId="0" fontId="13" fillId="0" borderId="0" xfId="0" applyFont="1"/>
    <xf numFmtId="0" fontId="9" fillId="0" borderId="0" xfId="0" applyFont="1"/>
    <xf numFmtId="0" fontId="14" fillId="0" borderId="0" xfId="0" applyFont="1"/>
    <xf numFmtId="0" fontId="15" fillId="5" borderId="1" xfId="0" applyFont="1" applyFill="1" applyBorder="1"/>
    <xf numFmtId="0" fontId="15" fillId="5" borderId="2" xfId="0" applyFont="1" applyFill="1" applyBorder="1"/>
    <xf numFmtId="0" fontId="8" fillId="6" borderId="0" xfId="0" applyFont="1" applyFill="1"/>
    <xf numFmtId="0" fontId="3" fillId="6" borderId="0" xfId="0" applyFont="1" applyFill="1"/>
    <xf numFmtId="0" fontId="14" fillId="6" borderId="0" xfId="0" applyFont="1" applyFill="1"/>
    <xf numFmtId="0" fontId="0" fillId="2" borderId="0" xfId="0" applyFill="1" applyAlignment="1">
      <alignment horizontal="center"/>
    </xf>
    <xf numFmtId="0" fontId="5" fillId="0" borderId="3" xfId="0" applyFont="1" applyBorder="1" applyAlignment="1">
      <alignment horizontal="left" vertical="top" wrapText="1"/>
    </xf>
    <xf numFmtId="0" fontId="5" fillId="0" borderId="5" xfId="0" applyFont="1" applyBorder="1" applyAlignment="1">
      <alignment horizontal="left" vertical="top" wrapText="1"/>
    </xf>
    <xf numFmtId="0" fontId="5" fillId="0" borderId="8" xfId="0" applyFont="1" applyBorder="1" applyAlignment="1">
      <alignment horizontal="left" vertical="top" wrapText="1"/>
    </xf>
    <xf numFmtId="0" fontId="2" fillId="5" borderId="0" xfId="0" applyFont="1" applyFill="1" applyAlignment="1">
      <alignment horizontal="center"/>
    </xf>
    <xf numFmtId="0" fontId="11" fillId="5" borderId="0" xfId="0" applyFont="1" applyFill="1" applyAlignment="1">
      <alignment horizontal="center"/>
    </xf>
  </cellXfs>
  <cellStyles count="3">
    <cellStyle name="Currency" xfId="1" builtinId="4"/>
    <cellStyle name="Normal" xfId="0" builtinId="0"/>
    <cellStyle name="Percent" xfId="2" builtinId="5"/>
  </cellStyles>
  <dxfs count="9">
    <dxf>
      <font>
        <strike val="0"/>
        <outline val="0"/>
        <shadow val="0"/>
        <u val="none"/>
        <vertAlign val="baseline"/>
        <sz val="12"/>
        <name val="Calibri"/>
        <family val="2"/>
        <scheme val="none"/>
      </font>
    </dxf>
    <dxf>
      <font>
        <strike val="0"/>
        <outline val="0"/>
        <shadow val="0"/>
        <u val="none"/>
        <vertAlign val="baseline"/>
        <sz val="12"/>
        <name val="Calibri"/>
        <family val="2"/>
        <scheme val="none"/>
      </font>
      <alignment horizontal="center" vertical="bottom" textRotation="0" wrapText="0" indent="0" justifyLastLine="0" shrinkToFit="0" readingOrder="0"/>
    </dxf>
    <dxf>
      <font>
        <strike val="0"/>
        <outline val="0"/>
        <shadow val="0"/>
        <u val="none"/>
        <vertAlign val="baseline"/>
        <sz val="12"/>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none"/>
      </font>
      <alignment horizontal="center" vertical="bottom" textRotation="0" wrapText="0" indent="0" justifyLastLine="0" shrinkToFit="0" readingOrder="0"/>
    </dxf>
    <dxf>
      <font>
        <strike val="0"/>
        <outline val="0"/>
        <shadow val="0"/>
        <u val="none"/>
        <vertAlign val="baseline"/>
        <sz val="12"/>
        <name val="Calibri"/>
        <family val="2"/>
        <scheme val="none"/>
      </font>
      <alignment horizontal="center" vertical="bottom" textRotation="0" wrapText="0" indent="0" justifyLastLine="0" shrinkToFit="0" readingOrder="0"/>
    </dxf>
    <dxf>
      <font>
        <strike val="0"/>
        <outline val="0"/>
        <shadow val="0"/>
        <u val="none"/>
        <vertAlign val="baseline"/>
        <sz val="12"/>
        <name val="Calibri"/>
        <family val="2"/>
        <scheme val="none"/>
      </font>
      <alignment horizontal="center" vertical="bottom" textRotation="0" wrapText="0" indent="0" justifyLastLine="0" shrinkToFit="0" readingOrder="0"/>
    </dxf>
    <dxf>
      <font>
        <strike val="0"/>
        <outline val="0"/>
        <shadow val="0"/>
        <u val="none"/>
        <vertAlign val="baseline"/>
        <sz val="12"/>
        <name val="Calibri"/>
        <family val="2"/>
        <scheme val="none"/>
      </font>
      <numFmt numFmtId="164" formatCode="_([$$-409]* #,##0.00_);_([$$-409]* \(#,##0.00\);_([$$-409]* &quot;-&quot;??_);_(@_)"/>
    </dxf>
    <dxf>
      <font>
        <b val="0"/>
        <i val="0"/>
        <strike val="0"/>
        <condense val="0"/>
        <extend val="0"/>
        <outline val="0"/>
        <shadow val="0"/>
        <u val="none"/>
        <vertAlign val="baseline"/>
        <sz val="12"/>
        <color theme="4" tint="-0.249977111117893"/>
        <name val="Calibri"/>
        <family val="2"/>
        <scheme val="none"/>
      </font>
      <fill>
        <patternFill patternType="none">
          <fgColor indexed="64"/>
          <bgColor auto="1"/>
        </patternFill>
      </fill>
    </dxf>
    <dxf>
      <font>
        <strike val="0"/>
        <outline val="0"/>
        <shadow val="0"/>
        <u val="none"/>
        <vertAlign val="baseline"/>
        <sz val="12"/>
        <name val="Calibri"/>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iagrams/colors1.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850E1FC7-CC21-409A-A326-A71A05E489E7}" type="doc">
      <dgm:prSet loTypeId="urn:microsoft.com/office/officeart/2005/8/layout/orgChart1" loCatId="hierarchy" qsTypeId="urn:microsoft.com/office/officeart/2005/8/quickstyle/simple1" qsCatId="simple" csTypeId="urn:microsoft.com/office/officeart/2005/8/colors/accent0_3" csCatId="mainScheme" phldr="1"/>
      <dgm:spPr/>
      <dgm:t>
        <a:bodyPr/>
        <a:lstStyle/>
        <a:p>
          <a:endParaRPr lang="en-US"/>
        </a:p>
      </dgm:t>
    </dgm:pt>
    <dgm:pt modelId="{B698ADFD-76E1-4DE4-BA52-4F86F29DACEA}">
      <dgm:prSet phldrT="[Text]"/>
      <dgm:spPr/>
      <dgm:t>
        <a:bodyPr/>
        <a:lstStyle/>
        <a:p>
          <a:r>
            <a:rPr lang="en-US"/>
            <a:t>CEO</a:t>
          </a:r>
        </a:p>
      </dgm:t>
    </dgm:pt>
    <dgm:pt modelId="{9C79341F-DE45-4979-88FA-4C00FD0A125A}" type="parTrans" cxnId="{BA3BD5EB-39BE-4847-8EF9-266BAF4FB9B2}">
      <dgm:prSet/>
      <dgm:spPr/>
      <dgm:t>
        <a:bodyPr/>
        <a:lstStyle/>
        <a:p>
          <a:endParaRPr lang="en-US"/>
        </a:p>
      </dgm:t>
    </dgm:pt>
    <dgm:pt modelId="{0B7D4CF9-5403-4328-9576-4E241245ED63}" type="sibTrans" cxnId="{BA3BD5EB-39BE-4847-8EF9-266BAF4FB9B2}">
      <dgm:prSet/>
      <dgm:spPr/>
      <dgm:t>
        <a:bodyPr/>
        <a:lstStyle/>
        <a:p>
          <a:endParaRPr lang="en-US"/>
        </a:p>
      </dgm:t>
    </dgm:pt>
    <dgm:pt modelId="{60363492-04BA-4B04-84A3-BE739001E328}">
      <dgm:prSet phldrT="[Text]"/>
      <dgm:spPr/>
      <dgm:t>
        <a:bodyPr/>
        <a:lstStyle/>
        <a:p>
          <a:r>
            <a:rPr lang="en-US"/>
            <a:t>Head of Commercial</a:t>
          </a:r>
        </a:p>
      </dgm:t>
    </dgm:pt>
    <dgm:pt modelId="{69AE3D5F-7B14-49E8-89DE-DAEEF3235E74}" type="parTrans" cxnId="{B76FE13B-4BDF-4D80-9127-3D0B6FB14410}">
      <dgm:prSet/>
      <dgm:spPr/>
      <dgm:t>
        <a:bodyPr/>
        <a:lstStyle/>
        <a:p>
          <a:endParaRPr lang="en-US"/>
        </a:p>
      </dgm:t>
    </dgm:pt>
    <dgm:pt modelId="{997329F0-23CB-4B57-AD6F-80F324E6D1CE}" type="sibTrans" cxnId="{B76FE13B-4BDF-4D80-9127-3D0B6FB14410}">
      <dgm:prSet/>
      <dgm:spPr/>
      <dgm:t>
        <a:bodyPr/>
        <a:lstStyle/>
        <a:p>
          <a:endParaRPr lang="en-US"/>
        </a:p>
      </dgm:t>
    </dgm:pt>
    <dgm:pt modelId="{0AF52561-F47B-4750-AA55-119A5ACACA98}">
      <dgm:prSet phldrT="[Text]"/>
      <dgm:spPr/>
      <dgm:t>
        <a:bodyPr/>
        <a:lstStyle/>
        <a:p>
          <a:r>
            <a:rPr lang="en-US"/>
            <a:t>Chief Medical Officer</a:t>
          </a:r>
        </a:p>
      </dgm:t>
    </dgm:pt>
    <dgm:pt modelId="{081B6E8F-4E4E-4376-9D1C-E9C89C5C7FB6}" type="parTrans" cxnId="{34C5D633-1C3E-4B33-80F4-23B0E43B6576}">
      <dgm:prSet/>
      <dgm:spPr/>
      <dgm:t>
        <a:bodyPr/>
        <a:lstStyle/>
        <a:p>
          <a:endParaRPr lang="en-US"/>
        </a:p>
      </dgm:t>
    </dgm:pt>
    <dgm:pt modelId="{4B62BD3C-35BE-4788-A3D5-5F4012783F37}" type="sibTrans" cxnId="{34C5D633-1C3E-4B33-80F4-23B0E43B6576}">
      <dgm:prSet/>
      <dgm:spPr/>
      <dgm:t>
        <a:bodyPr/>
        <a:lstStyle/>
        <a:p>
          <a:endParaRPr lang="en-US"/>
        </a:p>
      </dgm:t>
    </dgm:pt>
    <dgm:pt modelId="{C8E908C8-85F6-4D30-93F4-C8A69634B94C}">
      <dgm:prSet/>
      <dgm:spPr/>
      <dgm:t>
        <a:bodyPr/>
        <a:lstStyle/>
        <a:p>
          <a:r>
            <a:rPr lang="en-US"/>
            <a:t>Chief Scientific Officer</a:t>
          </a:r>
        </a:p>
      </dgm:t>
    </dgm:pt>
    <dgm:pt modelId="{71D067F9-E97B-4DD1-97EE-41992DF3190B}" type="parTrans" cxnId="{962A14A3-87EB-4C2F-B8FF-A6F94690C706}">
      <dgm:prSet/>
      <dgm:spPr/>
      <dgm:t>
        <a:bodyPr/>
        <a:lstStyle/>
        <a:p>
          <a:endParaRPr lang="en-US"/>
        </a:p>
      </dgm:t>
    </dgm:pt>
    <dgm:pt modelId="{D793686C-A35D-45E8-9EBB-EB6E0B2A48C6}" type="sibTrans" cxnId="{962A14A3-87EB-4C2F-B8FF-A6F94690C706}">
      <dgm:prSet/>
      <dgm:spPr/>
      <dgm:t>
        <a:bodyPr/>
        <a:lstStyle/>
        <a:p>
          <a:endParaRPr lang="en-US"/>
        </a:p>
      </dgm:t>
    </dgm:pt>
    <dgm:pt modelId="{6C770225-A69C-4061-BAA6-67FADBE18C87}">
      <dgm:prSet/>
      <dgm:spPr/>
      <dgm:t>
        <a:bodyPr/>
        <a:lstStyle/>
        <a:p>
          <a:r>
            <a:rPr lang="en-US"/>
            <a:t>Chief Technology Officer</a:t>
          </a:r>
        </a:p>
      </dgm:t>
    </dgm:pt>
    <dgm:pt modelId="{E101F362-4016-48C7-BA28-3B4482A598B7}" type="parTrans" cxnId="{0C3D1C3A-5EB5-4A02-9497-D04D9126644D}">
      <dgm:prSet/>
      <dgm:spPr/>
      <dgm:t>
        <a:bodyPr/>
        <a:lstStyle/>
        <a:p>
          <a:endParaRPr lang="en-US"/>
        </a:p>
      </dgm:t>
    </dgm:pt>
    <dgm:pt modelId="{32A5917A-8395-4156-B233-C22803BB59C0}" type="sibTrans" cxnId="{0C3D1C3A-5EB5-4A02-9497-D04D9126644D}">
      <dgm:prSet/>
      <dgm:spPr/>
      <dgm:t>
        <a:bodyPr/>
        <a:lstStyle/>
        <a:p>
          <a:endParaRPr lang="en-US"/>
        </a:p>
      </dgm:t>
    </dgm:pt>
    <dgm:pt modelId="{BF347F70-DE5F-4CF4-88B9-1262C7B2D7B6}">
      <dgm:prSet/>
      <dgm:spPr/>
      <dgm:t>
        <a:bodyPr/>
        <a:lstStyle/>
        <a:p>
          <a:r>
            <a:rPr lang="en-US"/>
            <a:t>Discovery Lead</a:t>
          </a:r>
        </a:p>
      </dgm:t>
    </dgm:pt>
    <dgm:pt modelId="{AE3D12BF-75AA-43F0-B306-5214E446BE4D}" type="parTrans" cxnId="{63F56B6E-036D-4097-844F-4F31A0FB36F0}">
      <dgm:prSet/>
      <dgm:spPr/>
      <dgm:t>
        <a:bodyPr/>
        <a:lstStyle/>
        <a:p>
          <a:endParaRPr lang="en-US"/>
        </a:p>
      </dgm:t>
    </dgm:pt>
    <dgm:pt modelId="{99CC6025-9AE6-475C-BECB-8668FBDC00E3}" type="sibTrans" cxnId="{63F56B6E-036D-4097-844F-4F31A0FB36F0}">
      <dgm:prSet/>
      <dgm:spPr/>
      <dgm:t>
        <a:bodyPr/>
        <a:lstStyle/>
        <a:p>
          <a:endParaRPr lang="en-US"/>
        </a:p>
      </dgm:t>
    </dgm:pt>
    <dgm:pt modelId="{C866A4BD-6340-4180-92FC-8F657ACC3D25}">
      <dgm:prSet/>
      <dgm:spPr/>
      <dgm:t>
        <a:bodyPr/>
        <a:lstStyle/>
        <a:p>
          <a:r>
            <a:rPr lang="en-US"/>
            <a:t>Preclinical lead</a:t>
          </a:r>
        </a:p>
      </dgm:t>
    </dgm:pt>
    <dgm:pt modelId="{C536C190-8433-4A20-9B57-277529CE32C5}" type="parTrans" cxnId="{56C59923-CF5F-48CF-85C3-7EC920D8713A}">
      <dgm:prSet/>
      <dgm:spPr/>
      <dgm:t>
        <a:bodyPr/>
        <a:lstStyle/>
        <a:p>
          <a:endParaRPr lang="en-US"/>
        </a:p>
      </dgm:t>
    </dgm:pt>
    <dgm:pt modelId="{C2886FB3-B243-410D-BDCE-48E1D1CBA909}" type="sibTrans" cxnId="{56C59923-CF5F-48CF-85C3-7EC920D8713A}">
      <dgm:prSet/>
      <dgm:spPr/>
      <dgm:t>
        <a:bodyPr/>
        <a:lstStyle/>
        <a:p>
          <a:endParaRPr lang="en-US"/>
        </a:p>
      </dgm:t>
    </dgm:pt>
    <dgm:pt modelId="{DF041C4A-9693-44B3-BE3D-73A1E78FE497}">
      <dgm:prSet/>
      <dgm:spPr/>
      <dgm:t>
        <a:bodyPr/>
        <a:lstStyle/>
        <a:p>
          <a:r>
            <a:rPr lang="en-US"/>
            <a:t>Bioinformatics Lead</a:t>
          </a:r>
        </a:p>
      </dgm:t>
    </dgm:pt>
    <dgm:pt modelId="{40F8D58E-04AB-4142-AD40-3C6A8EE20F9B}" type="parTrans" cxnId="{3DE728B0-8C2D-4743-B156-A0CED1EBFCAB}">
      <dgm:prSet/>
      <dgm:spPr/>
      <dgm:t>
        <a:bodyPr/>
        <a:lstStyle/>
        <a:p>
          <a:endParaRPr lang="en-US"/>
        </a:p>
      </dgm:t>
    </dgm:pt>
    <dgm:pt modelId="{6088D9B7-0719-4B58-AE9D-A47E4A5ED4B9}" type="sibTrans" cxnId="{3DE728B0-8C2D-4743-B156-A0CED1EBFCAB}">
      <dgm:prSet/>
      <dgm:spPr/>
      <dgm:t>
        <a:bodyPr/>
        <a:lstStyle/>
        <a:p>
          <a:endParaRPr lang="en-US"/>
        </a:p>
      </dgm:t>
    </dgm:pt>
    <dgm:pt modelId="{609815C6-7F78-4E56-A64E-A58559512902}">
      <dgm:prSet/>
      <dgm:spPr/>
      <dgm:t>
        <a:bodyPr/>
        <a:lstStyle/>
        <a:p>
          <a:r>
            <a:rPr lang="en-US"/>
            <a:t>Translational Lead</a:t>
          </a:r>
        </a:p>
      </dgm:t>
    </dgm:pt>
    <dgm:pt modelId="{394F9C3C-1791-404B-A1B1-4D44B3186E7A}" type="parTrans" cxnId="{76B301AE-0024-4712-B7A0-D0B7965F4A26}">
      <dgm:prSet/>
      <dgm:spPr/>
      <dgm:t>
        <a:bodyPr/>
        <a:lstStyle/>
        <a:p>
          <a:endParaRPr lang="en-US"/>
        </a:p>
      </dgm:t>
    </dgm:pt>
    <dgm:pt modelId="{DECB8B40-837B-46DF-B905-14B476ECFFB1}" type="sibTrans" cxnId="{76B301AE-0024-4712-B7A0-D0B7965F4A26}">
      <dgm:prSet/>
      <dgm:spPr/>
      <dgm:t>
        <a:bodyPr/>
        <a:lstStyle/>
        <a:p>
          <a:endParaRPr lang="en-US"/>
        </a:p>
      </dgm:t>
    </dgm:pt>
    <dgm:pt modelId="{C1EB190F-038D-431F-B679-B25212139997}">
      <dgm:prSet/>
      <dgm:spPr/>
      <dgm:t>
        <a:bodyPr/>
        <a:lstStyle/>
        <a:p>
          <a:r>
            <a:rPr lang="en-US"/>
            <a:t>Clinical Science Lead</a:t>
          </a:r>
        </a:p>
      </dgm:t>
    </dgm:pt>
    <dgm:pt modelId="{77F5274C-0998-4E42-AB3E-F6C34697AB71}" type="parTrans" cxnId="{3E0F469E-4B50-4E5A-98D0-279325259CA3}">
      <dgm:prSet/>
      <dgm:spPr/>
      <dgm:t>
        <a:bodyPr/>
        <a:lstStyle/>
        <a:p>
          <a:endParaRPr lang="en-US"/>
        </a:p>
      </dgm:t>
    </dgm:pt>
    <dgm:pt modelId="{04AE83A6-6250-469D-93EB-9B0A46E3E0A1}" type="sibTrans" cxnId="{3E0F469E-4B50-4E5A-98D0-279325259CA3}">
      <dgm:prSet/>
      <dgm:spPr/>
      <dgm:t>
        <a:bodyPr/>
        <a:lstStyle/>
        <a:p>
          <a:endParaRPr lang="en-US"/>
        </a:p>
      </dgm:t>
    </dgm:pt>
    <dgm:pt modelId="{993DFAFC-8AA8-448A-9AE0-B2AEB319A240}">
      <dgm:prSet/>
      <dgm:spPr/>
      <dgm:t>
        <a:bodyPr/>
        <a:lstStyle/>
        <a:p>
          <a:r>
            <a:rPr lang="en-US"/>
            <a:t>Process Dev &amp; MSAT Lead</a:t>
          </a:r>
        </a:p>
      </dgm:t>
    </dgm:pt>
    <dgm:pt modelId="{3832FCBD-354F-4EED-B7B1-CA08238BDB9C}" type="parTrans" cxnId="{297614D8-46E4-4E10-9065-2030505C760D}">
      <dgm:prSet/>
      <dgm:spPr/>
      <dgm:t>
        <a:bodyPr/>
        <a:lstStyle/>
        <a:p>
          <a:endParaRPr lang="en-US"/>
        </a:p>
      </dgm:t>
    </dgm:pt>
    <dgm:pt modelId="{B3C105EF-B435-476F-A1AE-8978F65E516A}" type="sibTrans" cxnId="{297614D8-46E4-4E10-9065-2030505C760D}">
      <dgm:prSet/>
      <dgm:spPr/>
      <dgm:t>
        <a:bodyPr/>
        <a:lstStyle/>
        <a:p>
          <a:endParaRPr lang="en-US"/>
        </a:p>
      </dgm:t>
    </dgm:pt>
    <dgm:pt modelId="{12600696-E363-4901-9CFD-D456EBD63348}">
      <dgm:prSet/>
      <dgm:spPr/>
      <dgm:t>
        <a:bodyPr/>
        <a:lstStyle/>
        <a:p>
          <a:r>
            <a:rPr lang="en-US"/>
            <a:t>Analytical Lead</a:t>
          </a:r>
        </a:p>
      </dgm:t>
    </dgm:pt>
    <dgm:pt modelId="{A8F67239-EBD4-4C14-A7CA-F992321F1EA9}" type="parTrans" cxnId="{5563C7F7-33F4-4CE7-90C5-12061B6CEA6C}">
      <dgm:prSet/>
      <dgm:spPr/>
      <dgm:t>
        <a:bodyPr/>
        <a:lstStyle/>
        <a:p>
          <a:endParaRPr lang="en-US"/>
        </a:p>
      </dgm:t>
    </dgm:pt>
    <dgm:pt modelId="{CD06744A-8821-4BD9-B93C-FA0631CA04C9}" type="sibTrans" cxnId="{5563C7F7-33F4-4CE7-90C5-12061B6CEA6C}">
      <dgm:prSet/>
      <dgm:spPr/>
      <dgm:t>
        <a:bodyPr/>
        <a:lstStyle/>
        <a:p>
          <a:endParaRPr lang="en-US"/>
        </a:p>
      </dgm:t>
    </dgm:pt>
    <dgm:pt modelId="{DE321B2D-3228-4E0B-AA02-72F848871083}">
      <dgm:prSet/>
      <dgm:spPr/>
      <dgm:t>
        <a:bodyPr/>
        <a:lstStyle/>
        <a:p>
          <a:r>
            <a:rPr lang="en-US"/>
            <a:t>Mfg  Lead</a:t>
          </a:r>
        </a:p>
      </dgm:t>
    </dgm:pt>
    <dgm:pt modelId="{D9F34423-5421-4D6F-8292-3C295300500B}" type="parTrans" cxnId="{F679EBDB-8B7F-4A18-B9BC-87A445345AEE}">
      <dgm:prSet/>
      <dgm:spPr/>
      <dgm:t>
        <a:bodyPr/>
        <a:lstStyle/>
        <a:p>
          <a:endParaRPr lang="en-US"/>
        </a:p>
      </dgm:t>
    </dgm:pt>
    <dgm:pt modelId="{4FA9FB2F-C07A-4263-B4AE-DAF4F9FBF7A2}" type="sibTrans" cxnId="{F679EBDB-8B7F-4A18-B9BC-87A445345AEE}">
      <dgm:prSet/>
      <dgm:spPr/>
      <dgm:t>
        <a:bodyPr/>
        <a:lstStyle/>
        <a:p>
          <a:endParaRPr lang="en-US"/>
        </a:p>
      </dgm:t>
    </dgm:pt>
    <dgm:pt modelId="{4AF91569-3E93-4243-91F1-D87D06AA6807}">
      <dgm:prSet/>
      <dgm:spPr/>
      <dgm:t>
        <a:bodyPr/>
        <a:lstStyle/>
        <a:p>
          <a:r>
            <a:rPr lang="en-US"/>
            <a:t>Formulation Lead</a:t>
          </a:r>
        </a:p>
      </dgm:t>
    </dgm:pt>
    <dgm:pt modelId="{078CD76A-1F6A-474A-B26F-40D3E6549551}" type="parTrans" cxnId="{E8B59D0E-EBA4-4D94-8135-1F01C1285462}">
      <dgm:prSet/>
      <dgm:spPr/>
      <dgm:t>
        <a:bodyPr/>
        <a:lstStyle/>
        <a:p>
          <a:endParaRPr lang="en-US"/>
        </a:p>
      </dgm:t>
    </dgm:pt>
    <dgm:pt modelId="{5DC613B3-382E-469B-892A-874FA0C60324}" type="sibTrans" cxnId="{E8B59D0E-EBA4-4D94-8135-1F01C1285462}">
      <dgm:prSet/>
      <dgm:spPr/>
      <dgm:t>
        <a:bodyPr/>
        <a:lstStyle/>
        <a:p>
          <a:endParaRPr lang="en-US"/>
        </a:p>
      </dgm:t>
    </dgm:pt>
    <dgm:pt modelId="{0A81DEF6-E3F1-4647-B2D7-FA2BE7F8682B}">
      <dgm:prSet/>
      <dgm:spPr/>
      <dgm:t>
        <a:bodyPr/>
        <a:lstStyle/>
        <a:p>
          <a:r>
            <a:rPr lang="en-US"/>
            <a:t>Clinical Development</a:t>
          </a:r>
        </a:p>
      </dgm:t>
    </dgm:pt>
    <dgm:pt modelId="{3C99512E-E43B-4644-86E8-0C9DC2163D15}" type="parTrans" cxnId="{9F640E3F-7869-4B4C-A647-C41B4CCCAC3B}">
      <dgm:prSet/>
      <dgm:spPr/>
      <dgm:t>
        <a:bodyPr/>
        <a:lstStyle/>
        <a:p>
          <a:endParaRPr lang="en-US"/>
        </a:p>
      </dgm:t>
    </dgm:pt>
    <dgm:pt modelId="{C6CFEA5E-5C1A-41ED-A7AB-E07CBA970CCB}" type="sibTrans" cxnId="{9F640E3F-7869-4B4C-A647-C41B4CCCAC3B}">
      <dgm:prSet/>
      <dgm:spPr/>
      <dgm:t>
        <a:bodyPr/>
        <a:lstStyle/>
        <a:p>
          <a:endParaRPr lang="en-US"/>
        </a:p>
      </dgm:t>
    </dgm:pt>
    <dgm:pt modelId="{B0188D36-A244-4344-B86D-2B6363E74420}">
      <dgm:prSet/>
      <dgm:spPr/>
      <dgm:t>
        <a:bodyPr/>
        <a:lstStyle/>
        <a:p>
          <a:r>
            <a:rPr lang="en-US"/>
            <a:t>Regulatory Lead</a:t>
          </a:r>
        </a:p>
      </dgm:t>
    </dgm:pt>
    <dgm:pt modelId="{D535AB54-90B9-415B-A78E-35A8B51CEE63}" type="parTrans" cxnId="{ED4890B9-02DF-4781-BBF4-5BBD385A1D07}">
      <dgm:prSet/>
      <dgm:spPr/>
      <dgm:t>
        <a:bodyPr/>
        <a:lstStyle/>
        <a:p>
          <a:endParaRPr lang="en-US"/>
        </a:p>
      </dgm:t>
    </dgm:pt>
    <dgm:pt modelId="{8D88A0D2-9B04-444D-B633-538DAD89FCD8}" type="sibTrans" cxnId="{ED4890B9-02DF-4781-BBF4-5BBD385A1D07}">
      <dgm:prSet/>
      <dgm:spPr/>
      <dgm:t>
        <a:bodyPr/>
        <a:lstStyle/>
        <a:p>
          <a:endParaRPr lang="en-US"/>
        </a:p>
      </dgm:t>
    </dgm:pt>
    <dgm:pt modelId="{0C2266FE-3C00-4322-894D-B7093C946382}">
      <dgm:prSet/>
      <dgm:spPr/>
      <dgm:t>
        <a:bodyPr/>
        <a:lstStyle/>
        <a:p>
          <a:r>
            <a:rPr lang="en-US"/>
            <a:t>Head of Investor Relations</a:t>
          </a:r>
        </a:p>
      </dgm:t>
    </dgm:pt>
    <dgm:pt modelId="{9C79AA53-1DB3-4CE7-B810-5F887EFBF432}" type="parTrans" cxnId="{07510EA3-ABF6-4453-BC9C-BE95E492D0C9}">
      <dgm:prSet/>
      <dgm:spPr/>
      <dgm:t>
        <a:bodyPr/>
        <a:lstStyle/>
        <a:p>
          <a:endParaRPr lang="en-US"/>
        </a:p>
      </dgm:t>
    </dgm:pt>
    <dgm:pt modelId="{DE1C912A-B245-40E6-9B7A-93B535332FAB}" type="sibTrans" cxnId="{07510EA3-ABF6-4453-BC9C-BE95E492D0C9}">
      <dgm:prSet/>
      <dgm:spPr/>
      <dgm:t>
        <a:bodyPr/>
        <a:lstStyle/>
        <a:p>
          <a:endParaRPr lang="en-US"/>
        </a:p>
      </dgm:t>
    </dgm:pt>
    <dgm:pt modelId="{D2D90689-B900-45B4-B160-44EEAEF88A29}">
      <dgm:prSet/>
      <dgm:spPr/>
      <dgm:t>
        <a:bodyPr/>
        <a:lstStyle/>
        <a:p>
          <a:r>
            <a:rPr lang="en-US"/>
            <a:t>General Counsel</a:t>
          </a:r>
        </a:p>
      </dgm:t>
    </dgm:pt>
    <dgm:pt modelId="{0EFCFF31-922C-47DB-87F8-7A269CABA411}" type="parTrans" cxnId="{87E0606E-7C0B-49ED-A8A7-4EADDF196057}">
      <dgm:prSet/>
      <dgm:spPr/>
      <dgm:t>
        <a:bodyPr/>
        <a:lstStyle/>
        <a:p>
          <a:endParaRPr lang="en-US"/>
        </a:p>
      </dgm:t>
    </dgm:pt>
    <dgm:pt modelId="{0E464D17-7530-4885-BF45-A5F46FA6C18D}" type="sibTrans" cxnId="{87E0606E-7C0B-49ED-A8A7-4EADDF196057}">
      <dgm:prSet/>
      <dgm:spPr/>
      <dgm:t>
        <a:bodyPr/>
        <a:lstStyle/>
        <a:p>
          <a:endParaRPr lang="en-US"/>
        </a:p>
      </dgm:t>
    </dgm:pt>
    <dgm:pt modelId="{8B312E0D-413C-479E-AC1C-B8E08795764E}">
      <dgm:prSet/>
      <dgm:spPr/>
      <dgm:t>
        <a:bodyPr/>
        <a:lstStyle/>
        <a:p>
          <a:r>
            <a:rPr lang="en-US"/>
            <a:t>Head of Search &amp; Evaluation</a:t>
          </a:r>
        </a:p>
      </dgm:t>
    </dgm:pt>
    <dgm:pt modelId="{DE90483C-8233-44DE-918D-7DFAFBA08FFF}" type="parTrans" cxnId="{7AF9CCEA-753E-4321-8E85-4154EB33C97C}">
      <dgm:prSet/>
      <dgm:spPr/>
      <dgm:t>
        <a:bodyPr/>
        <a:lstStyle/>
        <a:p>
          <a:endParaRPr lang="en-US"/>
        </a:p>
      </dgm:t>
    </dgm:pt>
    <dgm:pt modelId="{0DFCC30C-511E-4F13-8565-A8FDCDF84705}" type="sibTrans" cxnId="{7AF9CCEA-753E-4321-8E85-4154EB33C97C}">
      <dgm:prSet/>
      <dgm:spPr/>
      <dgm:t>
        <a:bodyPr/>
        <a:lstStyle/>
        <a:p>
          <a:endParaRPr lang="en-US"/>
        </a:p>
      </dgm:t>
    </dgm:pt>
    <dgm:pt modelId="{024D5808-B1F2-4377-BC94-5CF8AE8F86CD}">
      <dgm:prSet/>
      <dgm:spPr/>
      <dgm:t>
        <a:bodyPr/>
        <a:lstStyle/>
        <a:p>
          <a:r>
            <a:rPr lang="en-US"/>
            <a:t>Head of FP&amp;A</a:t>
          </a:r>
        </a:p>
      </dgm:t>
    </dgm:pt>
    <dgm:pt modelId="{DB0EEAA7-2DCE-4CB6-BBA0-7EE020DFF436}" type="parTrans" cxnId="{34ADBC92-2B75-4ECC-9EDE-C1B75774E54B}">
      <dgm:prSet/>
      <dgm:spPr/>
      <dgm:t>
        <a:bodyPr/>
        <a:lstStyle/>
        <a:p>
          <a:endParaRPr lang="en-US"/>
        </a:p>
      </dgm:t>
    </dgm:pt>
    <dgm:pt modelId="{68EAC14F-45DA-4134-8682-856AF6316030}" type="sibTrans" cxnId="{34ADBC92-2B75-4ECC-9EDE-C1B75774E54B}">
      <dgm:prSet/>
      <dgm:spPr/>
      <dgm:t>
        <a:bodyPr/>
        <a:lstStyle/>
        <a:p>
          <a:endParaRPr lang="en-US"/>
        </a:p>
      </dgm:t>
    </dgm:pt>
    <dgm:pt modelId="{62EB4C9E-EB7B-4966-BC18-A947B8E1C0DE}">
      <dgm:prSet/>
      <dgm:spPr/>
      <dgm:t>
        <a:bodyPr/>
        <a:lstStyle/>
        <a:p>
          <a:r>
            <a:rPr lang="en-US"/>
            <a:t>Supply Chain Lead</a:t>
          </a:r>
        </a:p>
      </dgm:t>
    </dgm:pt>
    <dgm:pt modelId="{3F2980DD-6BA6-4E35-B30F-90CFAD9E45AF}" type="parTrans" cxnId="{9AE684F3-BEEA-4AA8-AA63-F6E0ED109748}">
      <dgm:prSet/>
      <dgm:spPr/>
      <dgm:t>
        <a:bodyPr/>
        <a:lstStyle/>
        <a:p>
          <a:endParaRPr lang="en-US"/>
        </a:p>
      </dgm:t>
    </dgm:pt>
    <dgm:pt modelId="{9BC92D6B-4711-4B99-AD06-81A39B39839A}" type="sibTrans" cxnId="{9AE684F3-BEEA-4AA8-AA63-F6E0ED109748}">
      <dgm:prSet/>
      <dgm:spPr/>
      <dgm:t>
        <a:bodyPr/>
        <a:lstStyle/>
        <a:p>
          <a:endParaRPr lang="en-US"/>
        </a:p>
      </dgm:t>
    </dgm:pt>
    <dgm:pt modelId="{E1EC7DD9-A262-4CA4-9ADF-9196CE40DD78}">
      <dgm:prSet/>
      <dgm:spPr/>
      <dgm:t>
        <a:bodyPr/>
        <a:lstStyle/>
        <a:p>
          <a:r>
            <a:rPr lang="en-US"/>
            <a:t>QC Lead</a:t>
          </a:r>
        </a:p>
      </dgm:t>
    </dgm:pt>
    <dgm:pt modelId="{6406C50A-538B-48E7-94A2-3AE7DB468DEC}" type="parTrans" cxnId="{A8BD03E2-0B86-467E-96C6-B56C1BDE3E46}">
      <dgm:prSet/>
      <dgm:spPr/>
      <dgm:t>
        <a:bodyPr/>
        <a:lstStyle/>
        <a:p>
          <a:endParaRPr lang="en-US"/>
        </a:p>
      </dgm:t>
    </dgm:pt>
    <dgm:pt modelId="{9848D449-C4C9-406F-A21D-1439A4908274}" type="sibTrans" cxnId="{A8BD03E2-0B86-467E-96C6-B56C1BDE3E46}">
      <dgm:prSet/>
      <dgm:spPr/>
      <dgm:t>
        <a:bodyPr/>
        <a:lstStyle/>
        <a:p>
          <a:endParaRPr lang="en-US"/>
        </a:p>
      </dgm:t>
    </dgm:pt>
    <dgm:pt modelId="{F18F62E7-3302-4459-815C-9E960BD06FF4}">
      <dgm:prSet/>
      <dgm:spPr/>
      <dgm:t>
        <a:bodyPr/>
        <a:lstStyle/>
        <a:p>
          <a:r>
            <a:rPr lang="en-US"/>
            <a:t>PV &amp; Drug Safety</a:t>
          </a:r>
        </a:p>
      </dgm:t>
    </dgm:pt>
    <dgm:pt modelId="{A24A7986-5E06-4DB4-A040-248BB95936FE}" type="parTrans" cxnId="{7D645AFB-AA53-40B0-A628-73EDB3D18FE2}">
      <dgm:prSet/>
      <dgm:spPr/>
      <dgm:t>
        <a:bodyPr/>
        <a:lstStyle/>
        <a:p>
          <a:endParaRPr lang="en-US"/>
        </a:p>
      </dgm:t>
    </dgm:pt>
    <dgm:pt modelId="{7740EA85-4E3D-430A-97E4-A50A68C4BBE6}" type="sibTrans" cxnId="{7D645AFB-AA53-40B0-A628-73EDB3D18FE2}">
      <dgm:prSet/>
      <dgm:spPr/>
      <dgm:t>
        <a:bodyPr/>
        <a:lstStyle/>
        <a:p>
          <a:endParaRPr lang="en-US"/>
        </a:p>
      </dgm:t>
    </dgm:pt>
    <dgm:pt modelId="{53725EB7-C21B-442D-9D83-7E3DF1C9D975}">
      <dgm:prSet/>
      <dgm:spPr/>
      <dgm:t>
        <a:bodyPr/>
        <a:lstStyle/>
        <a:p>
          <a:r>
            <a:rPr lang="en-US"/>
            <a:t>Medical Writing</a:t>
          </a:r>
        </a:p>
      </dgm:t>
    </dgm:pt>
    <dgm:pt modelId="{E928F621-F44B-4B19-9A40-E1E7D95D62D2}" type="parTrans" cxnId="{7BD3CA38-7A8C-433D-97A4-48A5CFAB1034}">
      <dgm:prSet/>
      <dgm:spPr/>
      <dgm:t>
        <a:bodyPr/>
        <a:lstStyle/>
        <a:p>
          <a:endParaRPr lang="en-US"/>
        </a:p>
      </dgm:t>
    </dgm:pt>
    <dgm:pt modelId="{A2F66AE0-4CE1-4423-A753-3C94AB799048}" type="sibTrans" cxnId="{7BD3CA38-7A8C-433D-97A4-48A5CFAB1034}">
      <dgm:prSet/>
      <dgm:spPr/>
      <dgm:t>
        <a:bodyPr/>
        <a:lstStyle/>
        <a:p>
          <a:endParaRPr lang="en-US"/>
        </a:p>
      </dgm:t>
    </dgm:pt>
    <dgm:pt modelId="{C1685FB9-42EE-4995-88D6-ECF2C285D9A2}">
      <dgm:prSet/>
      <dgm:spPr/>
      <dgm:t>
        <a:bodyPr/>
        <a:lstStyle/>
        <a:p>
          <a:r>
            <a:rPr lang="en-US"/>
            <a:t>Medical Affairs</a:t>
          </a:r>
        </a:p>
      </dgm:t>
    </dgm:pt>
    <dgm:pt modelId="{0B91BB53-95C1-48AD-B94C-EBF4816F57B6}" type="parTrans" cxnId="{8A8A6ACA-75DF-417D-B837-B2FDE23F7745}">
      <dgm:prSet/>
      <dgm:spPr/>
      <dgm:t>
        <a:bodyPr/>
        <a:lstStyle/>
        <a:p>
          <a:endParaRPr lang="en-US"/>
        </a:p>
      </dgm:t>
    </dgm:pt>
    <dgm:pt modelId="{6EE319C9-B182-428B-8E06-BAE9EB6E3693}" type="sibTrans" cxnId="{8A8A6ACA-75DF-417D-B837-B2FDE23F7745}">
      <dgm:prSet/>
      <dgm:spPr/>
      <dgm:t>
        <a:bodyPr/>
        <a:lstStyle/>
        <a:p>
          <a:endParaRPr lang="en-US"/>
        </a:p>
      </dgm:t>
    </dgm:pt>
    <dgm:pt modelId="{AFB55023-5E33-45D3-BD64-E35595BA71D0}">
      <dgm:prSet/>
      <dgm:spPr/>
      <dgm:t>
        <a:bodyPr/>
        <a:lstStyle/>
        <a:p>
          <a:r>
            <a:rPr lang="en-US"/>
            <a:t>Clin Ops Lead</a:t>
          </a:r>
        </a:p>
      </dgm:t>
    </dgm:pt>
    <dgm:pt modelId="{AEFBAA8D-4C35-456F-8698-23100AED96C5}" type="parTrans" cxnId="{BE72B97C-E19A-4BB6-855D-70FCBC4CE526}">
      <dgm:prSet/>
      <dgm:spPr/>
      <dgm:t>
        <a:bodyPr/>
        <a:lstStyle/>
        <a:p>
          <a:endParaRPr lang="en-US"/>
        </a:p>
      </dgm:t>
    </dgm:pt>
    <dgm:pt modelId="{AB091329-F386-48C3-B554-A28873E85EA0}" type="sibTrans" cxnId="{BE72B97C-E19A-4BB6-855D-70FCBC4CE526}">
      <dgm:prSet/>
      <dgm:spPr/>
      <dgm:t>
        <a:bodyPr/>
        <a:lstStyle/>
        <a:p>
          <a:endParaRPr lang="en-US"/>
        </a:p>
      </dgm:t>
    </dgm:pt>
    <dgm:pt modelId="{08AD9805-0E8F-4058-A75E-D504D881B28A}">
      <dgm:prSet/>
      <dgm:spPr/>
      <dgm:t>
        <a:bodyPr/>
        <a:lstStyle/>
        <a:p>
          <a:r>
            <a:rPr lang="en-US"/>
            <a:t>Biometrics Lead</a:t>
          </a:r>
        </a:p>
      </dgm:t>
    </dgm:pt>
    <dgm:pt modelId="{C55DE831-7D65-4A6F-A342-125BA52D78BD}" type="parTrans" cxnId="{FC4108A5-BD55-4FCF-83A9-B15951607AA4}">
      <dgm:prSet/>
      <dgm:spPr/>
      <dgm:t>
        <a:bodyPr/>
        <a:lstStyle/>
        <a:p>
          <a:endParaRPr lang="en-US"/>
        </a:p>
      </dgm:t>
    </dgm:pt>
    <dgm:pt modelId="{9257750E-B257-4AF5-A23C-27F335FC3FEF}" type="sibTrans" cxnId="{FC4108A5-BD55-4FCF-83A9-B15951607AA4}">
      <dgm:prSet/>
      <dgm:spPr/>
      <dgm:t>
        <a:bodyPr/>
        <a:lstStyle/>
        <a:p>
          <a:endParaRPr lang="en-US"/>
        </a:p>
      </dgm:t>
    </dgm:pt>
    <dgm:pt modelId="{84C9ACEE-76E2-4C94-B108-4EE3298B7ACA}">
      <dgm:prSet/>
      <dgm:spPr/>
      <dgm:t>
        <a:bodyPr/>
        <a:lstStyle/>
        <a:p>
          <a:r>
            <a:rPr lang="en-US"/>
            <a:t>Quality Assurance Lead</a:t>
          </a:r>
        </a:p>
      </dgm:t>
    </dgm:pt>
    <dgm:pt modelId="{52ACEE0F-D679-467F-AF02-ECCA8CF27625}" type="parTrans" cxnId="{CBCC7142-7C55-45B8-AFC0-320C493DEFAF}">
      <dgm:prSet/>
      <dgm:spPr/>
      <dgm:t>
        <a:bodyPr/>
        <a:lstStyle/>
        <a:p>
          <a:endParaRPr lang="en-US"/>
        </a:p>
      </dgm:t>
    </dgm:pt>
    <dgm:pt modelId="{F7D95868-C0FD-4D98-A3B7-3624C43D26E3}" type="sibTrans" cxnId="{CBCC7142-7C55-45B8-AFC0-320C493DEFAF}">
      <dgm:prSet/>
      <dgm:spPr/>
      <dgm:t>
        <a:bodyPr/>
        <a:lstStyle/>
        <a:p>
          <a:endParaRPr lang="en-US"/>
        </a:p>
      </dgm:t>
    </dgm:pt>
    <dgm:pt modelId="{F5BAD451-8CA6-4BB2-B4C8-F8CD693DD96A}">
      <dgm:prSet/>
      <dgm:spPr/>
      <dgm:t>
        <a:bodyPr/>
        <a:lstStyle/>
        <a:p>
          <a:r>
            <a:rPr lang="en-US"/>
            <a:t>Program&amp; Alliance Management</a:t>
          </a:r>
        </a:p>
      </dgm:t>
    </dgm:pt>
    <dgm:pt modelId="{1F96B63A-0264-4209-B5BB-5B95451DC40D}" type="parTrans" cxnId="{85894BA3-32CC-41E1-B467-2C01FB426B65}">
      <dgm:prSet/>
      <dgm:spPr/>
      <dgm:t>
        <a:bodyPr/>
        <a:lstStyle/>
        <a:p>
          <a:endParaRPr lang="en-US"/>
        </a:p>
      </dgm:t>
    </dgm:pt>
    <dgm:pt modelId="{282D2834-D018-483F-ADD3-5D3E1D286156}" type="sibTrans" cxnId="{85894BA3-32CC-41E1-B467-2C01FB426B65}">
      <dgm:prSet/>
      <dgm:spPr/>
      <dgm:t>
        <a:bodyPr/>
        <a:lstStyle/>
        <a:p>
          <a:endParaRPr lang="en-US"/>
        </a:p>
      </dgm:t>
    </dgm:pt>
    <dgm:pt modelId="{CD54AB01-754C-4C2C-BD09-99EEE0D5FA40}">
      <dgm:prSet phldrT="[Text]"/>
      <dgm:spPr/>
      <dgm:t>
        <a:bodyPr/>
        <a:lstStyle/>
        <a:p>
          <a:r>
            <a:rPr lang="en-US"/>
            <a:t>HEOR</a:t>
          </a:r>
        </a:p>
      </dgm:t>
    </dgm:pt>
    <dgm:pt modelId="{BA6002D9-52AC-478F-ADF8-F3196CE789E4}" type="parTrans" cxnId="{947AF439-A21F-4F82-8778-BA1A9C5B27A3}">
      <dgm:prSet/>
      <dgm:spPr/>
      <dgm:t>
        <a:bodyPr/>
        <a:lstStyle/>
        <a:p>
          <a:endParaRPr lang="en-US"/>
        </a:p>
      </dgm:t>
    </dgm:pt>
    <dgm:pt modelId="{F9ACF918-12CC-41E7-BB85-C80779B1748E}" type="sibTrans" cxnId="{947AF439-A21F-4F82-8778-BA1A9C5B27A3}">
      <dgm:prSet/>
      <dgm:spPr/>
      <dgm:t>
        <a:bodyPr/>
        <a:lstStyle/>
        <a:p>
          <a:endParaRPr lang="en-US"/>
        </a:p>
      </dgm:t>
    </dgm:pt>
    <dgm:pt modelId="{D3E4E4A7-A6B3-46E6-8D70-29DB760F4EA3}">
      <dgm:prSet phldrT="[Text]"/>
      <dgm:spPr/>
      <dgm:t>
        <a:bodyPr/>
        <a:lstStyle/>
        <a:p>
          <a:r>
            <a:rPr lang="en-US"/>
            <a:t>Commercial Ops</a:t>
          </a:r>
        </a:p>
      </dgm:t>
    </dgm:pt>
    <dgm:pt modelId="{91A1C10F-81C8-4816-8438-835D389BA321}" type="parTrans" cxnId="{953C10BB-66BB-4E2E-B708-B691C5CA6A84}">
      <dgm:prSet/>
      <dgm:spPr/>
      <dgm:t>
        <a:bodyPr/>
        <a:lstStyle/>
        <a:p>
          <a:endParaRPr lang="en-US"/>
        </a:p>
      </dgm:t>
    </dgm:pt>
    <dgm:pt modelId="{818CC659-4B19-40AB-AC13-DD96D4819DD1}" type="sibTrans" cxnId="{953C10BB-66BB-4E2E-B708-B691C5CA6A84}">
      <dgm:prSet/>
      <dgm:spPr/>
      <dgm:t>
        <a:bodyPr/>
        <a:lstStyle/>
        <a:p>
          <a:endParaRPr lang="en-US"/>
        </a:p>
      </dgm:t>
    </dgm:pt>
    <dgm:pt modelId="{2700CC09-FD1B-4961-B515-C6DB55152023}">
      <dgm:prSet phldrT="[Text]"/>
      <dgm:spPr/>
      <dgm:t>
        <a:bodyPr/>
        <a:lstStyle/>
        <a:p>
          <a:r>
            <a:rPr lang="en-US"/>
            <a:t>Sales</a:t>
          </a:r>
        </a:p>
      </dgm:t>
    </dgm:pt>
    <dgm:pt modelId="{D05D876B-C47F-47CC-9E89-5BF76AF30457}" type="parTrans" cxnId="{0DC2B49E-1E93-420B-A1ED-88F6ECAEECA4}">
      <dgm:prSet/>
      <dgm:spPr/>
      <dgm:t>
        <a:bodyPr/>
        <a:lstStyle/>
        <a:p>
          <a:endParaRPr lang="en-US"/>
        </a:p>
      </dgm:t>
    </dgm:pt>
    <dgm:pt modelId="{078F05EF-CD0D-41A5-AAA5-03236206C85A}" type="sibTrans" cxnId="{0DC2B49E-1E93-420B-A1ED-88F6ECAEECA4}">
      <dgm:prSet/>
      <dgm:spPr/>
      <dgm:t>
        <a:bodyPr/>
        <a:lstStyle/>
        <a:p>
          <a:endParaRPr lang="en-US"/>
        </a:p>
      </dgm:t>
    </dgm:pt>
    <dgm:pt modelId="{CCDF5A1F-8583-4BF2-B848-C259A549D889}">
      <dgm:prSet phldrT="[Text]"/>
      <dgm:spPr/>
      <dgm:t>
        <a:bodyPr/>
        <a:lstStyle/>
        <a:p>
          <a:r>
            <a:rPr lang="en-US"/>
            <a:t>Marketing</a:t>
          </a:r>
        </a:p>
      </dgm:t>
    </dgm:pt>
    <dgm:pt modelId="{F73D03AA-3FD0-4DD8-BACA-062435E885F0}" type="parTrans" cxnId="{C138E585-F34F-4110-8185-0695FAD87A9E}">
      <dgm:prSet/>
      <dgm:spPr/>
      <dgm:t>
        <a:bodyPr/>
        <a:lstStyle/>
        <a:p>
          <a:endParaRPr lang="en-US"/>
        </a:p>
      </dgm:t>
    </dgm:pt>
    <dgm:pt modelId="{69F84B8C-6B29-4937-B262-7DAD9A5B3566}" type="sibTrans" cxnId="{C138E585-F34F-4110-8185-0695FAD87A9E}">
      <dgm:prSet/>
      <dgm:spPr/>
      <dgm:t>
        <a:bodyPr/>
        <a:lstStyle/>
        <a:p>
          <a:endParaRPr lang="en-US"/>
        </a:p>
      </dgm:t>
    </dgm:pt>
    <dgm:pt modelId="{25DB0AB0-EA8E-4AE9-AB36-F7B85FD25245}">
      <dgm:prSet phldrT="[Text]"/>
      <dgm:spPr/>
      <dgm:t>
        <a:bodyPr/>
        <a:lstStyle/>
        <a:p>
          <a:r>
            <a:rPr lang="en-US"/>
            <a:t>Chief People Officer</a:t>
          </a:r>
        </a:p>
      </dgm:t>
    </dgm:pt>
    <dgm:pt modelId="{F8CA545D-0688-41FE-BF67-7A4A6DF6922F}" type="parTrans" cxnId="{E12FB5C1-9ABC-4896-82D6-8B7E4BF1EC01}">
      <dgm:prSet/>
      <dgm:spPr/>
      <dgm:t>
        <a:bodyPr/>
        <a:lstStyle/>
        <a:p>
          <a:endParaRPr lang="en-US"/>
        </a:p>
      </dgm:t>
    </dgm:pt>
    <dgm:pt modelId="{4E1A2FFA-A3D5-49E7-B6EB-B57C4ADC308A}" type="sibTrans" cxnId="{E12FB5C1-9ABC-4896-82D6-8B7E4BF1EC01}">
      <dgm:prSet/>
      <dgm:spPr/>
      <dgm:t>
        <a:bodyPr/>
        <a:lstStyle/>
        <a:p>
          <a:endParaRPr lang="en-US"/>
        </a:p>
      </dgm:t>
    </dgm:pt>
    <dgm:pt modelId="{AC41D3C9-090E-46C2-9A47-242B134658A4}">
      <dgm:prSet/>
      <dgm:spPr/>
      <dgm:t>
        <a:bodyPr/>
        <a:lstStyle/>
        <a:p>
          <a:r>
            <a:rPr lang="en-US"/>
            <a:t>Head of Payroll &amp; Compensation</a:t>
          </a:r>
        </a:p>
      </dgm:t>
    </dgm:pt>
    <dgm:pt modelId="{0296AFE2-2F35-497D-A56D-44B3DF16D562}" type="parTrans" cxnId="{8F037F4A-E37E-4080-A12E-25E6E6FA506F}">
      <dgm:prSet/>
      <dgm:spPr/>
      <dgm:t>
        <a:bodyPr/>
        <a:lstStyle/>
        <a:p>
          <a:endParaRPr lang="en-US"/>
        </a:p>
      </dgm:t>
    </dgm:pt>
    <dgm:pt modelId="{3E55BB20-3DC7-4162-9D4C-6E73F8A81866}" type="sibTrans" cxnId="{8F037F4A-E37E-4080-A12E-25E6E6FA506F}">
      <dgm:prSet/>
      <dgm:spPr/>
      <dgm:t>
        <a:bodyPr/>
        <a:lstStyle/>
        <a:p>
          <a:endParaRPr lang="en-US"/>
        </a:p>
      </dgm:t>
    </dgm:pt>
    <dgm:pt modelId="{2667D78E-B9B9-4247-9606-C7D3086CFAD3}">
      <dgm:prSet/>
      <dgm:spPr/>
      <dgm:t>
        <a:bodyPr/>
        <a:lstStyle/>
        <a:p>
          <a:r>
            <a:rPr lang="en-US"/>
            <a:t>Head of Business Development</a:t>
          </a:r>
        </a:p>
      </dgm:t>
    </dgm:pt>
    <dgm:pt modelId="{EE6B5098-5939-476F-99DA-BBFD6DECFE24}" type="parTrans" cxnId="{35078102-FD59-4431-B934-7D13FD9B44D0}">
      <dgm:prSet/>
      <dgm:spPr/>
      <dgm:t>
        <a:bodyPr/>
        <a:lstStyle/>
        <a:p>
          <a:endParaRPr lang="en-US"/>
        </a:p>
      </dgm:t>
    </dgm:pt>
    <dgm:pt modelId="{0E5B4160-B4D3-4CFC-8492-D1FAF7FADD2D}" type="sibTrans" cxnId="{35078102-FD59-4431-B934-7D13FD9B44D0}">
      <dgm:prSet/>
      <dgm:spPr/>
      <dgm:t>
        <a:bodyPr/>
        <a:lstStyle/>
        <a:p>
          <a:endParaRPr lang="en-US"/>
        </a:p>
      </dgm:t>
    </dgm:pt>
    <dgm:pt modelId="{081359E9-C1AE-4CD1-AA69-BB0BE0699EE2}">
      <dgm:prSet phldrT="[Text]"/>
      <dgm:spPr/>
      <dgm:t>
        <a:bodyPr/>
        <a:lstStyle/>
        <a:p>
          <a:r>
            <a:rPr lang="en-US"/>
            <a:t>Head of Talent</a:t>
          </a:r>
        </a:p>
      </dgm:t>
    </dgm:pt>
    <dgm:pt modelId="{23093466-27EA-4DEF-ADAF-8519946A86F6}" type="parTrans" cxnId="{E1A42D7F-E110-4820-9B11-5B5A87F06C52}">
      <dgm:prSet/>
      <dgm:spPr/>
      <dgm:t>
        <a:bodyPr/>
        <a:lstStyle/>
        <a:p>
          <a:endParaRPr lang="en-US"/>
        </a:p>
      </dgm:t>
    </dgm:pt>
    <dgm:pt modelId="{F2DD84B6-9E5F-42AA-AA58-E69185278568}" type="sibTrans" cxnId="{E1A42D7F-E110-4820-9B11-5B5A87F06C52}">
      <dgm:prSet/>
      <dgm:spPr/>
      <dgm:t>
        <a:bodyPr/>
        <a:lstStyle/>
        <a:p>
          <a:endParaRPr lang="en-US"/>
        </a:p>
      </dgm:t>
    </dgm:pt>
    <dgm:pt modelId="{643B608E-5F42-4929-8238-B2DDF6D3F646}">
      <dgm:prSet phldrT="[Text]"/>
      <dgm:spPr/>
      <dgm:t>
        <a:bodyPr/>
        <a:lstStyle/>
        <a:p>
          <a:r>
            <a:rPr lang="en-US"/>
            <a:t>Head of Human Resources </a:t>
          </a:r>
        </a:p>
      </dgm:t>
    </dgm:pt>
    <dgm:pt modelId="{C575944B-419A-4092-8E89-F2E85B4B35F0}" type="parTrans" cxnId="{29DE0D47-7B9F-42BD-AA10-9658E3D0D300}">
      <dgm:prSet/>
      <dgm:spPr/>
      <dgm:t>
        <a:bodyPr/>
        <a:lstStyle/>
        <a:p>
          <a:endParaRPr lang="en-US"/>
        </a:p>
      </dgm:t>
    </dgm:pt>
    <dgm:pt modelId="{CC95CC8F-1631-4180-8D4A-7E3514DAD518}" type="sibTrans" cxnId="{29DE0D47-7B9F-42BD-AA10-9658E3D0D300}">
      <dgm:prSet/>
      <dgm:spPr/>
      <dgm:t>
        <a:bodyPr/>
        <a:lstStyle/>
        <a:p>
          <a:endParaRPr lang="en-US"/>
        </a:p>
      </dgm:t>
    </dgm:pt>
    <dgm:pt modelId="{E57121E5-A626-4AC2-91F8-5BC92AF972B3}">
      <dgm:prSet phldrT="[Text]"/>
      <dgm:spPr/>
      <dgm:t>
        <a:bodyPr/>
        <a:lstStyle/>
        <a:p>
          <a:r>
            <a:rPr lang="en-US"/>
            <a:t>Head of Operational Excellence </a:t>
          </a:r>
        </a:p>
      </dgm:t>
    </dgm:pt>
    <dgm:pt modelId="{D007F2A5-0B2A-4552-98E8-CB9BC6446864}" type="parTrans" cxnId="{23245598-D934-47A8-8A19-06F6492CC6F0}">
      <dgm:prSet/>
      <dgm:spPr/>
      <dgm:t>
        <a:bodyPr/>
        <a:lstStyle/>
        <a:p>
          <a:endParaRPr lang="en-US"/>
        </a:p>
      </dgm:t>
    </dgm:pt>
    <dgm:pt modelId="{84A20D4D-4978-41A1-8E27-407E0BAD5AFF}" type="sibTrans" cxnId="{23245598-D934-47A8-8A19-06F6492CC6F0}">
      <dgm:prSet/>
      <dgm:spPr/>
      <dgm:t>
        <a:bodyPr/>
        <a:lstStyle/>
        <a:p>
          <a:endParaRPr lang="en-US"/>
        </a:p>
      </dgm:t>
    </dgm:pt>
    <dgm:pt modelId="{6876CFF5-5B10-4D72-B6FD-CA337639ACB2}">
      <dgm:prSet phldrT="[Text]"/>
      <dgm:spPr/>
      <dgm:t>
        <a:bodyPr/>
        <a:lstStyle/>
        <a:p>
          <a:r>
            <a:rPr lang="en-US"/>
            <a:t>Head of Technology &amp; Infrastructure</a:t>
          </a:r>
        </a:p>
      </dgm:t>
    </dgm:pt>
    <dgm:pt modelId="{46B34E20-E752-4DD6-B4AC-11BFD0D224D0}" type="parTrans" cxnId="{0351DBDA-DBF7-4764-AD7C-86FA6A7518CA}">
      <dgm:prSet/>
      <dgm:spPr/>
      <dgm:t>
        <a:bodyPr/>
        <a:lstStyle/>
        <a:p>
          <a:endParaRPr lang="en-US"/>
        </a:p>
      </dgm:t>
    </dgm:pt>
    <dgm:pt modelId="{91296194-F5B7-461E-AFC3-96C017375FB6}" type="sibTrans" cxnId="{0351DBDA-DBF7-4764-AD7C-86FA6A7518CA}">
      <dgm:prSet/>
      <dgm:spPr/>
      <dgm:t>
        <a:bodyPr/>
        <a:lstStyle/>
        <a:p>
          <a:endParaRPr lang="en-US"/>
        </a:p>
      </dgm:t>
    </dgm:pt>
    <dgm:pt modelId="{3D3DC90B-1B29-440C-8B4D-98F82B7D84D5}">
      <dgm:prSet phldrT="[Text]"/>
      <dgm:spPr/>
      <dgm:t>
        <a:bodyPr/>
        <a:lstStyle/>
        <a:p>
          <a:r>
            <a:rPr lang="en-US"/>
            <a:t>Chief Business Officer</a:t>
          </a:r>
        </a:p>
      </dgm:t>
    </dgm:pt>
    <dgm:pt modelId="{2F871A48-B0C8-4378-A17A-C3F5F916729F}" type="parTrans" cxnId="{EFCBDE8E-E570-43F3-81DA-4A40C1CB4673}">
      <dgm:prSet/>
      <dgm:spPr/>
      <dgm:t>
        <a:bodyPr/>
        <a:lstStyle/>
        <a:p>
          <a:endParaRPr lang="en-US"/>
        </a:p>
      </dgm:t>
    </dgm:pt>
    <dgm:pt modelId="{8221354A-B9D4-40CA-A569-DB5C123BBE5D}" type="sibTrans" cxnId="{EFCBDE8E-E570-43F3-81DA-4A40C1CB4673}">
      <dgm:prSet/>
      <dgm:spPr/>
      <dgm:t>
        <a:bodyPr/>
        <a:lstStyle/>
        <a:p>
          <a:endParaRPr lang="en-US"/>
        </a:p>
      </dgm:t>
    </dgm:pt>
    <dgm:pt modelId="{700951D0-D450-41FD-8389-ED6B5C26CD60}" type="pres">
      <dgm:prSet presAssocID="{850E1FC7-CC21-409A-A326-A71A05E489E7}" presName="hierChild1" presStyleCnt="0">
        <dgm:presLayoutVars>
          <dgm:orgChart val="1"/>
          <dgm:chPref val="1"/>
          <dgm:dir/>
          <dgm:animOne val="branch"/>
          <dgm:animLvl val="lvl"/>
          <dgm:resizeHandles/>
        </dgm:presLayoutVars>
      </dgm:prSet>
      <dgm:spPr/>
    </dgm:pt>
    <dgm:pt modelId="{A84F9E22-D7F7-462C-A31C-868E012F3D91}" type="pres">
      <dgm:prSet presAssocID="{B698ADFD-76E1-4DE4-BA52-4F86F29DACEA}" presName="hierRoot1" presStyleCnt="0">
        <dgm:presLayoutVars>
          <dgm:hierBranch val="init"/>
        </dgm:presLayoutVars>
      </dgm:prSet>
      <dgm:spPr/>
    </dgm:pt>
    <dgm:pt modelId="{0C80A58F-872B-44F2-9605-27357EC22D19}" type="pres">
      <dgm:prSet presAssocID="{B698ADFD-76E1-4DE4-BA52-4F86F29DACEA}" presName="rootComposite1" presStyleCnt="0"/>
      <dgm:spPr/>
    </dgm:pt>
    <dgm:pt modelId="{1AB36BBD-235C-442D-88EC-CE24B04E3B37}" type="pres">
      <dgm:prSet presAssocID="{B698ADFD-76E1-4DE4-BA52-4F86F29DACEA}" presName="rootText1" presStyleLbl="node0" presStyleIdx="0" presStyleCnt="1">
        <dgm:presLayoutVars>
          <dgm:chPref val="3"/>
        </dgm:presLayoutVars>
      </dgm:prSet>
      <dgm:spPr/>
    </dgm:pt>
    <dgm:pt modelId="{F5CA4995-B5BE-4030-B067-41D8657392A8}" type="pres">
      <dgm:prSet presAssocID="{B698ADFD-76E1-4DE4-BA52-4F86F29DACEA}" presName="rootConnector1" presStyleLbl="node1" presStyleIdx="0" presStyleCnt="0"/>
      <dgm:spPr/>
    </dgm:pt>
    <dgm:pt modelId="{2A3F4A7B-1C77-46D6-9634-4024401C4B27}" type="pres">
      <dgm:prSet presAssocID="{B698ADFD-76E1-4DE4-BA52-4F86F29DACEA}" presName="hierChild2" presStyleCnt="0"/>
      <dgm:spPr/>
    </dgm:pt>
    <dgm:pt modelId="{0299F963-3C16-4666-BB9E-125D9BB871DD}" type="pres">
      <dgm:prSet presAssocID="{71D067F9-E97B-4DD1-97EE-41992DF3190B}" presName="Name37" presStyleLbl="parChTrans1D2" presStyleIdx="0" presStyleCnt="6"/>
      <dgm:spPr/>
    </dgm:pt>
    <dgm:pt modelId="{0836D3F6-F7EE-47E8-82F2-A3B425F6A949}" type="pres">
      <dgm:prSet presAssocID="{C8E908C8-85F6-4D30-93F4-C8A69634B94C}" presName="hierRoot2" presStyleCnt="0">
        <dgm:presLayoutVars>
          <dgm:hierBranch val="init"/>
        </dgm:presLayoutVars>
      </dgm:prSet>
      <dgm:spPr/>
    </dgm:pt>
    <dgm:pt modelId="{34AE41E8-6B77-4679-9D4D-165F1D106B11}" type="pres">
      <dgm:prSet presAssocID="{C8E908C8-85F6-4D30-93F4-C8A69634B94C}" presName="rootComposite" presStyleCnt="0"/>
      <dgm:spPr/>
    </dgm:pt>
    <dgm:pt modelId="{4289ED10-D532-4CBB-90F7-576D89D8AEA4}" type="pres">
      <dgm:prSet presAssocID="{C8E908C8-85F6-4D30-93F4-C8A69634B94C}" presName="rootText" presStyleLbl="node2" presStyleIdx="0" presStyleCnt="6">
        <dgm:presLayoutVars>
          <dgm:chPref val="3"/>
        </dgm:presLayoutVars>
      </dgm:prSet>
      <dgm:spPr/>
    </dgm:pt>
    <dgm:pt modelId="{41C52C8A-5D44-4EAD-B4DE-69B815BC46AB}" type="pres">
      <dgm:prSet presAssocID="{C8E908C8-85F6-4D30-93F4-C8A69634B94C}" presName="rootConnector" presStyleLbl="node2" presStyleIdx="0" presStyleCnt="6"/>
      <dgm:spPr/>
    </dgm:pt>
    <dgm:pt modelId="{E021D4B3-4D8C-421E-8B9B-CBCF27D6E5C6}" type="pres">
      <dgm:prSet presAssocID="{C8E908C8-85F6-4D30-93F4-C8A69634B94C}" presName="hierChild4" presStyleCnt="0"/>
      <dgm:spPr/>
    </dgm:pt>
    <dgm:pt modelId="{F5933206-E4A8-448F-B685-FC24EFC47C40}" type="pres">
      <dgm:prSet presAssocID="{AE3D12BF-75AA-43F0-B306-5214E446BE4D}" presName="Name37" presStyleLbl="parChTrans1D3" presStyleIdx="0" presStyleCnt="34"/>
      <dgm:spPr/>
    </dgm:pt>
    <dgm:pt modelId="{5C9F66F0-C2CA-4D66-A8E4-4F6938856A82}" type="pres">
      <dgm:prSet presAssocID="{BF347F70-DE5F-4CF4-88B9-1262C7B2D7B6}" presName="hierRoot2" presStyleCnt="0">
        <dgm:presLayoutVars>
          <dgm:hierBranch val="init"/>
        </dgm:presLayoutVars>
      </dgm:prSet>
      <dgm:spPr/>
    </dgm:pt>
    <dgm:pt modelId="{29DD8B56-B136-4415-802E-A6D072722D52}" type="pres">
      <dgm:prSet presAssocID="{BF347F70-DE5F-4CF4-88B9-1262C7B2D7B6}" presName="rootComposite" presStyleCnt="0"/>
      <dgm:spPr/>
    </dgm:pt>
    <dgm:pt modelId="{E5829E68-5D8B-458A-92E8-7848830E459E}" type="pres">
      <dgm:prSet presAssocID="{BF347F70-DE5F-4CF4-88B9-1262C7B2D7B6}" presName="rootText" presStyleLbl="node3" presStyleIdx="0" presStyleCnt="34">
        <dgm:presLayoutVars>
          <dgm:chPref val="3"/>
        </dgm:presLayoutVars>
      </dgm:prSet>
      <dgm:spPr/>
    </dgm:pt>
    <dgm:pt modelId="{0891CD6E-75CE-4F06-87B6-720BBB48E11A}" type="pres">
      <dgm:prSet presAssocID="{BF347F70-DE5F-4CF4-88B9-1262C7B2D7B6}" presName="rootConnector" presStyleLbl="node3" presStyleIdx="0" presStyleCnt="34"/>
      <dgm:spPr/>
    </dgm:pt>
    <dgm:pt modelId="{AF7AD616-2692-46AA-B16D-81A7056DE556}" type="pres">
      <dgm:prSet presAssocID="{BF347F70-DE5F-4CF4-88B9-1262C7B2D7B6}" presName="hierChild4" presStyleCnt="0"/>
      <dgm:spPr/>
    </dgm:pt>
    <dgm:pt modelId="{6A4336F7-9D87-4BC2-960D-579A9D30F147}" type="pres">
      <dgm:prSet presAssocID="{BF347F70-DE5F-4CF4-88B9-1262C7B2D7B6}" presName="hierChild5" presStyleCnt="0"/>
      <dgm:spPr/>
    </dgm:pt>
    <dgm:pt modelId="{32D330CE-FE5B-49AC-834A-7423445371AA}" type="pres">
      <dgm:prSet presAssocID="{C536C190-8433-4A20-9B57-277529CE32C5}" presName="Name37" presStyleLbl="parChTrans1D3" presStyleIdx="1" presStyleCnt="34"/>
      <dgm:spPr/>
    </dgm:pt>
    <dgm:pt modelId="{99599A1F-C628-4972-B066-AFE1A7659575}" type="pres">
      <dgm:prSet presAssocID="{C866A4BD-6340-4180-92FC-8F657ACC3D25}" presName="hierRoot2" presStyleCnt="0">
        <dgm:presLayoutVars>
          <dgm:hierBranch val="init"/>
        </dgm:presLayoutVars>
      </dgm:prSet>
      <dgm:spPr/>
    </dgm:pt>
    <dgm:pt modelId="{F3EF2D8E-A780-4CFA-BE91-27A63C16E135}" type="pres">
      <dgm:prSet presAssocID="{C866A4BD-6340-4180-92FC-8F657ACC3D25}" presName="rootComposite" presStyleCnt="0"/>
      <dgm:spPr/>
    </dgm:pt>
    <dgm:pt modelId="{4966AC99-89C7-4FAE-B9FA-CA929B1A782F}" type="pres">
      <dgm:prSet presAssocID="{C866A4BD-6340-4180-92FC-8F657ACC3D25}" presName="rootText" presStyleLbl="node3" presStyleIdx="1" presStyleCnt="34">
        <dgm:presLayoutVars>
          <dgm:chPref val="3"/>
        </dgm:presLayoutVars>
      </dgm:prSet>
      <dgm:spPr/>
    </dgm:pt>
    <dgm:pt modelId="{36B51ED2-B1CA-43F2-AFA4-A1168DEDD5B0}" type="pres">
      <dgm:prSet presAssocID="{C866A4BD-6340-4180-92FC-8F657ACC3D25}" presName="rootConnector" presStyleLbl="node3" presStyleIdx="1" presStyleCnt="34"/>
      <dgm:spPr/>
    </dgm:pt>
    <dgm:pt modelId="{39BBCFF0-841E-471F-8FF1-0D0391C57C5A}" type="pres">
      <dgm:prSet presAssocID="{C866A4BD-6340-4180-92FC-8F657ACC3D25}" presName="hierChild4" presStyleCnt="0"/>
      <dgm:spPr/>
    </dgm:pt>
    <dgm:pt modelId="{091DD413-06D3-4F82-9E06-DB8365829AA1}" type="pres">
      <dgm:prSet presAssocID="{C866A4BD-6340-4180-92FC-8F657ACC3D25}" presName="hierChild5" presStyleCnt="0"/>
      <dgm:spPr/>
    </dgm:pt>
    <dgm:pt modelId="{132CD2A3-C9A7-47EE-8003-E4557C7F7F56}" type="pres">
      <dgm:prSet presAssocID="{40F8D58E-04AB-4142-AD40-3C6A8EE20F9B}" presName="Name37" presStyleLbl="parChTrans1D3" presStyleIdx="2" presStyleCnt="34"/>
      <dgm:spPr/>
    </dgm:pt>
    <dgm:pt modelId="{D3003B2F-C665-4825-90D6-FE852E0990D6}" type="pres">
      <dgm:prSet presAssocID="{DF041C4A-9693-44B3-BE3D-73A1E78FE497}" presName="hierRoot2" presStyleCnt="0">
        <dgm:presLayoutVars>
          <dgm:hierBranch val="init"/>
        </dgm:presLayoutVars>
      </dgm:prSet>
      <dgm:spPr/>
    </dgm:pt>
    <dgm:pt modelId="{619A3E97-ABD2-470F-938E-97A7A83D83DC}" type="pres">
      <dgm:prSet presAssocID="{DF041C4A-9693-44B3-BE3D-73A1E78FE497}" presName="rootComposite" presStyleCnt="0"/>
      <dgm:spPr/>
    </dgm:pt>
    <dgm:pt modelId="{3B12B1D4-729B-4F0C-A3CF-07AB9C27949E}" type="pres">
      <dgm:prSet presAssocID="{DF041C4A-9693-44B3-BE3D-73A1E78FE497}" presName="rootText" presStyleLbl="node3" presStyleIdx="2" presStyleCnt="34">
        <dgm:presLayoutVars>
          <dgm:chPref val="3"/>
        </dgm:presLayoutVars>
      </dgm:prSet>
      <dgm:spPr/>
    </dgm:pt>
    <dgm:pt modelId="{F9BC639D-A2BE-48FF-B911-4F35972D4231}" type="pres">
      <dgm:prSet presAssocID="{DF041C4A-9693-44B3-BE3D-73A1E78FE497}" presName="rootConnector" presStyleLbl="node3" presStyleIdx="2" presStyleCnt="34"/>
      <dgm:spPr/>
    </dgm:pt>
    <dgm:pt modelId="{3C4AFD76-50A5-4AAE-8213-840EEA4EC48F}" type="pres">
      <dgm:prSet presAssocID="{DF041C4A-9693-44B3-BE3D-73A1E78FE497}" presName="hierChild4" presStyleCnt="0"/>
      <dgm:spPr/>
    </dgm:pt>
    <dgm:pt modelId="{57D4E54F-4966-4F60-AC99-D8887E55CAEB}" type="pres">
      <dgm:prSet presAssocID="{DF041C4A-9693-44B3-BE3D-73A1E78FE497}" presName="hierChild5" presStyleCnt="0"/>
      <dgm:spPr/>
    </dgm:pt>
    <dgm:pt modelId="{E6383242-D765-4539-B43C-27776DAD5E16}" type="pres">
      <dgm:prSet presAssocID="{394F9C3C-1791-404B-A1B1-4D44B3186E7A}" presName="Name37" presStyleLbl="parChTrans1D3" presStyleIdx="3" presStyleCnt="34"/>
      <dgm:spPr/>
    </dgm:pt>
    <dgm:pt modelId="{E0031AD0-C60B-4E33-972E-6FC101E2E9E9}" type="pres">
      <dgm:prSet presAssocID="{609815C6-7F78-4E56-A64E-A58559512902}" presName="hierRoot2" presStyleCnt="0">
        <dgm:presLayoutVars>
          <dgm:hierBranch val="init"/>
        </dgm:presLayoutVars>
      </dgm:prSet>
      <dgm:spPr/>
    </dgm:pt>
    <dgm:pt modelId="{C01D2245-1621-412C-BE37-1099DB892A19}" type="pres">
      <dgm:prSet presAssocID="{609815C6-7F78-4E56-A64E-A58559512902}" presName="rootComposite" presStyleCnt="0"/>
      <dgm:spPr/>
    </dgm:pt>
    <dgm:pt modelId="{F0927E3E-95EF-4322-BD0D-17469DF445C5}" type="pres">
      <dgm:prSet presAssocID="{609815C6-7F78-4E56-A64E-A58559512902}" presName="rootText" presStyleLbl="node3" presStyleIdx="3" presStyleCnt="34">
        <dgm:presLayoutVars>
          <dgm:chPref val="3"/>
        </dgm:presLayoutVars>
      </dgm:prSet>
      <dgm:spPr/>
    </dgm:pt>
    <dgm:pt modelId="{FC4A6765-1B26-452D-8DE4-94ABB4753E16}" type="pres">
      <dgm:prSet presAssocID="{609815C6-7F78-4E56-A64E-A58559512902}" presName="rootConnector" presStyleLbl="node3" presStyleIdx="3" presStyleCnt="34"/>
      <dgm:spPr/>
    </dgm:pt>
    <dgm:pt modelId="{3AEF2A5E-C877-4385-8C47-A42AAE9BCDDA}" type="pres">
      <dgm:prSet presAssocID="{609815C6-7F78-4E56-A64E-A58559512902}" presName="hierChild4" presStyleCnt="0"/>
      <dgm:spPr/>
    </dgm:pt>
    <dgm:pt modelId="{F5686C97-9541-455E-9EFE-64CB3D4EA11B}" type="pres">
      <dgm:prSet presAssocID="{609815C6-7F78-4E56-A64E-A58559512902}" presName="hierChild5" presStyleCnt="0"/>
      <dgm:spPr/>
    </dgm:pt>
    <dgm:pt modelId="{03A3E5C0-CE0B-4842-80AD-EFAA9964CA72}" type="pres">
      <dgm:prSet presAssocID="{77F5274C-0998-4E42-AB3E-F6C34697AB71}" presName="Name37" presStyleLbl="parChTrans1D3" presStyleIdx="4" presStyleCnt="34"/>
      <dgm:spPr/>
    </dgm:pt>
    <dgm:pt modelId="{4A63F7A9-073C-48A0-AA6A-738D4741BC85}" type="pres">
      <dgm:prSet presAssocID="{C1EB190F-038D-431F-B679-B25212139997}" presName="hierRoot2" presStyleCnt="0">
        <dgm:presLayoutVars>
          <dgm:hierBranch val="init"/>
        </dgm:presLayoutVars>
      </dgm:prSet>
      <dgm:spPr/>
    </dgm:pt>
    <dgm:pt modelId="{79EE7503-420A-42E8-ABA2-5191B2F3B8EA}" type="pres">
      <dgm:prSet presAssocID="{C1EB190F-038D-431F-B679-B25212139997}" presName="rootComposite" presStyleCnt="0"/>
      <dgm:spPr/>
    </dgm:pt>
    <dgm:pt modelId="{403DC6E8-F467-489B-B770-8AA6E50D19C7}" type="pres">
      <dgm:prSet presAssocID="{C1EB190F-038D-431F-B679-B25212139997}" presName="rootText" presStyleLbl="node3" presStyleIdx="4" presStyleCnt="34">
        <dgm:presLayoutVars>
          <dgm:chPref val="3"/>
        </dgm:presLayoutVars>
      </dgm:prSet>
      <dgm:spPr/>
    </dgm:pt>
    <dgm:pt modelId="{E79111A8-389D-4C37-9668-62B6C11FA692}" type="pres">
      <dgm:prSet presAssocID="{C1EB190F-038D-431F-B679-B25212139997}" presName="rootConnector" presStyleLbl="node3" presStyleIdx="4" presStyleCnt="34"/>
      <dgm:spPr/>
    </dgm:pt>
    <dgm:pt modelId="{A99A8C66-CE4A-48B8-B6F5-30C84149BD8B}" type="pres">
      <dgm:prSet presAssocID="{C1EB190F-038D-431F-B679-B25212139997}" presName="hierChild4" presStyleCnt="0"/>
      <dgm:spPr/>
    </dgm:pt>
    <dgm:pt modelId="{10CE696E-09EE-45E6-B31E-BFA5BD68B777}" type="pres">
      <dgm:prSet presAssocID="{C1EB190F-038D-431F-B679-B25212139997}" presName="hierChild5" presStyleCnt="0"/>
      <dgm:spPr/>
    </dgm:pt>
    <dgm:pt modelId="{DC1A6E11-64F6-445F-BB62-9C74E5EAA6CC}" type="pres">
      <dgm:prSet presAssocID="{C8E908C8-85F6-4D30-93F4-C8A69634B94C}" presName="hierChild5" presStyleCnt="0"/>
      <dgm:spPr/>
    </dgm:pt>
    <dgm:pt modelId="{5A02B6BA-3270-47ED-9ED7-05F949F8C5A2}" type="pres">
      <dgm:prSet presAssocID="{E101F362-4016-48C7-BA28-3B4482A598B7}" presName="Name37" presStyleLbl="parChTrans1D2" presStyleIdx="1" presStyleCnt="6"/>
      <dgm:spPr/>
    </dgm:pt>
    <dgm:pt modelId="{245DEF3B-3BE4-4F17-87B2-31F2390F3F13}" type="pres">
      <dgm:prSet presAssocID="{6C770225-A69C-4061-BAA6-67FADBE18C87}" presName="hierRoot2" presStyleCnt="0">
        <dgm:presLayoutVars>
          <dgm:hierBranch val="init"/>
        </dgm:presLayoutVars>
      </dgm:prSet>
      <dgm:spPr/>
    </dgm:pt>
    <dgm:pt modelId="{7AB13062-5E50-4642-AD43-63DA81958BE0}" type="pres">
      <dgm:prSet presAssocID="{6C770225-A69C-4061-BAA6-67FADBE18C87}" presName="rootComposite" presStyleCnt="0"/>
      <dgm:spPr/>
    </dgm:pt>
    <dgm:pt modelId="{389115BD-94B0-46F8-849E-CCCC34BFCBA4}" type="pres">
      <dgm:prSet presAssocID="{6C770225-A69C-4061-BAA6-67FADBE18C87}" presName="rootText" presStyleLbl="node2" presStyleIdx="1" presStyleCnt="6">
        <dgm:presLayoutVars>
          <dgm:chPref val="3"/>
        </dgm:presLayoutVars>
      </dgm:prSet>
      <dgm:spPr/>
    </dgm:pt>
    <dgm:pt modelId="{F633A0D3-8DA9-4F3E-834A-58492B456EED}" type="pres">
      <dgm:prSet presAssocID="{6C770225-A69C-4061-BAA6-67FADBE18C87}" presName="rootConnector" presStyleLbl="node2" presStyleIdx="1" presStyleCnt="6"/>
      <dgm:spPr/>
    </dgm:pt>
    <dgm:pt modelId="{9833898E-BC27-4FD2-82AE-8954D59F653A}" type="pres">
      <dgm:prSet presAssocID="{6C770225-A69C-4061-BAA6-67FADBE18C87}" presName="hierChild4" presStyleCnt="0"/>
      <dgm:spPr/>
    </dgm:pt>
    <dgm:pt modelId="{A66965DE-FD53-4B89-B61D-56F93C6B65A1}" type="pres">
      <dgm:prSet presAssocID="{3832FCBD-354F-4EED-B7B1-CA08238BDB9C}" presName="Name37" presStyleLbl="parChTrans1D3" presStyleIdx="5" presStyleCnt="34"/>
      <dgm:spPr/>
    </dgm:pt>
    <dgm:pt modelId="{8C0960DC-9267-44A1-B00B-95ACC5F8E38B}" type="pres">
      <dgm:prSet presAssocID="{993DFAFC-8AA8-448A-9AE0-B2AEB319A240}" presName="hierRoot2" presStyleCnt="0">
        <dgm:presLayoutVars>
          <dgm:hierBranch val="init"/>
        </dgm:presLayoutVars>
      </dgm:prSet>
      <dgm:spPr/>
    </dgm:pt>
    <dgm:pt modelId="{36BC852D-82CA-4629-B5D7-BAF53C88E6A3}" type="pres">
      <dgm:prSet presAssocID="{993DFAFC-8AA8-448A-9AE0-B2AEB319A240}" presName="rootComposite" presStyleCnt="0"/>
      <dgm:spPr/>
    </dgm:pt>
    <dgm:pt modelId="{927D676A-C170-4F7A-8A1C-3A9CB81BD3E7}" type="pres">
      <dgm:prSet presAssocID="{993DFAFC-8AA8-448A-9AE0-B2AEB319A240}" presName="rootText" presStyleLbl="node3" presStyleIdx="5" presStyleCnt="34">
        <dgm:presLayoutVars>
          <dgm:chPref val="3"/>
        </dgm:presLayoutVars>
      </dgm:prSet>
      <dgm:spPr/>
    </dgm:pt>
    <dgm:pt modelId="{F1D2EF8A-8D2E-4F4C-97CF-E45E521BA2EB}" type="pres">
      <dgm:prSet presAssocID="{993DFAFC-8AA8-448A-9AE0-B2AEB319A240}" presName="rootConnector" presStyleLbl="node3" presStyleIdx="5" presStyleCnt="34"/>
      <dgm:spPr/>
    </dgm:pt>
    <dgm:pt modelId="{BE9A7388-5798-4E36-8C20-1B5309B956A0}" type="pres">
      <dgm:prSet presAssocID="{993DFAFC-8AA8-448A-9AE0-B2AEB319A240}" presName="hierChild4" presStyleCnt="0"/>
      <dgm:spPr/>
    </dgm:pt>
    <dgm:pt modelId="{B7B577DF-D254-4774-A2F8-F16C2801C4BB}" type="pres">
      <dgm:prSet presAssocID="{993DFAFC-8AA8-448A-9AE0-B2AEB319A240}" presName="hierChild5" presStyleCnt="0"/>
      <dgm:spPr/>
    </dgm:pt>
    <dgm:pt modelId="{9A8958B2-10F2-49E3-9F94-C826CA7B012D}" type="pres">
      <dgm:prSet presAssocID="{A8F67239-EBD4-4C14-A7CA-F992321F1EA9}" presName="Name37" presStyleLbl="parChTrans1D3" presStyleIdx="6" presStyleCnt="34"/>
      <dgm:spPr/>
    </dgm:pt>
    <dgm:pt modelId="{C1649A2F-D636-4605-9C63-187E4AB75A42}" type="pres">
      <dgm:prSet presAssocID="{12600696-E363-4901-9CFD-D456EBD63348}" presName="hierRoot2" presStyleCnt="0">
        <dgm:presLayoutVars>
          <dgm:hierBranch val="init"/>
        </dgm:presLayoutVars>
      </dgm:prSet>
      <dgm:spPr/>
    </dgm:pt>
    <dgm:pt modelId="{3514A154-6490-4A13-AB2C-851A2B532F23}" type="pres">
      <dgm:prSet presAssocID="{12600696-E363-4901-9CFD-D456EBD63348}" presName="rootComposite" presStyleCnt="0"/>
      <dgm:spPr/>
    </dgm:pt>
    <dgm:pt modelId="{6C723801-F8A2-4673-BF7C-D12FF21BC78A}" type="pres">
      <dgm:prSet presAssocID="{12600696-E363-4901-9CFD-D456EBD63348}" presName="rootText" presStyleLbl="node3" presStyleIdx="6" presStyleCnt="34">
        <dgm:presLayoutVars>
          <dgm:chPref val="3"/>
        </dgm:presLayoutVars>
      </dgm:prSet>
      <dgm:spPr/>
    </dgm:pt>
    <dgm:pt modelId="{2414B9B0-B3C2-4641-8978-46998505E2F0}" type="pres">
      <dgm:prSet presAssocID="{12600696-E363-4901-9CFD-D456EBD63348}" presName="rootConnector" presStyleLbl="node3" presStyleIdx="6" presStyleCnt="34"/>
      <dgm:spPr/>
    </dgm:pt>
    <dgm:pt modelId="{EA85E283-AF55-45FC-A298-70D022CAEBB6}" type="pres">
      <dgm:prSet presAssocID="{12600696-E363-4901-9CFD-D456EBD63348}" presName="hierChild4" presStyleCnt="0"/>
      <dgm:spPr/>
    </dgm:pt>
    <dgm:pt modelId="{41C9509D-00B7-48E3-BD43-AC9026B96663}" type="pres">
      <dgm:prSet presAssocID="{12600696-E363-4901-9CFD-D456EBD63348}" presName="hierChild5" presStyleCnt="0"/>
      <dgm:spPr/>
    </dgm:pt>
    <dgm:pt modelId="{1B6930EC-198A-47B1-9108-6BDFCF5B18C9}" type="pres">
      <dgm:prSet presAssocID="{6406C50A-538B-48E7-94A2-3AE7DB468DEC}" presName="Name37" presStyleLbl="parChTrans1D3" presStyleIdx="7" presStyleCnt="34"/>
      <dgm:spPr/>
    </dgm:pt>
    <dgm:pt modelId="{895597FC-44B8-4132-BE7B-092DF721DC83}" type="pres">
      <dgm:prSet presAssocID="{E1EC7DD9-A262-4CA4-9ADF-9196CE40DD78}" presName="hierRoot2" presStyleCnt="0">
        <dgm:presLayoutVars>
          <dgm:hierBranch val="init"/>
        </dgm:presLayoutVars>
      </dgm:prSet>
      <dgm:spPr/>
    </dgm:pt>
    <dgm:pt modelId="{DBAC3324-C4F0-41DE-AE32-86E07370ED6F}" type="pres">
      <dgm:prSet presAssocID="{E1EC7DD9-A262-4CA4-9ADF-9196CE40DD78}" presName="rootComposite" presStyleCnt="0"/>
      <dgm:spPr/>
    </dgm:pt>
    <dgm:pt modelId="{8538DAE9-701E-4C27-B752-B5C145935897}" type="pres">
      <dgm:prSet presAssocID="{E1EC7DD9-A262-4CA4-9ADF-9196CE40DD78}" presName="rootText" presStyleLbl="node3" presStyleIdx="7" presStyleCnt="34">
        <dgm:presLayoutVars>
          <dgm:chPref val="3"/>
        </dgm:presLayoutVars>
      </dgm:prSet>
      <dgm:spPr/>
    </dgm:pt>
    <dgm:pt modelId="{E690652D-942B-4B37-93B4-57296DB47D29}" type="pres">
      <dgm:prSet presAssocID="{E1EC7DD9-A262-4CA4-9ADF-9196CE40DD78}" presName="rootConnector" presStyleLbl="node3" presStyleIdx="7" presStyleCnt="34"/>
      <dgm:spPr/>
    </dgm:pt>
    <dgm:pt modelId="{2781EA51-1648-4A51-82A4-68D115685A98}" type="pres">
      <dgm:prSet presAssocID="{E1EC7DD9-A262-4CA4-9ADF-9196CE40DD78}" presName="hierChild4" presStyleCnt="0"/>
      <dgm:spPr/>
    </dgm:pt>
    <dgm:pt modelId="{B34C157C-89CE-4C99-AFB4-05B4B5EBBFF8}" type="pres">
      <dgm:prSet presAssocID="{E1EC7DD9-A262-4CA4-9ADF-9196CE40DD78}" presName="hierChild5" presStyleCnt="0"/>
      <dgm:spPr/>
    </dgm:pt>
    <dgm:pt modelId="{EA70330A-BAE4-4AC1-BFE5-9A6FB73AEB64}" type="pres">
      <dgm:prSet presAssocID="{D9F34423-5421-4D6F-8292-3C295300500B}" presName="Name37" presStyleLbl="parChTrans1D3" presStyleIdx="8" presStyleCnt="34"/>
      <dgm:spPr/>
    </dgm:pt>
    <dgm:pt modelId="{A442FE79-6B1C-4D90-ACAF-1B1C042CCB11}" type="pres">
      <dgm:prSet presAssocID="{DE321B2D-3228-4E0B-AA02-72F848871083}" presName="hierRoot2" presStyleCnt="0">
        <dgm:presLayoutVars>
          <dgm:hierBranch val="init"/>
        </dgm:presLayoutVars>
      </dgm:prSet>
      <dgm:spPr/>
    </dgm:pt>
    <dgm:pt modelId="{A627A416-DB3E-4271-9A72-4089B3809694}" type="pres">
      <dgm:prSet presAssocID="{DE321B2D-3228-4E0B-AA02-72F848871083}" presName="rootComposite" presStyleCnt="0"/>
      <dgm:spPr/>
    </dgm:pt>
    <dgm:pt modelId="{8111E419-CABB-4497-8DDC-2205B080A7E4}" type="pres">
      <dgm:prSet presAssocID="{DE321B2D-3228-4E0B-AA02-72F848871083}" presName="rootText" presStyleLbl="node3" presStyleIdx="8" presStyleCnt="34">
        <dgm:presLayoutVars>
          <dgm:chPref val="3"/>
        </dgm:presLayoutVars>
      </dgm:prSet>
      <dgm:spPr/>
    </dgm:pt>
    <dgm:pt modelId="{45E43040-D0AE-4506-9D9C-2652CD608BCF}" type="pres">
      <dgm:prSet presAssocID="{DE321B2D-3228-4E0B-AA02-72F848871083}" presName="rootConnector" presStyleLbl="node3" presStyleIdx="8" presStyleCnt="34"/>
      <dgm:spPr/>
    </dgm:pt>
    <dgm:pt modelId="{F3D6A8DB-451E-452A-B711-FB8C49D4394A}" type="pres">
      <dgm:prSet presAssocID="{DE321B2D-3228-4E0B-AA02-72F848871083}" presName="hierChild4" presStyleCnt="0"/>
      <dgm:spPr/>
    </dgm:pt>
    <dgm:pt modelId="{B0D52873-5801-4222-AAE1-935732D59292}" type="pres">
      <dgm:prSet presAssocID="{DE321B2D-3228-4E0B-AA02-72F848871083}" presName="hierChild5" presStyleCnt="0"/>
      <dgm:spPr/>
    </dgm:pt>
    <dgm:pt modelId="{A37CD491-A43F-4503-8A3E-7060D45B17F6}" type="pres">
      <dgm:prSet presAssocID="{078CD76A-1F6A-474A-B26F-40D3E6549551}" presName="Name37" presStyleLbl="parChTrans1D3" presStyleIdx="9" presStyleCnt="34"/>
      <dgm:spPr/>
    </dgm:pt>
    <dgm:pt modelId="{A34C5262-BBAF-464D-A2F4-E8DEFB834CAF}" type="pres">
      <dgm:prSet presAssocID="{4AF91569-3E93-4243-91F1-D87D06AA6807}" presName="hierRoot2" presStyleCnt="0">
        <dgm:presLayoutVars>
          <dgm:hierBranch val="init"/>
        </dgm:presLayoutVars>
      </dgm:prSet>
      <dgm:spPr/>
    </dgm:pt>
    <dgm:pt modelId="{10721AE2-604F-4005-80B8-2C3A9C9A0C44}" type="pres">
      <dgm:prSet presAssocID="{4AF91569-3E93-4243-91F1-D87D06AA6807}" presName="rootComposite" presStyleCnt="0"/>
      <dgm:spPr/>
    </dgm:pt>
    <dgm:pt modelId="{3AE11E72-8AA3-48FC-B896-4DBFEE6BED94}" type="pres">
      <dgm:prSet presAssocID="{4AF91569-3E93-4243-91F1-D87D06AA6807}" presName="rootText" presStyleLbl="node3" presStyleIdx="9" presStyleCnt="34">
        <dgm:presLayoutVars>
          <dgm:chPref val="3"/>
        </dgm:presLayoutVars>
      </dgm:prSet>
      <dgm:spPr/>
    </dgm:pt>
    <dgm:pt modelId="{F721223B-5CA6-4CF1-8F6C-93A44F4BC1A8}" type="pres">
      <dgm:prSet presAssocID="{4AF91569-3E93-4243-91F1-D87D06AA6807}" presName="rootConnector" presStyleLbl="node3" presStyleIdx="9" presStyleCnt="34"/>
      <dgm:spPr/>
    </dgm:pt>
    <dgm:pt modelId="{384FF3C4-6B3C-4948-8960-F60BD02708D5}" type="pres">
      <dgm:prSet presAssocID="{4AF91569-3E93-4243-91F1-D87D06AA6807}" presName="hierChild4" presStyleCnt="0"/>
      <dgm:spPr/>
    </dgm:pt>
    <dgm:pt modelId="{14729E4D-4C5A-499E-BEC0-F57BD98CC868}" type="pres">
      <dgm:prSet presAssocID="{4AF91569-3E93-4243-91F1-D87D06AA6807}" presName="hierChild5" presStyleCnt="0"/>
      <dgm:spPr/>
    </dgm:pt>
    <dgm:pt modelId="{05203116-2124-4DE6-A10C-5C330E3EA739}" type="pres">
      <dgm:prSet presAssocID="{3F2980DD-6BA6-4E35-B30F-90CFAD9E45AF}" presName="Name37" presStyleLbl="parChTrans1D3" presStyleIdx="10" presStyleCnt="34"/>
      <dgm:spPr/>
    </dgm:pt>
    <dgm:pt modelId="{B4F580DF-59B1-47AA-AE80-F18E9A588B74}" type="pres">
      <dgm:prSet presAssocID="{62EB4C9E-EB7B-4966-BC18-A947B8E1C0DE}" presName="hierRoot2" presStyleCnt="0">
        <dgm:presLayoutVars>
          <dgm:hierBranch val="init"/>
        </dgm:presLayoutVars>
      </dgm:prSet>
      <dgm:spPr/>
    </dgm:pt>
    <dgm:pt modelId="{C0C93BE2-F98B-4483-B704-22A0CC7B3F5F}" type="pres">
      <dgm:prSet presAssocID="{62EB4C9E-EB7B-4966-BC18-A947B8E1C0DE}" presName="rootComposite" presStyleCnt="0"/>
      <dgm:spPr/>
    </dgm:pt>
    <dgm:pt modelId="{B9610464-9D06-4F22-AB2F-718925F91850}" type="pres">
      <dgm:prSet presAssocID="{62EB4C9E-EB7B-4966-BC18-A947B8E1C0DE}" presName="rootText" presStyleLbl="node3" presStyleIdx="10" presStyleCnt="34">
        <dgm:presLayoutVars>
          <dgm:chPref val="3"/>
        </dgm:presLayoutVars>
      </dgm:prSet>
      <dgm:spPr/>
    </dgm:pt>
    <dgm:pt modelId="{11ED2717-1272-4FA3-9F89-E1CBAAB703EB}" type="pres">
      <dgm:prSet presAssocID="{62EB4C9E-EB7B-4966-BC18-A947B8E1C0DE}" presName="rootConnector" presStyleLbl="node3" presStyleIdx="10" presStyleCnt="34"/>
      <dgm:spPr/>
    </dgm:pt>
    <dgm:pt modelId="{FCBE487A-B833-4A35-BF64-F8831BB9541C}" type="pres">
      <dgm:prSet presAssocID="{62EB4C9E-EB7B-4966-BC18-A947B8E1C0DE}" presName="hierChild4" presStyleCnt="0"/>
      <dgm:spPr/>
    </dgm:pt>
    <dgm:pt modelId="{0C0F9434-20FD-497E-B599-3B8941C99C26}" type="pres">
      <dgm:prSet presAssocID="{62EB4C9E-EB7B-4966-BC18-A947B8E1C0DE}" presName="hierChild5" presStyleCnt="0"/>
      <dgm:spPr/>
    </dgm:pt>
    <dgm:pt modelId="{07653BC7-940A-43E9-8E37-0629449A5F0C}" type="pres">
      <dgm:prSet presAssocID="{6C770225-A69C-4061-BAA6-67FADBE18C87}" presName="hierChild5" presStyleCnt="0"/>
      <dgm:spPr/>
    </dgm:pt>
    <dgm:pt modelId="{CC7E4CF4-BBDD-460A-8BE0-A666196F7903}" type="pres">
      <dgm:prSet presAssocID="{081B6E8F-4E4E-4376-9D1C-E9C89C5C7FB6}" presName="Name37" presStyleLbl="parChTrans1D2" presStyleIdx="2" presStyleCnt="6"/>
      <dgm:spPr/>
    </dgm:pt>
    <dgm:pt modelId="{92F3C962-B3AB-400D-9553-256230007FF5}" type="pres">
      <dgm:prSet presAssocID="{0AF52561-F47B-4750-AA55-119A5ACACA98}" presName="hierRoot2" presStyleCnt="0">
        <dgm:presLayoutVars>
          <dgm:hierBranch val="init"/>
        </dgm:presLayoutVars>
      </dgm:prSet>
      <dgm:spPr/>
    </dgm:pt>
    <dgm:pt modelId="{3207B69C-FC2E-4A17-A896-B5815BAE3A7E}" type="pres">
      <dgm:prSet presAssocID="{0AF52561-F47B-4750-AA55-119A5ACACA98}" presName="rootComposite" presStyleCnt="0"/>
      <dgm:spPr/>
    </dgm:pt>
    <dgm:pt modelId="{1CEC0B8E-4B5A-462C-8E2D-ED30AA6EC29F}" type="pres">
      <dgm:prSet presAssocID="{0AF52561-F47B-4750-AA55-119A5ACACA98}" presName="rootText" presStyleLbl="node2" presStyleIdx="2" presStyleCnt="6">
        <dgm:presLayoutVars>
          <dgm:chPref val="3"/>
        </dgm:presLayoutVars>
      </dgm:prSet>
      <dgm:spPr/>
    </dgm:pt>
    <dgm:pt modelId="{B8671C19-6817-4EB0-B863-82F314C92CB2}" type="pres">
      <dgm:prSet presAssocID="{0AF52561-F47B-4750-AA55-119A5ACACA98}" presName="rootConnector" presStyleLbl="node2" presStyleIdx="2" presStyleCnt="6"/>
      <dgm:spPr/>
    </dgm:pt>
    <dgm:pt modelId="{9FC7A6C3-374E-4BA8-BFF6-1F4AAF70D33F}" type="pres">
      <dgm:prSet presAssocID="{0AF52561-F47B-4750-AA55-119A5ACACA98}" presName="hierChild4" presStyleCnt="0"/>
      <dgm:spPr/>
    </dgm:pt>
    <dgm:pt modelId="{8E17D57F-C4C5-4D8D-8004-A19EECB5FEB3}" type="pres">
      <dgm:prSet presAssocID="{3C99512E-E43B-4644-86E8-0C9DC2163D15}" presName="Name37" presStyleLbl="parChTrans1D3" presStyleIdx="11" presStyleCnt="34"/>
      <dgm:spPr/>
    </dgm:pt>
    <dgm:pt modelId="{81B4143C-D68B-48D0-9ACF-664D840CCD22}" type="pres">
      <dgm:prSet presAssocID="{0A81DEF6-E3F1-4647-B2D7-FA2BE7F8682B}" presName="hierRoot2" presStyleCnt="0">
        <dgm:presLayoutVars>
          <dgm:hierBranch val="init"/>
        </dgm:presLayoutVars>
      </dgm:prSet>
      <dgm:spPr/>
    </dgm:pt>
    <dgm:pt modelId="{51CC2010-9ACA-48FA-883E-48B66D1F2755}" type="pres">
      <dgm:prSet presAssocID="{0A81DEF6-E3F1-4647-B2D7-FA2BE7F8682B}" presName="rootComposite" presStyleCnt="0"/>
      <dgm:spPr/>
    </dgm:pt>
    <dgm:pt modelId="{35C706A5-ECE5-4267-AC1E-EE9B957827DA}" type="pres">
      <dgm:prSet presAssocID="{0A81DEF6-E3F1-4647-B2D7-FA2BE7F8682B}" presName="rootText" presStyleLbl="node3" presStyleIdx="11" presStyleCnt="34">
        <dgm:presLayoutVars>
          <dgm:chPref val="3"/>
        </dgm:presLayoutVars>
      </dgm:prSet>
      <dgm:spPr/>
    </dgm:pt>
    <dgm:pt modelId="{7CE54C74-1A6D-4B69-A533-9DDFDAEF4799}" type="pres">
      <dgm:prSet presAssocID="{0A81DEF6-E3F1-4647-B2D7-FA2BE7F8682B}" presName="rootConnector" presStyleLbl="node3" presStyleIdx="11" presStyleCnt="34"/>
      <dgm:spPr/>
    </dgm:pt>
    <dgm:pt modelId="{F496C0B3-697C-43BF-A50E-FCB521A72A86}" type="pres">
      <dgm:prSet presAssocID="{0A81DEF6-E3F1-4647-B2D7-FA2BE7F8682B}" presName="hierChild4" presStyleCnt="0"/>
      <dgm:spPr/>
    </dgm:pt>
    <dgm:pt modelId="{53A2DBBF-0CC1-4F9E-A456-0F4C0E255BBB}" type="pres">
      <dgm:prSet presAssocID="{0A81DEF6-E3F1-4647-B2D7-FA2BE7F8682B}" presName="hierChild5" presStyleCnt="0"/>
      <dgm:spPr/>
    </dgm:pt>
    <dgm:pt modelId="{D89BE0B8-DACA-4272-926F-5D8EC8D95D93}" type="pres">
      <dgm:prSet presAssocID="{A24A7986-5E06-4DB4-A040-248BB95936FE}" presName="Name37" presStyleLbl="parChTrans1D3" presStyleIdx="12" presStyleCnt="34"/>
      <dgm:spPr/>
    </dgm:pt>
    <dgm:pt modelId="{BCA998D0-54B7-4E3E-8299-693CF5798189}" type="pres">
      <dgm:prSet presAssocID="{F18F62E7-3302-4459-815C-9E960BD06FF4}" presName="hierRoot2" presStyleCnt="0">
        <dgm:presLayoutVars>
          <dgm:hierBranch val="init"/>
        </dgm:presLayoutVars>
      </dgm:prSet>
      <dgm:spPr/>
    </dgm:pt>
    <dgm:pt modelId="{E51CECDB-124B-4874-B764-7ECA536AB00C}" type="pres">
      <dgm:prSet presAssocID="{F18F62E7-3302-4459-815C-9E960BD06FF4}" presName="rootComposite" presStyleCnt="0"/>
      <dgm:spPr/>
    </dgm:pt>
    <dgm:pt modelId="{AB1A889F-4494-4CDA-90B5-8980182CC989}" type="pres">
      <dgm:prSet presAssocID="{F18F62E7-3302-4459-815C-9E960BD06FF4}" presName="rootText" presStyleLbl="node3" presStyleIdx="12" presStyleCnt="34">
        <dgm:presLayoutVars>
          <dgm:chPref val="3"/>
        </dgm:presLayoutVars>
      </dgm:prSet>
      <dgm:spPr/>
    </dgm:pt>
    <dgm:pt modelId="{E33FF668-4261-4233-B8A1-3E1FEA58BDA0}" type="pres">
      <dgm:prSet presAssocID="{F18F62E7-3302-4459-815C-9E960BD06FF4}" presName="rootConnector" presStyleLbl="node3" presStyleIdx="12" presStyleCnt="34"/>
      <dgm:spPr/>
    </dgm:pt>
    <dgm:pt modelId="{166EB1C7-1237-4250-80FB-65EDC31FF454}" type="pres">
      <dgm:prSet presAssocID="{F18F62E7-3302-4459-815C-9E960BD06FF4}" presName="hierChild4" presStyleCnt="0"/>
      <dgm:spPr/>
    </dgm:pt>
    <dgm:pt modelId="{D8B6D063-DEAB-42F3-AD74-DB37EE2134F1}" type="pres">
      <dgm:prSet presAssocID="{F18F62E7-3302-4459-815C-9E960BD06FF4}" presName="hierChild5" presStyleCnt="0"/>
      <dgm:spPr/>
    </dgm:pt>
    <dgm:pt modelId="{9DCB6E4D-CE21-478E-B21E-566DD61538F8}" type="pres">
      <dgm:prSet presAssocID="{E928F621-F44B-4B19-9A40-E1E7D95D62D2}" presName="Name37" presStyleLbl="parChTrans1D3" presStyleIdx="13" presStyleCnt="34"/>
      <dgm:spPr/>
    </dgm:pt>
    <dgm:pt modelId="{0FB56DF0-29C8-4288-B9C8-4F9F0CF9595F}" type="pres">
      <dgm:prSet presAssocID="{53725EB7-C21B-442D-9D83-7E3DF1C9D975}" presName="hierRoot2" presStyleCnt="0">
        <dgm:presLayoutVars>
          <dgm:hierBranch val="init"/>
        </dgm:presLayoutVars>
      </dgm:prSet>
      <dgm:spPr/>
    </dgm:pt>
    <dgm:pt modelId="{565FC9FD-0F3F-48DA-BAFE-1306D910A24E}" type="pres">
      <dgm:prSet presAssocID="{53725EB7-C21B-442D-9D83-7E3DF1C9D975}" presName="rootComposite" presStyleCnt="0"/>
      <dgm:spPr/>
    </dgm:pt>
    <dgm:pt modelId="{180DC21C-9F7B-4EBF-9AB7-42A63E9BD9FD}" type="pres">
      <dgm:prSet presAssocID="{53725EB7-C21B-442D-9D83-7E3DF1C9D975}" presName="rootText" presStyleLbl="node3" presStyleIdx="13" presStyleCnt="34">
        <dgm:presLayoutVars>
          <dgm:chPref val="3"/>
        </dgm:presLayoutVars>
      </dgm:prSet>
      <dgm:spPr/>
    </dgm:pt>
    <dgm:pt modelId="{A4223262-6FAB-4224-85F0-2EB82F5D0E43}" type="pres">
      <dgm:prSet presAssocID="{53725EB7-C21B-442D-9D83-7E3DF1C9D975}" presName="rootConnector" presStyleLbl="node3" presStyleIdx="13" presStyleCnt="34"/>
      <dgm:spPr/>
    </dgm:pt>
    <dgm:pt modelId="{FC9BFAC3-6B7B-4B9F-A3C1-34804ED6297F}" type="pres">
      <dgm:prSet presAssocID="{53725EB7-C21B-442D-9D83-7E3DF1C9D975}" presName="hierChild4" presStyleCnt="0"/>
      <dgm:spPr/>
    </dgm:pt>
    <dgm:pt modelId="{85C1F353-7248-437C-8315-3DF5F98815B4}" type="pres">
      <dgm:prSet presAssocID="{53725EB7-C21B-442D-9D83-7E3DF1C9D975}" presName="hierChild5" presStyleCnt="0"/>
      <dgm:spPr/>
    </dgm:pt>
    <dgm:pt modelId="{BFC70FEF-F97F-42C7-A8E4-59980C94878F}" type="pres">
      <dgm:prSet presAssocID="{0B91BB53-95C1-48AD-B94C-EBF4816F57B6}" presName="Name37" presStyleLbl="parChTrans1D3" presStyleIdx="14" presStyleCnt="34"/>
      <dgm:spPr/>
    </dgm:pt>
    <dgm:pt modelId="{81ADB5A7-9306-4168-89CF-535319F3CCC8}" type="pres">
      <dgm:prSet presAssocID="{C1685FB9-42EE-4995-88D6-ECF2C285D9A2}" presName="hierRoot2" presStyleCnt="0">
        <dgm:presLayoutVars>
          <dgm:hierBranch val="init"/>
        </dgm:presLayoutVars>
      </dgm:prSet>
      <dgm:spPr/>
    </dgm:pt>
    <dgm:pt modelId="{C253A084-6BAE-4423-90AC-7643C1486DAA}" type="pres">
      <dgm:prSet presAssocID="{C1685FB9-42EE-4995-88D6-ECF2C285D9A2}" presName="rootComposite" presStyleCnt="0"/>
      <dgm:spPr/>
    </dgm:pt>
    <dgm:pt modelId="{2C47E363-E35F-4FB2-93D0-10631FE25DF1}" type="pres">
      <dgm:prSet presAssocID="{C1685FB9-42EE-4995-88D6-ECF2C285D9A2}" presName="rootText" presStyleLbl="node3" presStyleIdx="14" presStyleCnt="34">
        <dgm:presLayoutVars>
          <dgm:chPref val="3"/>
        </dgm:presLayoutVars>
      </dgm:prSet>
      <dgm:spPr/>
    </dgm:pt>
    <dgm:pt modelId="{CD03A9A1-223D-4D66-BC90-D61EB027EEBA}" type="pres">
      <dgm:prSet presAssocID="{C1685FB9-42EE-4995-88D6-ECF2C285D9A2}" presName="rootConnector" presStyleLbl="node3" presStyleIdx="14" presStyleCnt="34"/>
      <dgm:spPr/>
    </dgm:pt>
    <dgm:pt modelId="{0D238CF9-879E-4B44-B32A-E5B5D07945F3}" type="pres">
      <dgm:prSet presAssocID="{C1685FB9-42EE-4995-88D6-ECF2C285D9A2}" presName="hierChild4" presStyleCnt="0"/>
      <dgm:spPr/>
    </dgm:pt>
    <dgm:pt modelId="{109634AC-D136-4C20-AC13-FA1974077EE1}" type="pres">
      <dgm:prSet presAssocID="{C1685FB9-42EE-4995-88D6-ECF2C285D9A2}" presName="hierChild5" presStyleCnt="0"/>
      <dgm:spPr/>
    </dgm:pt>
    <dgm:pt modelId="{2BE5711E-5B7C-4569-B103-B690A45CAFF5}" type="pres">
      <dgm:prSet presAssocID="{D535AB54-90B9-415B-A78E-35A8B51CEE63}" presName="Name37" presStyleLbl="parChTrans1D3" presStyleIdx="15" presStyleCnt="34"/>
      <dgm:spPr/>
    </dgm:pt>
    <dgm:pt modelId="{F130A685-73ED-4862-88C5-182032AA2363}" type="pres">
      <dgm:prSet presAssocID="{B0188D36-A244-4344-B86D-2B6363E74420}" presName="hierRoot2" presStyleCnt="0">
        <dgm:presLayoutVars>
          <dgm:hierBranch val="init"/>
        </dgm:presLayoutVars>
      </dgm:prSet>
      <dgm:spPr/>
    </dgm:pt>
    <dgm:pt modelId="{94D4FC49-7E34-4D91-A125-5B87A12221F6}" type="pres">
      <dgm:prSet presAssocID="{B0188D36-A244-4344-B86D-2B6363E74420}" presName="rootComposite" presStyleCnt="0"/>
      <dgm:spPr/>
    </dgm:pt>
    <dgm:pt modelId="{575FF7DE-3820-47E8-A173-200E60CD7846}" type="pres">
      <dgm:prSet presAssocID="{B0188D36-A244-4344-B86D-2B6363E74420}" presName="rootText" presStyleLbl="node3" presStyleIdx="15" presStyleCnt="34">
        <dgm:presLayoutVars>
          <dgm:chPref val="3"/>
        </dgm:presLayoutVars>
      </dgm:prSet>
      <dgm:spPr/>
    </dgm:pt>
    <dgm:pt modelId="{AA05857C-4E06-4DEB-BB39-2CE82235EC4B}" type="pres">
      <dgm:prSet presAssocID="{B0188D36-A244-4344-B86D-2B6363E74420}" presName="rootConnector" presStyleLbl="node3" presStyleIdx="15" presStyleCnt="34"/>
      <dgm:spPr/>
    </dgm:pt>
    <dgm:pt modelId="{348180D4-5EE1-445C-941D-E9E665557352}" type="pres">
      <dgm:prSet presAssocID="{B0188D36-A244-4344-B86D-2B6363E74420}" presName="hierChild4" presStyleCnt="0"/>
      <dgm:spPr/>
    </dgm:pt>
    <dgm:pt modelId="{6D93B02C-68D7-49CC-8F24-ED20F8B010C7}" type="pres">
      <dgm:prSet presAssocID="{B0188D36-A244-4344-B86D-2B6363E74420}" presName="hierChild5" presStyleCnt="0"/>
      <dgm:spPr/>
    </dgm:pt>
    <dgm:pt modelId="{7A46CE33-7194-42B8-89C0-9C34439CB738}" type="pres">
      <dgm:prSet presAssocID="{AEFBAA8D-4C35-456F-8698-23100AED96C5}" presName="Name37" presStyleLbl="parChTrans1D3" presStyleIdx="16" presStyleCnt="34"/>
      <dgm:spPr/>
    </dgm:pt>
    <dgm:pt modelId="{1731838B-DF12-4694-9823-B68F6A371673}" type="pres">
      <dgm:prSet presAssocID="{AFB55023-5E33-45D3-BD64-E35595BA71D0}" presName="hierRoot2" presStyleCnt="0">
        <dgm:presLayoutVars>
          <dgm:hierBranch val="init"/>
        </dgm:presLayoutVars>
      </dgm:prSet>
      <dgm:spPr/>
    </dgm:pt>
    <dgm:pt modelId="{84B98C15-D69C-4620-8F60-5E4C4F0D4D56}" type="pres">
      <dgm:prSet presAssocID="{AFB55023-5E33-45D3-BD64-E35595BA71D0}" presName="rootComposite" presStyleCnt="0"/>
      <dgm:spPr/>
    </dgm:pt>
    <dgm:pt modelId="{68DE9AA1-46DE-4DA1-B25A-A2BEB3C531C4}" type="pres">
      <dgm:prSet presAssocID="{AFB55023-5E33-45D3-BD64-E35595BA71D0}" presName="rootText" presStyleLbl="node3" presStyleIdx="16" presStyleCnt="34">
        <dgm:presLayoutVars>
          <dgm:chPref val="3"/>
        </dgm:presLayoutVars>
      </dgm:prSet>
      <dgm:spPr/>
    </dgm:pt>
    <dgm:pt modelId="{AC6E8AF8-F789-4DA9-BCB1-FFA64F2A33A3}" type="pres">
      <dgm:prSet presAssocID="{AFB55023-5E33-45D3-BD64-E35595BA71D0}" presName="rootConnector" presStyleLbl="node3" presStyleIdx="16" presStyleCnt="34"/>
      <dgm:spPr/>
    </dgm:pt>
    <dgm:pt modelId="{A03E1D35-590A-4F6A-B581-91E1F68046B9}" type="pres">
      <dgm:prSet presAssocID="{AFB55023-5E33-45D3-BD64-E35595BA71D0}" presName="hierChild4" presStyleCnt="0"/>
      <dgm:spPr/>
    </dgm:pt>
    <dgm:pt modelId="{C8D4DFB6-4E40-45C8-971B-BC52CF9DE592}" type="pres">
      <dgm:prSet presAssocID="{AFB55023-5E33-45D3-BD64-E35595BA71D0}" presName="hierChild5" presStyleCnt="0"/>
      <dgm:spPr/>
    </dgm:pt>
    <dgm:pt modelId="{410D2814-AD29-4F1E-B562-E1CCF3001A41}" type="pres">
      <dgm:prSet presAssocID="{C55DE831-7D65-4A6F-A342-125BA52D78BD}" presName="Name37" presStyleLbl="parChTrans1D3" presStyleIdx="17" presStyleCnt="34"/>
      <dgm:spPr/>
    </dgm:pt>
    <dgm:pt modelId="{BEA67115-202D-42C1-B776-C2F6A58D7624}" type="pres">
      <dgm:prSet presAssocID="{08AD9805-0E8F-4058-A75E-D504D881B28A}" presName="hierRoot2" presStyleCnt="0">
        <dgm:presLayoutVars>
          <dgm:hierBranch val="init"/>
        </dgm:presLayoutVars>
      </dgm:prSet>
      <dgm:spPr/>
    </dgm:pt>
    <dgm:pt modelId="{557DCA59-EF0B-4F37-95A9-1BBBDBE7764F}" type="pres">
      <dgm:prSet presAssocID="{08AD9805-0E8F-4058-A75E-D504D881B28A}" presName="rootComposite" presStyleCnt="0"/>
      <dgm:spPr/>
    </dgm:pt>
    <dgm:pt modelId="{CC0C9599-CE33-40C8-A22C-C745D51D761B}" type="pres">
      <dgm:prSet presAssocID="{08AD9805-0E8F-4058-A75E-D504D881B28A}" presName="rootText" presStyleLbl="node3" presStyleIdx="17" presStyleCnt="34">
        <dgm:presLayoutVars>
          <dgm:chPref val="3"/>
        </dgm:presLayoutVars>
      </dgm:prSet>
      <dgm:spPr/>
    </dgm:pt>
    <dgm:pt modelId="{68041647-8ABD-4C0A-997C-B6047C74449E}" type="pres">
      <dgm:prSet presAssocID="{08AD9805-0E8F-4058-A75E-D504D881B28A}" presName="rootConnector" presStyleLbl="node3" presStyleIdx="17" presStyleCnt="34"/>
      <dgm:spPr/>
    </dgm:pt>
    <dgm:pt modelId="{1262936B-82F3-43CF-9F1E-136AE5168D65}" type="pres">
      <dgm:prSet presAssocID="{08AD9805-0E8F-4058-A75E-D504D881B28A}" presName="hierChild4" presStyleCnt="0"/>
      <dgm:spPr/>
    </dgm:pt>
    <dgm:pt modelId="{E90245D4-C5C9-4439-95CB-403D0E92B7BE}" type="pres">
      <dgm:prSet presAssocID="{08AD9805-0E8F-4058-A75E-D504D881B28A}" presName="hierChild5" presStyleCnt="0"/>
      <dgm:spPr/>
    </dgm:pt>
    <dgm:pt modelId="{61E1A621-0028-4D26-B0C6-907045E8B780}" type="pres">
      <dgm:prSet presAssocID="{52ACEE0F-D679-467F-AF02-ECCA8CF27625}" presName="Name37" presStyleLbl="parChTrans1D3" presStyleIdx="18" presStyleCnt="34"/>
      <dgm:spPr/>
    </dgm:pt>
    <dgm:pt modelId="{652119CE-B0EB-415A-91C8-C9FC0ECD5A80}" type="pres">
      <dgm:prSet presAssocID="{84C9ACEE-76E2-4C94-B108-4EE3298B7ACA}" presName="hierRoot2" presStyleCnt="0">
        <dgm:presLayoutVars>
          <dgm:hierBranch val="init"/>
        </dgm:presLayoutVars>
      </dgm:prSet>
      <dgm:spPr/>
    </dgm:pt>
    <dgm:pt modelId="{92EE7BDE-2BDB-49F5-881C-6268A3645B35}" type="pres">
      <dgm:prSet presAssocID="{84C9ACEE-76E2-4C94-B108-4EE3298B7ACA}" presName="rootComposite" presStyleCnt="0"/>
      <dgm:spPr/>
    </dgm:pt>
    <dgm:pt modelId="{1D6441FD-0992-4589-B4F5-84BB329409A8}" type="pres">
      <dgm:prSet presAssocID="{84C9ACEE-76E2-4C94-B108-4EE3298B7ACA}" presName="rootText" presStyleLbl="node3" presStyleIdx="18" presStyleCnt="34">
        <dgm:presLayoutVars>
          <dgm:chPref val="3"/>
        </dgm:presLayoutVars>
      </dgm:prSet>
      <dgm:spPr/>
    </dgm:pt>
    <dgm:pt modelId="{B4B6805D-717B-4A0F-98EE-1279E2653244}" type="pres">
      <dgm:prSet presAssocID="{84C9ACEE-76E2-4C94-B108-4EE3298B7ACA}" presName="rootConnector" presStyleLbl="node3" presStyleIdx="18" presStyleCnt="34"/>
      <dgm:spPr/>
    </dgm:pt>
    <dgm:pt modelId="{FAE60ACB-35AD-4D70-9449-0769D5251429}" type="pres">
      <dgm:prSet presAssocID="{84C9ACEE-76E2-4C94-B108-4EE3298B7ACA}" presName="hierChild4" presStyleCnt="0"/>
      <dgm:spPr/>
    </dgm:pt>
    <dgm:pt modelId="{8189AC78-308A-44C5-A091-AAB1B3B10913}" type="pres">
      <dgm:prSet presAssocID="{84C9ACEE-76E2-4C94-B108-4EE3298B7ACA}" presName="hierChild5" presStyleCnt="0"/>
      <dgm:spPr/>
    </dgm:pt>
    <dgm:pt modelId="{E3350F37-4DF1-4D99-853A-B90C475A5A62}" type="pres">
      <dgm:prSet presAssocID="{1F96B63A-0264-4209-B5BB-5B95451DC40D}" presName="Name37" presStyleLbl="parChTrans1D3" presStyleIdx="19" presStyleCnt="34"/>
      <dgm:spPr/>
    </dgm:pt>
    <dgm:pt modelId="{7A1FC85B-2165-4B28-ACFA-38DF84C30C7A}" type="pres">
      <dgm:prSet presAssocID="{F5BAD451-8CA6-4BB2-B4C8-F8CD693DD96A}" presName="hierRoot2" presStyleCnt="0">
        <dgm:presLayoutVars>
          <dgm:hierBranch val="init"/>
        </dgm:presLayoutVars>
      </dgm:prSet>
      <dgm:spPr/>
    </dgm:pt>
    <dgm:pt modelId="{2376ED13-57D9-4F64-B483-A8CB07B5AFD7}" type="pres">
      <dgm:prSet presAssocID="{F5BAD451-8CA6-4BB2-B4C8-F8CD693DD96A}" presName="rootComposite" presStyleCnt="0"/>
      <dgm:spPr/>
    </dgm:pt>
    <dgm:pt modelId="{BC749CF6-3604-41E4-B6CD-382D32257F0C}" type="pres">
      <dgm:prSet presAssocID="{F5BAD451-8CA6-4BB2-B4C8-F8CD693DD96A}" presName="rootText" presStyleLbl="node3" presStyleIdx="19" presStyleCnt="34">
        <dgm:presLayoutVars>
          <dgm:chPref val="3"/>
        </dgm:presLayoutVars>
      </dgm:prSet>
      <dgm:spPr/>
    </dgm:pt>
    <dgm:pt modelId="{7574A4F2-CD57-416B-B7CA-07A8564962B5}" type="pres">
      <dgm:prSet presAssocID="{F5BAD451-8CA6-4BB2-B4C8-F8CD693DD96A}" presName="rootConnector" presStyleLbl="node3" presStyleIdx="19" presStyleCnt="34"/>
      <dgm:spPr/>
    </dgm:pt>
    <dgm:pt modelId="{8EDFF12A-265A-4113-8E8C-4F9B9050EE42}" type="pres">
      <dgm:prSet presAssocID="{F5BAD451-8CA6-4BB2-B4C8-F8CD693DD96A}" presName="hierChild4" presStyleCnt="0"/>
      <dgm:spPr/>
    </dgm:pt>
    <dgm:pt modelId="{EC0F36BB-39F0-476E-A2A3-F3D65C5D204A}" type="pres">
      <dgm:prSet presAssocID="{F5BAD451-8CA6-4BB2-B4C8-F8CD693DD96A}" presName="hierChild5" presStyleCnt="0"/>
      <dgm:spPr/>
    </dgm:pt>
    <dgm:pt modelId="{5D128A4D-9FD0-432C-9193-6F2283DFC7B7}" type="pres">
      <dgm:prSet presAssocID="{0AF52561-F47B-4750-AA55-119A5ACACA98}" presName="hierChild5" presStyleCnt="0"/>
      <dgm:spPr/>
    </dgm:pt>
    <dgm:pt modelId="{AD0B1CCB-99D3-4A6B-8BA2-5BD6CADF0810}" type="pres">
      <dgm:prSet presAssocID="{69AE3D5F-7B14-49E8-89DE-DAEEF3235E74}" presName="Name37" presStyleLbl="parChTrans1D2" presStyleIdx="3" presStyleCnt="6"/>
      <dgm:spPr/>
    </dgm:pt>
    <dgm:pt modelId="{C7FB8CBA-258E-4B9B-A819-B5042B08E938}" type="pres">
      <dgm:prSet presAssocID="{60363492-04BA-4B04-84A3-BE739001E328}" presName="hierRoot2" presStyleCnt="0">
        <dgm:presLayoutVars>
          <dgm:hierBranch val="init"/>
        </dgm:presLayoutVars>
      </dgm:prSet>
      <dgm:spPr/>
    </dgm:pt>
    <dgm:pt modelId="{98FE52E1-CF20-4B2C-A19A-2BC4CCCBF38A}" type="pres">
      <dgm:prSet presAssocID="{60363492-04BA-4B04-84A3-BE739001E328}" presName="rootComposite" presStyleCnt="0"/>
      <dgm:spPr/>
    </dgm:pt>
    <dgm:pt modelId="{1A1ABD2D-D74D-4398-B732-96203E27ADBA}" type="pres">
      <dgm:prSet presAssocID="{60363492-04BA-4B04-84A3-BE739001E328}" presName="rootText" presStyleLbl="node2" presStyleIdx="3" presStyleCnt="6">
        <dgm:presLayoutVars>
          <dgm:chPref val="3"/>
        </dgm:presLayoutVars>
      </dgm:prSet>
      <dgm:spPr/>
    </dgm:pt>
    <dgm:pt modelId="{5D625245-35FD-4481-A001-2C56D1A84C4F}" type="pres">
      <dgm:prSet presAssocID="{60363492-04BA-4B04-84A3-BE739001E328}" presName="rootConnector" presStyleLbl="node2" presStyleIdx="3" presStyleCnt="6"/>
      <dgm:spPr/>
    </dgm:pt>
    <dgm:pt modelId="{4B3BA6CC-6A96-4D38-A7CB-61EDEECEFE4A}" type="pres">
      <dgm:prSet presAssocID="{60363492-04BA-4B04-84A3-BE739001E328}" presName="hierChild4" presStyleCnt="0"/>
      <dgm:spPr/>
    </dgm:pt>
    <dgm:pt modelId="{31E018DF-82DA-4E7A-9CC1-D71D4F60EA5A}" type="pres">
      <dgm:prSet presAssocID="{BA6002D9-52AC-478F-ADF8-F3196CE789E4}" presName="Name37" presStyleLbl="parChTrans1D3" presStyleIdx="20" presStyleCnt="34"/>
      <dgm:spPr/>
    </dgm:pt>
    <dgm:pt modelId="{FE1AF7F7-D79F-4C4B-BCEA-27DE14CCC24E}" type="pres">
      <dgm:prSet presAssocID="{CD54AB01-754C-4C2C-BD09-99EEE0D5FA40}" presName="hierRoot2" presStyleCnt="0">
        <dgm:presLayoutVars>
          <dgm:hierBranch val="init"/>
        </dgm:presLayoutVars>
      </dgm:prSet>
      <dgm:spPr/>
    </dgm:pt>
    <dgm:pt modelId="{ECEFCF5A-7B4F-4463-83FE-A373182663E6}" type="pres">
      <dgm:prSet presAssocID="{CD54AB01-754C-4C2C-BD09-99EEE0D5FA40}" presName="rootComposite" presStyleCnt="0"/>
      <dgm:spPr/>
    </dgm:pt>
    <dgm:pt modelId="{B108941A-7E53-46F8-8BCF-0A255B256CB7}" type="pres">
      <dgm:prSet presAssocID="{CD54AB01-754C-4C2C-BD09-99EEE0D5FA40}" presName="rootText" presStyleLbl="node3" presStyleIdx="20" presStyleCnt="34">
        <dgm:presLayoutVars>
          <dgm:chPref val="3"/>
        </dgm:presLayoutVars>
      </dgm:prSet>
      <dgm:spPr/>
    </dgm:pt>
    <dgm:pt modelId="{91B2B06C-44E5-442F-BD57-B8E0D74CEA99}" type="pres">
      <dgm:prSet presAssocID="{CD54AB01-754C-4C2C-BD09-99EEE0D5FA40}" presName="rootConnector" presStyleLbl="node3" presStyleIdx="20" presStyleCnt="34"/>
      <dgm:spPr/>
    </dgm:pt>
    <dgm:pt modelId="{706510C0-EFBF-41BC-AC0E-5547CA4093BB}" type="pres">
      <dgm:prSet presAssocID="{CD54AB01-754C-4C2C-BD09-99EEE0D5FA40}" presName="hierChild4" presStyleCnt="0"/>
      <dgm:spPr/>
    </dgm:pt>
    <dgm:pt modelId="{25963440-8DFB-4456-B96B-01289CAD4474}" type="pres">
      <dgm:prSet presAssocID="{CD54AB01-754C-4C2C-BD09-99EEE0D5FA40}" presName="hierChild5" presStyleCnt="0"/>
      <dgm:spPr/>
    </dgm:pt>
    <dgm:pt modelId="{4AE75985-07AE-4C85-8314-EEFDD0CC2000}" type="pres">
      <dgm:prSet presAssocID="{91A1C10F-81C8-4816-8438-835D389BA321}" presName="Name37" presStyleLbl="parChTrans1D3" presStyleIdx="21" presStyleCnt="34"/>
      <dgm:spPr/>
    </dgm:pt>
    <dgm:pt modelId="{7BF4F15F-0636-4034-9CE4-E291F4460CCD}" type="pres">
      <dgm:prSet presAssocID="{D3E4E4A7-A6B3-46E6-8D70-29DB760F4EA3}" presName="hierRoot2" presStyleCnt="0">
        <dgm:presLayoutVars>
          <dgm:hierBranch val="init"/>
        </dgm:presLayoutVars>
      </dgm:prSet>
      <dgm:spPr/>
    </dgm:pt>
    <dgm:pt modelId="{299E5B65-A371-4317-B18D-C7C5A8E2FA37}" type="pres">
      <dgm:prSet presAssocID="{D3E4E4A7-A6B3-46E6-8D70-29DB760F4EA3}" presName="rootComposite" presStyleCnt="0"/>
      <dgm:spPr/>
    </dgm:pt>
    <dgm:pt modelId="{DE6F8113-9807-4774-ACEF-24F5AA0EEBF3}" type="pres">
      <dgm:prSet presAssocID="{D3E4E4A7-A6B3-46E6-8D70-29DB760F4EA3}" presName="rootText" presStyleLbl="node3" presStyleIdx="21" presStyleCnt="34">
        <dgm:presLayoutVars>
          <dgm:chPref val="3"/>
        </dgm:presLayoutVars>
      </dgm:prSet>
      <dgm:spPr/>
    </dgm:pt>
    <dgm:pt modelId="{2C9EA727-63B2-4594-8BA4-7250B2A8DED6}" type="pres">
      <dgm:prSet presAssocID="{D3E4E4A7-A6B3-46E6-8D70-29DB760F4EA3}" presName="rootConnector" presStyleLbl="node3" presStyleIdx="21" presStyleCnt="34"/>
      <dgm:spPr/>
    </dgm:pt>
    <dgm:pt modelId="{9FF94156-EDD8-43B2-8874-048AD156A97F}" type="pres">
      <dgm:prSet presAssocID="{D3E4E4A7-A6B3-46E6-8D70-29DB760F4EA3}" presName="hierChild4" presStyleCnt="0"/>
      <dgm:spPr/>
    </dgm:pt>
    <dgm:pt modelId="{867CAAAD-7390-4351-9FCA-53593B9FE501}" type="pres">
      <dgm:prSet presAssocID="{D3E4E4A7-A6B3-46E6-8D70-29DB760F4EA3}" presName="hierChild5" presStyleCnt="0"/>
      <dgm:spPr/>
    </dgm:pt>
    <dgm:pt modelId="{EFAC5AED-201C-4715-B717-F2E77E0B16B4}" type="pres">
      <dgm:prSet presAssocID="{D05D876B-C47F-47CC-9E89-5BF76AF30457}" presName="Name37" presStyleLbl="parChTrans1D3" presStyleIdx="22" presStyleCnt="34"/>
      <dgm:spPr/>
    </dgm:pt>
    <dgm:pt modelId="{653EC3AA-320E-4B52-A329-FBDFE6363F33}" type="pres">
      <dgm:prSet presAssocID="{2700CC09-FD1B-4961-B515-C6DB55152023}" presName="hierRoot2" presStyleCnt="0">
        <dgm:presLayoutVars>
          <dgm:hierBranch val="init"/>
        </dgm:presLayoutVars>
      </dgm:prSet>
      <dgm:spPr/>
    </dgm:pt>
    <dgm:pt modelId="{DC8A1564-1EE5-4B94-9A6E-F5A7F0651DA7}" type="pres">
      <dgm:prSet presAssocID="{2700CC09-FD1B-4961-B515-C6DB55152023}" presName="rootComposite" presStyleCnt="0"/>
      <dgm:spPr/>
    </dgm:pt>
    <dgm:pt modelId="{A89325FC-B92D-4BAC-9B6C-B1136EC8FC4F}" type="pres">
      <dgm:prSet presAssocID="{2700CC09-FD1B-4961-B515-C6DB55152023}" presName="rootText" presStyleLbl="node3" presStyleIdx="22" presStyleCnt="34">
        <dgm:presLayoutVars>
          <dgm:chPref val="3"/>
        </dgm:presLayoutVars>
      </dgm:prSet>
      <dgm:spPr/>
    </dgm:pt>
    <dgm:pt modelId="{783B3DE9-1AFB-4AA2-A098-393E10370A09}" type="pres">
      <dgm:prSet presAssocID="{2700CC09-FD1B-4961-B515-C6DB55152023}" presName="rootConnector" presStyleLbl="node3" presStyleIdx="22" presStyleCnt="34"/>
      <dgm:spPr/>
    </dgm:pt>
    <dgm:pt modelId="{4A8554FC-1D45-4901-A42C-16EC0781E4DA}" type="pres">
      <dgm:prSet presAssocID="{2700CC09-FD1B-4961-B515-C6DB55152023}" presName="hierChild4" presStyleCnt="0"/>
      <dgm:spPr/>
    </dgm:pt>
    <dgm:pt modelId="{769B4A83-68D7-4B38-BCEC-4264BDD889B1}" type="pres">
      <dgm:prSet presAssocID="{2700CC09-FD1B-4961-B515-C6DB55152023}" presName="hierChild5" presStyleCnt="0"/>
      <dgm:spPr/>
    </dgm:pt>
    <dgm:pt modelId="{AFF16F2D-7095-4275-B411-F96F5DB641D3}" type="pres">
      <dgm:prSet presAssocID="{F73D03AA-3FD0-4DD8-BACA-062435E885F0}" presName="Name37" presStyleLbl="parChTrans1D3" presStyleIdx="23" presStyleCnt="34"/>
      <dgm:spPr/>
    </dgm:pt>
    <dgm:pt modelId="{461F52E6-473B-44A4-90C4-EF4E3AB34988}" type="pres">
      <dgm:prSet presAssocID="{CCDF5A1F-8583-4BF2-B848-C259A549D889}" presName="hierRoot2" presStyleCnt="0">
        <dgm:presLayoutVars>
          <dgm:hierBranch val="init"/>
        </dgm:presLayoutVars>
      </dgm:prSet>
      <dgm:spPr/>
    </dgm:pt>
    <dgm:pt modelId="{A1707FD2-DA7B-4AD2-B4EE-F1D30148CDBD}" type="pres">
      <dgm:prSet presAssocID="{CCDF5A1F-8583-4BF2-B848-C259A549D889}" presName="rootComposite" presStyleCnt="0"/>
      <dgm:spPr/>
    </dgm:pt>
    <dgm:pt modelId="{4A58AED8-1E5D-44B2-A060-A3F8BDA8CD20}" type="pres">
      <dgm:prSet presAssocID="{CCDF5A1F-8583-4BF2-B848-C259A549D889}" presName="rootText" presStyleLbl="node3" presStyleIdx="23" presStyleCnt="34">
        <dgm:presLayoutVars>
          <dgm:chPref val="3"/>
        </dgm:presLayoutVars>
      </dgm:prSet>
      <dgm:spPr/>
    </dgm:pt>
    <dgm:pt modelId="{F7169DE8-31DE-4C6F-8CEB-94E10F5C5375}" type="pres">
      <dgm:prSet presAssocID="{CCDF5A1F-8583-4BF2-B848-C259A549D889}" presName="rootConnector" presStyleLbl="node3" presStyleIdx="23" presStyleCnt="34"/>
      <dgm:spPr/>
    </dgm:pt>
    <dgm:pt modelId="{B52D5DC5-815C-4CF5-96C1-170F3AAFA832}" type="pres">
      <dgm:prSet presAssocID="{CCDF5A1F-8583-4BF2-B848-C259A549D889}" presName="hierChild4" presStyleCnt="0"/>
      <dgm:spPr/>
    </dgm:pt>
    <dgm:pt modelId="{71AF0BBF-B8AC-4AC8-B764-5231E257C4E3}" type="pres">
      <dgm:prSet presAssocID="{CCDF5A1F-8583-4BF2-B848-C259A549D889}" presName="hierChild5" presStyleCnt="0"/>
      <dgm:spPr/>
    </dgm:pt>
    <dgm:pt modelId="{E6368DA9-CE11-4671-8A07-30E3B31611CE}" type="pres">
      <dgm:prSet presAssocID="{60363492-04BA-4B04-84A3-BE739001E328}" presName="hierChild5" presStyleCnt="0"/>
      <dgm:spPr/>
    </dgm:pt>
    <dgm:pt modelId="{E2033779-5943-41A3-8436-F5F77270BD2D}" type="pres">
      <dgm:prSet presAssocID="{F8CA545D-0688-41FE-BF67-7A4A6DF6922F}" presName="Name37" presStyleLbl="parChTrans1D2" presStyleIdx="4" presStyleCnt="6"/>
      <dgm:spPr/>
    </dgm:pt>
    <dgm:pt modelId="{EC52B5DD-F9E3-4AD9-998E-700D39E564B9}" type="pres">
      <dgm:prSet presAssocID="{25DB0AB0-EA8E-4AE9-AB36-F7B85FD25245}" presName="hierRoot2" presStyleCnt="0">
        <dgm:presLayoutVars>
          <dgm:hierBranch val="init"/>
        </dgm:presLayoutVars>
      </dgm:prSet>
      <dgm:spPr/>
    </dgm:pt>
    <dgm:pt modelId="{16F1A1C0-C5E3-464E-84B3-99F1CA75A3F0}" type="pres">
      <dgm:prSet presAssocID="{25DB0AB0-EA8E-4AE9-AB36-F7B85FD25245}" presName="rootComposite" presStyleCnt="0"/>
      <dgm:spPr/>
    </dgm:pt>
    <dgm:pt modelId="{16E63AC0-9876-486D-8DE1-7483FE3B4FF4}" type="pres">
      <dgm:prSet presAssocID="{25DB0AB0-EA8E-4AE9-AB36-F7B85FD25245}" presName="rootText" presStyleLbl="node2" presStyleIdx="4" presStyleCnt="6">
        <dgm:presLayoutVars>
          <dgm:chPref val="3"/>
        </dgm:presLayoutVars>
      </dgm:prSet>
      <dgm:spPr/>
    </dgm:pt>
    <dgm:pt modelId="{2C2B6609-CE1F-4041-820E-4C7D9649AA23}" type="pres">
      <dgm:prSet presAssocID="{25DB0AB0-EA8E-4AE9-AB36-F7B85FD25245}" presName="rootConnector" presStyleLbl="node2" presStyleIdx="4" presStyleCnt="6"/>
      <dgm:spPr/>
    </dgm:pt>
    <dgm:pt modelId="{7FC47E4D-375A-4B71-A777-779D14C2E972}" type="pres">
      <dgm:prSet presAssocID="{25DB0AB0-EA8E-4AE9-AB36-F7B85FD25245}" presName="hierChild4" presStyleCnt="0"/>
      <dgm:spPr/>
    </dgm:pt>
    <dgm:pt modelId="{9CCE842B-986D-4696-B96D-D77443E82BA5}" type="pres">
      <dgm:prSet presAssocID="{23093466-27EA-4DEF-ADAF-8519946A86F6}" presName="Name37" presStyleLbl="parChTrans1D3" presStyleIdx="24" presStyleCnt="34"/>
      <dgm:spPr/>
    </dgm:pt>
    <dgm:pt modelId="{4BED2C8A-C17A-4C02-B2D0-1501D5121E1B}" type="pres">
      <dgm:prSet presAssocID="{081359E9-C1AE-4CD1-AA69-BB0BE0699EE2}" presName="hierRoot2" presStyleCnt="0">
        <dgm:presLayoutVars>
          <dgm:hierBranch val="init"/>
        </dgm:presLayoutVars>
      </dgm:prSet>
      <dgm:spPr/>
    </dgm:pt>
    <dgm:pt modelId="{69735807-163A-448E-A028-BBBE860994FF}" type="pres">
      <dgm:prSet presAssocID="{081359E9-C1AE-4CD1-AA69-BB0BE0699EE2}" presName="rootComposite" presStyleCnt="0"/>
      <dgm:spPr/>
    </dgm:pt>
    <dgm:pt modelId="{BC658298-E3E6-4FD4-A9C8-55840589A9E3}" type="pres">
      <dgm:prSet presAssocID="{081359E9-C1AE-4CD1-AA69-BB0BE0699EE2}" presName="rootText" presStyleLbl="node3" presStyleIdx="24" presStyleCnt="34">
        <dgm:presLayoutVars>
          <dgm:chPref val="3"/>
        </dgm:presLayoutVars>
      </dgm:prSet>
      <dgm:spPr/>
    </dgm:pt>
    <dgm:pt modelId="{68A3B434-D30C-4E43-9F08-CE4A6708472F}" type="pres">
      <dgm:prSet presAssocID="{081359E9-C1AE-4CD1-AA69-BB0BE0699EE2}" presName="rootConnector" presStyleLbl="node3" presStyleIdx="24" presStyleCnt="34"/>
      <dgm:spPr/>
    </dgm:pt>
    <dgm:pt modelId="{1BE42DEB-4A23-4764-ADD7-68E33B9BF7C2}" type="pres">
      <dgm:prSet presAssocID="{081359E9-C1AE-4CD1-AA69-BB0BE0699EE2}" presName="hierChild4" presStyleCnt="0"/>
      <dgm:spPr/>
    </dgm:pt>
    <dgm:pt modelId="{F0A9D6F2-CFFB-4A68-993E-9ED6D369D8D3}" type="pres">
      <dgm:prSet presAssocID="{081359E9-C1AE-4CD1-AA69-BB0BE0699EE2}" presName="hierChild5" presStyleCnt="0"/>
      <dgm:spPr/>
    </dgm:pt>
    <dgm:pt modelId="{DF7E98A2-8D00-4B12-B20F-08E58E3E7B05}" type="pres">
      <dgm:prSet presAssocID="{C575944B-419A-4092-8E89-F2E85B4B35F0}" presName="Name37" presStyleLbl="parChTrans1D3" presStyleIdx="25" presStyleCnt="34"/>
      <dgm:spPr/>
    </dgm:pt>
    <dgm:pt modelId="{79462BA8-B8B4-4E39-A271-6AECDD87B6A5}" type="pres">
      <dgm:prSet presAssocID="{643B608E-5F42-4929-8238-B2DDF6D3F646}" presName="hierRoot2" presStyleCnt="0">
        <dgm:presLayoutVars>
          <dgm:hierBranch val="init"/>
        </dgm:presLayoutVars>
      </dgm:prSet>
      <dgm:spPr/>
    </dgm:pt>
    <dgm:pt modelId="{2C415BC9-7EE3-49AF-AB60-51F4FC3ECE4E}" type="pres">
      <dgm:prSet presAssocID="{643B608E-5F42-4929-8238-B2DDF6D3F646}" presName="rootComposite" presStyleCnt="0"/>
      <dgm:spPr/>
    </dgm:pt>
    <dgm:pt modelId="{3BB2151E-A3AF-4FEB-993A-C66D8995922F}" type="pres">
      <dgm:prSet presAssocID="{643B608E-5F42-4929-8238-B2DDF6D3F646}" presName="rootText" presStyleLbl="node3" presStyleIdx="25" presStyleCnt="34">
        <dgm:presLayoutVars>
          <dgm:chPref val="3"/>
        </dgm:presLayoutVars>
      </dgm:prSet>
      <dgm:spPr/>
    </dgm:pt>
    <dgm:pt modelId="{EDA83643-1E24-4E15-9B5C-5745B69760A1}" type="pres">
      <dgm:prSet presAssocID="{643B608E-5F42-4929-8238-B2DDF6D3F646}" presName="rootConnector" presStyleLbl="node3" presStyleIdx="25" presStyleCnt="34"/>
      <dgm:spPr/>
    </dgm:pt>
    <dgm:pt modelId="{224E0FE7-35E0-4C6F-9A4D-E9DF181E1873}" type="pres">
      <dgm:prSet presAssocID="{643B608E-5F42-4929-8238-B2DDF6D3F646}" presName="hierChild4" presStyleCnt="0"/>
      <dgm:spPr/>
    </dgm:pt>
    <dgm:pt modelId="{2677128C-C783-42B7-A78F-07A8D5689C93}" type="pres">
      <dgm:prSet presAssocID="{643B608E-5F42-4929-8238-B2DDF6D3F646}" presName="hierChild5" presStyleCnt="0"/>
      <dgm:spPr/>
    </dgm:pt>
    <dgm:pt modelId="{C649EFA2-9D0B-4272-9EF0-92B1B7C98729}" type="pres">
      <dgm:prSet presAssocID="{D007F2A5-0B2A-4552-98E8-CB9BC6446864}" presName="Name37" presStyleLbl="parChTrans1D3" presStyleIdx="26" presStyleCnt="34"/>
      <dgm:spPr/>
    </dgm:pt>
    <dgm:pt modelId="{6B05DD45-E930-4F9D-AA81-B662A16C1B02}" type="pres">
      <dgm:prSet presAssocID="{E57121E5-A626-4AC2-91F8-5BC92AF972B3}" presName="hierRoot2" presStyleCnt="0">
        <dgm:presLayoutVars>
          <dgm:hierBranch val="init"/>
        </dgm:presLayoutVars>
      </dgm:prSet>
      <dgm:spPr/>
    </dgm:pt>
    <dgm:pt modelId="{945B9857-2215-4629-8B41-785B04788225}" type="pres">
      <dgm:prSet presAssocID="{E57121E5-A626-4AC2-91F8-5BC92AF972B3}" presName="rootComposite" presStyleCnt="0"/>
      <dgm:spPr/>
    </dgm:pt>
    <dgm:pt modelId="{094B9F1E-449C-4914-A511-A3E20874152B}" type="pres">
      <dgm:prSet presAssocID="{E57121E5-A626-4AC2-91F8-5BC92AF972B3}" presName="rootText" presStyleLbl="node3" presStyleIdx="26" presStyleCnt="34">
        <dgm:presLayoutVars>
          <dgm:chPref val="3"/>
        </dgm:presLayoutVars>
      </dgm:prSet>
      <dgm:spPr/>
    </dgm:pt>
    <dgm:pt modelId="{CD32E0A3-9731-4BBC-B115-CF0139BF6F15}" type="pres">
      <dgm:prSet presAssocID="{E57121E5-A626-4AC2-91F8-5BC92AF972B3}" presName="rootConnector" presStyleLbl="node3" presStyleIdx="26" presStyleCnt="34"/>
      <dgm:spPr/>
    </dgm:pt>
    <dgm:pt modelId="{2A728D45-37B3-49F6-9595-270718606037}" type="pres">
      <dgm:prSet presAssocID="{E57121E5-A626-4AC2-91F8-5BC92AF972B3}" presName="hierChild4" presStyleCnt="0"/>
      <dgm:spPr/>
    </dgm:pt>
    <dgm:pt modelId="{4FD2E5A7-3DAE-4AC4-BFE3-8311FEF4F565}" type="pres">
      <dgm:prSet presAssocID="{E57121E5-A626-4AC2-91F8-5BC92AF972B3}" presName="hierChild5" presStyleCnt="0"/>
      <dgm:spPr/>
    </dgm:pt>
    <dgm:pt modelId="{74EAE663-022F-4A11-A437-6C2B3DB14EFD}" type="pres">
      <dgm:prSet presAssocID="{46B34E20-E752-4DD6-B4AC-11BFD0D224D0}" presName="Name37" presStyleLbl="parChTrans1D3" presStyleIdx="27" presStyleCnt="34"/>
      <dgm:spPr/>
    </dgm:pt>
    <dgm:pt modelId="{009425B7-CC35-4023-B62A-99050964E844}" type="pres">
      <dgm:prSet presAssocID="{6876CFF5-5B10-4D72-B6FD-CA337639ACB2}" presName="hierRoot2" presStyleCnt="0">
        <dgm:presLayoutVars>
          <dgm:hierBranch val="init"/>
        </dgm:presLayoutVars>
      </dgm:prSet>
      <dgm:spPr/>
    </dgm:pt>
    <dgm:pt modelId="{7D260B70-DA9F-4784-B16F-E37B1D78B85B}" type="pres">
      <dgm:prSet presAssocID="{6876CFF5-5B10-4D72-B6FD-CA337639ACB2}" presName="rootComposite" presStyleCnt="0"/>
      <dgm:spPr/>
    </dgm:pt>
    <dgm:pt modelId="{1AA56AC2-D12A-416C-BF86-EE1A5AAE9322}" type="pres">
      <dgm:prSet presAssocID="{6876CFF5-5B10-4D72-B6FD-CA337639ACB2}" presName="rootText" presStyleLbl="node3" presStyleIdx="27" presStyleCnt="34">
        <dgm:presLayoutVars>
          <dgm:chPref val="3"/>
        </dgm:presLayoutVars>
      </dgm:prSet>
      <dgm:spPr/>
    </dgm:pt>
    <dgm:pt modelId="{6B7A8662-269C-4D10-B034-0630B91C3EC2}" type="pres">
      <dgm:prSet presAssocID="{6876CFF5-5B10-4D72-B6FD-CA337639ACB2}" presName="rootConnector" presStyleLbl="node3" presStyleIdx="27" presStyleCnt="34"/>
      <dgm:spPr/>
    </dgm:pt>
    <dgm:pt modelId="{1B18D78E-4DEF-49FB-A929-01666D8B1534}" type="pres">
      <dgm:prSet presAssocID="{6876CFF5-5B10-4D72-B6FD-CA337639ACB2}" presName="hierChild4" presStyleCnt="0"/>
      <dgm:spPr/>
    </dgm:pt>
    <dgm:pt modelId="{C6DE3C47-46EA-452D-A887-D7BD7143785C}" type="pres">
      <dgm:prSet presAssocID="{6876CFF5-5B10-4D72-B6FD-CA337639ACB2}" presName="hierChild5" presStyleCnt="0"/>
      <dgm:spPr/>
    </dgm:pt>
    <dgm:pt modelId="{4919736B-D7FE-49BA-9AE0-1F5D5E2B2D50}" type="pres">
      <dgm:prSet presAssocID="{25DB0AB0-EA8E-4AE9-AB36-F7B85FD25245}" presName="hierChild5" presStyleCnt="0"/>
      <dgm:spPr/>
    </dgm:pt>
    <dgm:pt modelId="{6C85AD36-6E01-42D2-AEF1-FBA82827BB61}" type="pres">
      <dgm:prSet presAssocID="{2F871A48-B0C8-4378-A17A-C3F5F916729F}" presName="Name37" presStyleLbl="parChTrans1D2" presStyleIdx="5" presStyleCnt="6"/>
      <dgm:spPr/>
    </dgm:pt>
    <dgm:pt modelId="{2F4DDF5A-139E-493F-810A-D11D1C33B041}" type="pres">
      <dgm:prSet presAssocID="{3D3DC90B-1B29-440C-8B4D-98F82B7D84D5}" presName="hierRoot2" presStyleCnt="0">
        <dgm:presLayoutVars>
          <dgm:hierBranch val="init"/>
        </dgm:presLayoutVars>
      </dgm:prSet>
      <dgm:spPr/>
    </dgm:pt>
    <dgm:pt modelId="{16D2DBE7-B098-459E-84B2-E2CDBE505886}" type="pres">
      <dgm:prSet presAssocID="{3D3DC90B-1B29-440C-8B4D-98F82B7D84D5}" presName="rootComposite" presStyleCnt="0"/>
      <dgm:spPr/>
    </dgm:pt>
    <dgm:pt modelId="{BD05DB09-F367-4DD0-B867-ED53300CEBA3}" type="pres">
      <dgm:prSet presAssocID="{3D3DC90B-1B29-440C-8B4D-98F82B7D84D5}" presName="rootText" presStyleLbl="node2" presStyleIdx="5" presStyleCnt="6">
        <dgm:presLayoutVars>
          <dgm:chPref val="3"/>
        </dgm:presLayoutVars>
      </dgm:prSet>
      <dgm:spPr/>
    </dgm:pt>
    <dgm:pt modelId="{634F8247-E9BF-4455-B9AC-6F8DAAE4DC9C}" type="pres">
      <dgm:prSet presAssocID="{3D3DC90B-1B29-440C-8B4D-98F82B7D84D5}" presName="rootConnector" presStyleLbl="node2" presStyleIdx="5" presStyleCnt="6"/>
      <dgm:spPr/>
    </dgm:pt>
    <dgm:pt modelId="{55A0537B-0042-4C81-81D9-81EBEFE9823C}" type="pres">
      <dgm:prSet presAssocID="{3D3DC90B-1B29-440C-8B4D-98F82B7D84D5}" presName="hierChild4" presStyleCnt="0"/>
      <dgm:spPr/>
    </dgm:pt>
    <dgm:pt modelId="{8B94E6C6-CEC5-43E0-819E-F3D55266F455}" type="pres">
      <dgm:prSet presAssocID="{DB0EEAA7-2DCE-4CB6-BBA0-7EE020DFF436}" presName="Name37" presStyleLbl="parChTrans1D3" presStyleIdx="28" presStyleCnt="34"/>
      <dgm:spPr/>
    </dgm:pt>
    <dgm:pt modelId="{743C52B3-EC4B-442A-B355-6C274AEE7077}" type="pres">
      <dgm:prSet presAssocID="{024D5808-B1F2-4377-BC94-5CF8AE8F86CD}" presName="hierRoot2" presStyleCnt="0">
        <dgm:presLayoutVars>
          <dgm:hierBranch val="init"/>
        </dgm:presLayoutVars>
      </dgm:prSet>
      <dgm:spPr/>
    </dgm:pt>
    <dgm:pt modelId="{D0B04744-0F0A-4468-9BE5-CA176AF0E13A}" type="pres">
      <dgm:prSet presAssocID="{024D5808-B1F2-4377-BC94-5CF8AE8F86CD}" presName="rootComposite" presStyleCnt="0"/>
      <dgm:spPr/>
    </dgm:pt>
    <dgm:pt modelId="{0A39DB86-8D91-4B29-AEAE-64783F7F2497}" type="pres">
      <dgm:prSet presAssocID="{024D5808-B1F2-4377-BC94-5CF8AE8F86CD}" presName="rootText" presStyleLbl="node3" presStyleIdx="28" presStyleCnt="34">
        <dgm:presLayoutVars>
          <dgm:chPref val="3"/>
        </dgm:presLayoutVars>
      </dgm:prSet>
      <dgm:spPr/>
    </dgm:pt>
    <dgm:pt modelId="{5DA437A0-E83A-433D-8D50-6CC8CE5816D9}" type="pres">
      <dgm:prSet presAssocID="{024D5808-B1F2-4377-BC94-5CF8AE8F86CD}" presName="rootConnector" presStyleLbl="node3" presStyleIdx="28" presStyleCnt="34"/>
      <dgm:spPr/>
    </dgm:pt>
    <dgm:pt modelId="{BF9CFEC5-A0FB-4E71-B2C5-A8EC6703AFE2}" type="pres">
      <dgm:prSet presAssocID="{024D5808-B1F2-4377-BC94-5CF8AE8F86CD}" presName="hierChild4" presStyleCnt="0"/>
      <dgm:spPr/>
    </dgm:pt>
    <dgm:pt modelId="{437CBBF3-850A-4548-8E77-BB824DEF7AD1}" type="pres">
      <dgm:prSet presAssocID="{024D5808-B1F2-4377-BC94-5CF8AE8F86CD}" presName="hierChild5" presStyleCnt="0"/>
      <dgm:spPr/>
    </dgm:pt>
    <dgm:pt modelId="{1A77D9E4-3529-4B73-BE42-0E9E91CB0B98}" type="pres">
      <dgm:prSet presAssocID="{0296AFE2-2F35-497D-A56D-44B3DF16D562}" presName="Name37" presStyleLbl="parChTrans1D3" presStyleIdx="29" presStyleCnt="34"/>
      <dgm:spPr/>
    </dgm:pt>
    <dgm:pt modelId="{08C3BD18-83AE-42D5-8B61-E04B041111EB}" type="pres">
      <dgm:prSet presAssocID="{AC41D3C9-090E-46C2-9A47-242B134658A4}" presName="hierRoot2" presStyleCnt="0">
        <dgm:presLayoutVars>
          <dgm:hierBranch val="init"/>
        </dgm:presLayoutVars>
      </dgm:prSet>
      <dgm:spPr/>
    </dgm:pt>
    <dgm:pt modelId="{DC2D64D6-032F-453A-B24A-3DE0E8F84328}" type="pres">
      <dgm:prSet presAssocID="{AC41D3C9-090E-46C2-9A47-242B134658A4}" presName="rootComposite" presStyleCnt="0"/>
      <dgm:spPr/>
    </dgm:pt>
    <dgm:pt modelId="{8107A7A6-E98E-4034-81ED-255AFFCF34A8}" type="pres">
      <dgm:prSet presAssocID="{AC41D3C9-090E-46C2-9A47-242B134658A4}" presName="rootText" presStyleLbl="node3" presStyleIdx="29" presStyleCnt="34">
        <dgm:presLayoutVars>
          <dgm:chPref val="3"/>
        </dgm:presLayoutVars>
      </dgm:prSet>
      <dgm:spPr/>
    </dgm:pt>
    <dgm:pt modelId="{E573D934-9A17-4C68-AD55-1ECFDB1D87BF}" type="pres">
      <dgm:prSet presAssocID="{AC41D3C9-090E-46C2-9A47-242B134658A4}" presName="rootConnector" presStyleLbl="node3" presStyleIdx="29" presStyleCnt="34"/>
      <dgm:spPr/>
    </dgm:pt>
    <dgm:pt modelId="{6D386F50-C3BA-4B9D-898C-37CBA4A559D9}" type="pres">
      <dgm:prSet presAssocID="{AC41D3C9-090E-46C2-9A47-242B134658A4}" presName="hierChild4" presStyleCnt="0"/>
      <dgm:spPr/>
    </dgm:pt>
    <dgm:pt modelId="{3C7BB0A4-C7E1-42E1-9788-D54C0776F935}" type="pres">
      <dgm:prSet presAssocID="{AC41D3C9-090E-46C2-9A47-242B134658A4}" presName="hierChild5" presStyleCnt="0"/>
      <dgm:spPr/>
    </dgm:pt>
    <dgm:pt modelId="{59B2ADF3-1B2F-4327-8613-C9ED5502E71F}" type="pres">
      <dgm:prSet presAssocID="{9C79AA53-1DB3-4CE7-B810-5F887EFBF432}" presName="Name37" presStyleLbl="parChTrans1D3" presStyleIdx="30" presStyleCnt="34"/>
      <dgm:spPr/>
    </dgm:pt>
    <dgm:pt modelId="{BF5AA9D9-1456-40A0-8E5D-BC0557D67D9F}" type="pres">
      <dgm:prSet presAssocID="{0C2266FE-3C00-4322-894D-B7093C946382}" presName="hierRoot2" presStyleCnt="0">
        <dgm:presLayoutVars>
          <dgm:hierBranch val="init"/>
        </dgm:presLayoutVars>
      </dgm:prSet>
      <dgm:spPr/>
    </dgm:pt>
    <dgm:pt modelId="{32C52295-5F46-42B8-BBEC-493E8162A669}" type="pres">
      <dgm:prSet presAssocID="{0C2266FE-3C00-4322-894D-B7093C946382}" presName="rootComposite" presStyleCnt="0"/>
      <dgm:spPr/>
    </dgm:pt>
    <dgm:pt modelId="{C67DDF91-A1A6-4148-AC2E-ADE238D988A5}" type="pres">
      <dgm:prSet presAssocID="{0C2266FE-3C00-4322-894D-B7093C946382}" presName="rootText" presStyleLbl="node3" presStyleIdx="30" presStyleCnt="34">
        <dgm:presLayoutVars>
          <dgm:chPref val="3"/>
        </dgm:presLayoutVars>
      </dgm:prSet>
      <dgm:spPr/>
    </dgm:pt>
    <dgm:pt modelId="{A25B6333-E948-45EA-8E0C-9CEBF31F294C}" type="pres">
      <dgm:prSet presAssocID="{0C2266FE-3C00-4322-894D-B7093C946382}" presName="rootConnector" presStyleLbl="node3" presStyleIdx="30" presStyleCnt="34"/>
      <dgm:spPr/>
    </dgm:pt>
    <dgm:pt modelId="{87E302F3-2C8F-478B-8F1F-09E0F10102C2}" type="pres">
      <dgm:prSet presAssocID="{0C2266FE-3C00-4322-894D-B7093C946382}" presName="hierChild4" presStyleCnt="0"/>
      <dgm:spPr/>
    </dgm:pt>
    <dgm:pt modelId="{3DDB16E9-6290-4B29-A109-076EB150B312}" type="pres">
      <dgm:prSet presAssocID="{0C2266FE-3C00-4322-894D-B7093C946382}" presName="hierChild5" presStyleCnt="0"/>
      <dgm:spPr/>
    </dgm:pt>
    <dgm:pt modelId="{8FB49B0A-4449-41F5-80A2-B7D5E09D1471}" type="pres">
      <dgm:prSet presAssocID="{0EFCFF31-922C-47DB-87F8-7A269CABA411}" presName="Name37" presStyleLbl="parChTrans1D3" presStyleIdx="31" presStyleCnt="34"/>
      <dgm:spPr/>
    </dgm:pt>
    <dgm:pt modelId="{50527235-AC12-4366-B163-37FB5F62B683}" type="pres">
      <dgm:prSet presAssocID="{D2D90689-B900-45B4-B160-44EEAEF88A29}" presName="hierRoot2" presStyleCnt="0">
        <dgm:presLayoutVars>
          <dgm:hierBranch val="init"/>
        </dgm:presLayoutVars>
      </dgm:prSet>
      <dgm:spPr/>
    </dgm:pt>
    <dgm:pt modelId="{980D1648-555B-4676-9A17-C33411F009FD}" type="pres">
      <dgm:prSet presAssocID="{D2D90689-B900-45B4-B160-44EEAEF88A29}" presName="rootComposite" presStyleCnt="0"/>
      <dgm:spPr/>
    </dgm:pt>
    <dgm:pt modelId="{9B8FCAAF-C899-4E91-A43A-2792529FE583}" type="pres">
      <dgm:prSet presAssocID="{D2D90689-B900-45B4-B160-44EEAEF88A29}" presName="rootText" presStyleLbl="node3" presStyleIdx="31" presStyleCnt="34">
        <dgm:presLayoutVars>
          <dgm:chPref val="3"/>
        </dgm:presLayoutVars>
      </dgm:prSet>
      <dgm:spPr/>
    </dgm:pt>
    <dgm:pt modelId="{F3DF8F6E-3AEA-46DC-A7EB-A54899BEDFCA}" type="pres">
      <dgm:prSet presAssocID="{D2D90689-B900-45B4-B160-44EEAEF88A29}" presName="rootConnector" presStyleLbl="node3" presStyleIdx="31" presStyleCnt="34"/>
      <dgm:spPr/>
    </dgm:pt>
    <dgm:pt modelId="{8EA593F4-2550-4B0F-B295-8CC8AA0A6E3B}" type="pres">
      <dgm:prSet presAssocID="{D2D90689-B900-45B4-B160-44EEAEF88A29}" presName="hierChild4" presStyleCnt="0"/>
      <dgm:spPr/>
    </dgm:pt>
    <dgm:pt modelId="{41ADA38D-DBD1-4BF1-BA46-11C153FE1843}" type="pres">
      <dgm:prSet presAssocID="{D2D90689-B900-45B4-B160-44EEAEF88A29}" presName="hierChild5" presStyleCnt="0"/>
      <dgm:spPr/>
    </dgm:pt>
    <dgm:pt modelId="{EE92BEB3-F109-43DC-83F3-10FD5D986DB2}" type="pres">
      <dgm:prSet presAssocID="{DE90483C-8233-44DE-918D-7DFAFBA08FFF}" presName="Name37" presStyleLbl="parChTrans1D3" presStyleIdx="32" presStyleCnt="34"/>
      <dgm:spPr/>
    </dgm:pt>
    <dgm:pt modelId="{E7E36BE0-63CE-411D-8617-EED6DE9802FC}" type="pres">
      <dgm:prSet presAssocID="{8B312E0D-413C-479E-AC1C-B8E08795764E}" presName="hierRoot2" presStyleCnt="0">
        <dgm:presLayoutVars>
          <dgm:hierBranch val="init"/>
        </dgm:presLayoutVars>
      </dgm:prSet>
      <dgm:spPr/>
    </dgm:pt>
    <dgm:pt modelId="{DBD515C5-1A8F-4231-B877-17EBCE3DA956}" type="pres">
      <dgm:prSet presAssocID="{8B312E0D-413C-479E-AC1C-B8E08795764E}" presName="rootComposite" presStyleCnt="0"/>
      <dgm:spPr/>
    </dgm:pt>
    <dgm:pt modelId="{33D162A6-8742-4FE5-83D7-BF93A0F46865}" type="pres">
      <dgm:prSet presAssocID="{8B312E0D-413C-479E-AC1C-B8E08795764E}" presName="rootText" presStyleLbl="node3" presStyleIdx="32" presStyleCnt="34">
        <dgm:presLayoutVars>
          <dgm:chPref val="3"/>
        </dgm:presLayoutVars>
      </dgm:prSet>
      <dgm:spPr/>
    </dgm:pt>
    <dgm:pt modelId="{B74E0D15-6761-41D4-901C-AC46B87C8C8C}" type="pres">
      <dgm:prSet presAssocID="{8B312E0D-413C-479E-AC1C-B8E08795764E}" presName="rootConnector" presStyleLbl="node3" presStyleIdx="32" presStyleCnt="34"/>
      <dgm:spPr/>
    </dgm:pt>
    <dgm:pt modelId="{EEAF32A8-363E-473E-8466-78EA41BB1AE6}" type="pres">
      <dgm:prSet presAssocID="{8B312E0D-413C-479E-AC1C-B8E08795764E}" presName="hierChild4" presStyleCnt="0"/>
      <dgm:spPr/>
    </dgm:pt>
    <dgm:pt modelId="{1A3349BF-7E4F-4B03-B044-D29997CE1FDF}" type="pres">
      <dgm:prSet presAssocID="{8B312E0D-413C-479E-AC1C-B8E08795764E}" presName="hierChild5" presStyleCnt="0"/>
      <dgm:spPr/>
    </dgm:pt>
    <dgm:pt modelId="{78F8DA2E-4083-40A8-A858-E957C8B1DE7B}" type="pres">
      <dgm:prSet presAssocID="{EE6B5098-5939-476F-99DA-BBFD6DECFE24}" presName="Name37" presStyleLbl="parChTrans1D3" presStyleIdx="33" presStyleCnt="34"/>
      <dgm:spPr/>
    </dgm:pt>
    <dgm:pt modelId="{FDFF8204-F388-41FB-ACC1-B6D4B92B9C33}" type="pres">
      <dgm:prSet presAssocID="{2667D78E-B9B9-4247-9606-C7D3086CFAD3}" presName="hierRoot2" presStyleCnt="0">
        <dgm:presLayoutVars>
          <dgm:hierBranch val="init"/>
        </dgm:presLayoutVars>
      </dgm:prSet>
      <dgm:spPr/>
    </dgm:pt>
    <dgm:pt modelId="{33BF189F-6636-4AC1-AC8B-5B1B3B1AE81C}" type="pres">
      <dgm:prSet presAssocID="{2667D78E-B9B9-4247-9606-C7D3086CFAD3}" presName="rootComposite" presStyleCnt="0"/>
      <dgm:spPr/>
    </dgm:pt>
    <dgm:pt modelId="{E910B8D5-5D26-4841-9F41-CD804D9DBFC6}" type="pres">
      <dgm:prSet presAssocID="{2667D78E-B9B9-4247-9606-C7D3086CFAD3}" presName="rootText" presStyleLbl="node3" presStyleIdx="33" presStyleCnt="34">
        <dgm:presLayoutVars>
          <dgm:chPref val="3"/>
        </dgm:presLayoutVars>
      </dgm:prSet>
      <dgm:spPr/>
    </dgm:pt>
    <dgm:pt modelId="{EE3126B4-FACE-4E97-B175-ECB8C05C4EF6}" type="pres">
      <dgm:prSet presAssocID="{2667D78E-B9B9-4247-9606-C7D3086CFAD3}" presName="rootConnector" presStyleLbl="node3" presStyleIdx="33" presStyleCnt="34"/>
      <dgm:spPr/>
    </dgm:pt>
    <dgm:pt modelId="{998C69F1-80CD-478D-9D1B-A9BE4230426F}" type="pres">
      <dgm:prSet presAssocID="{2667D78E-B9B9-4247-9606-C7D3086CFAD3}" presName="hierChild4" presStyleCnt="0"/>
      <dgm:spPr/>
    </dgm:pt>
    <dgm:pt modelId="{CE23EC26-1017-4DCC-BAC4-05346F4C9B09}" type="pres">
      <dgm:prSet presAssocID="{2667D78E-B9B9-4247-9606-C7D3086CFAD3}" presName="hierChild5" presStyleCnt="0"/>
      <dgm:spPr/>
    </dgm:pt>
    <dgm:pt modelId="{2187830F-0359-419D-A6F9-834ABF132363}" type="pres">
      <dgm:prSet presAssocID="{3D3DC90B-1B29-440C-8B4D-98F82B7D84D5}" presName="hierChild5" presStyleCnt="0"/>
      <dgm:spPr/>
    </dgm:pt>
    <dgm:pt modelId="{9C92C103-4929-493C-AEF7-BFF810DDCA5C}" type="pres">
      <dgm:prSet presAssocID="{B698ADFD-76E1-4DE4-BA52-4F86F29DACEA}" presName="hierChild3" presStyleCnt="0"/>
      <dgm:spPr/>
    </dgm:pt>
  </dgm:ptLst>
  <dgm:cxnLst>
    <dgm:cxn modelId="{184B5302-F1B9-49E7-B590-22C7C2E594EB}" type="presOf" srcId="{D3E4E4A7-A6B3-46E6-8D70-29DB760F4EA3}" destId="{DE6F8113-9807-4774-ACEF-24F5AA0EEBF3}" srcOrd="0" destOrd="0" presId="urn:microsoft.com/office/officeart/2005/8/layout/orgChart1"/>
    <dgm:cxn modelId="{35078102-FD59-4431-B934-7D13FD9B44D0}" srcId="{3D3DC90B-1B29-440C-8B4D-98F82B7D84D5}" destId="{2667D78E-B9B9-4247-9606-C7D3086CFAD3}" srcOrd="5" destOrd="0" parTransId="{EE6B5098-5939-476F-99DA-BBFD6DECFE24}" sibTransId="{0E5B4160-B4D3-4CFC-8492-D1FAF7FADD2D}"/>
    <dgm:cxn modelId="{D4012C04-D99A-4FFF-AB52-F9A7B5FEEBBC}" type="presOf" srcId="{08AD9805-0E8F-4058-A75E-D504D881B28A}" destId="{68041647-8ABD-4C0A-997C-B6047C74449E}" srcOrd="1" destOrd="0" presId="urn:microsoft.com/office/officeart/2005/8/layout/orgChart1"/>
    <dgm:cxn modelId="{4ED58006-E153-40EE-B2BE-B954C6EBB7E7}" type="presOf" srcId="{0A81DEF6-E3F1-4647-B2D7-FA2BE7F8682B}" destId="{35C706A5-ECE5-4267-AC1E-EE9B957827DA}" srcOrd="0" destOrd="0" presId="urn:microsoft.com/office/officeart/2005/8/layout/orgChart1"/>
    <dgm:cxn modelId="{5F6FC408-5C22-47FC-A504-65D6F92CC73A}" type="presOf" srcId="{84C9ACEE-76E2-4C94-B108-4EE3298B7ACA}" destId="{1D6441FD-0992-4589-B4F5-84BB329409A8}" srcOrd="0" destOrd="0" presId="urn:microsoft.com/office/officeart/2005/8/layout/orgChart1"/>
    <dgm:cxn modelId="{C4E08D0A-C7AF-4978-9A44-57101C05A0F9}" type="presOf" srcId="{08AD9805-0E8F-4058-A75E-D504D881B28A}" destId="{CC0C9599-CE33-40C8-A22C-C745D51D761B}" srcOrd="0" destOrd="0" presId="urn:microsoft.com/office/officeart/2005/8/layout/orgChart1"/>
    <dgm:cxn modelId="{E8E6220C-730C-4F01-8247-979375061256}" type="presOf" srcId="{6876CFF5-5B10-4D72-B6FD-CA337639ACB2}" destId="{1AA56AC2-D12A-416C-BF86-EE1A5AAE9322}" srcOrd="0" destOrd="0" presId="urn:microsoft.com/office/officeart/2005/8/layout/orgChart1"/>
    <dgm:cxn modelId="{C2000A0D-EF31-40CA-AA2B-08BBC038FAAD}" type="presOf" srcId="{AC41D3C9-090E-46C2-9A47-242B134658A4}" destId="{8107A7A6-E98E-4034-81ED-255AFFCF34A8}" srcOrd="0" destOrd="0" presId="urn:microsoft.com/office/officeart/2005/8/layout/orgChart1"/>
    <dgm:cxn modelId="{E8B59D0E-EBA4-4D94-8135-1F01C1285462}" srcId="{6C770225-A69C-4061-BAA6-67FADBE18C87}" destId="{4AF91569-3E93-4243-91F1-D87D06AA6807}" srcOrd="4" destOrd="0" parTransId="{078CD76A-1F6A-474A-B26F-40D3E6549551}" sibTransId="{5DC613B3-382E-469B-892A-874FA0C60324}"/>
    <dgm:cxn modelId="{C519E70F-CC91-4571-98A2-F688024E748E}" type="presOf" srcId="{CD54AB01-754C-4C2C-BD09-99EEE0D5FA40}" destId="{91B2B06C-44E5-442F-BD57-B8E0D74CEA99}" srcOrd="1" destOrd="0" presId="urn:microsoft.com/office/officeart/2005/8/layout/orgChart1"/>
    <dgm:cxn modelId="{32D66111-9C5D-4867-B2E3-89948E63E4CC}" type="presOf" srcId="{BF347F70-DE5F-4CF4-88B9-1262C7B2D7B6}" destId="{E5829E68-5D8B-458A-92E8-7848830E459E}" srcOrd="0" destOrd="0" presId="urn:microsoft.com/office/officeart/2005/8/layout/orgChart1"/>
    <dgm:cxn modelId="{1977B612-AEA0-46F9-851A-975747D7FDF5}" type="presOf" srcId="{C866A4BD-6340-4180-92FC-8F657ACC3D25}" destId="{4966AC99-89C7-4FAE-B9FA-CA929B1A782F}" srcOrd="0" destOrd="0" presId="urn:microsoft.com/office/officeart/2005/8/layout/orgChart1"/>
    <dgm:cxn modelId="{06A27C14-EE07-4865-B259-9BE8CB5BC38B}" type="presOf" srcId="{2700CC09-FD1B-4961-B515-C6DB55152023}" destId="{A89325FC-B92D-4BAC-9B6C-B1136EC8FC4F}" srcOrd="0" destOrd="0" presId="urn:microsoft.com/office/officeart/2005/8/layout/orgChart1"/>
    <dgm:cxn modelId="{F8151D17-AED3-4EBF-AD53-D37E6E8AB024}" type="presOf" srcId="{8B312E0D-413C-479E-AC1C-B8E08795764E}" destId="{33D162A6-8742-4FE5-83D7-BF93A0F46865}" srcOrd="0" destOrd="0" presId="urn:microsoft.com/office/officeart/2005/8/layout/orgChart1"/>
    <dgm:cxn modelId="{A40D361A-5975-42F4-8FAE-5B029F042105}" type="presOf" srcId="{2667D78E-B9B9-4247-9606-C7D3086CFAD3}" destId="{E910B8D5-5D26-4841-9F41-CD804D9DBFC6}" srcOrd="0" destOrd="0" presId="urn:microsoft.com/office/officeart/2005/8/layout/orgChart1"/>
    <dgm:cxn modelId="{E7307B1A-61B8-4B00-93DC-91E5EB6B89BD}" type="presOf" srcId="{0C2266FE-3C00-4322-894D-B7093C946382}" destId="{A25B6333-E948-45EA-8E0C-9CEBF31F294C}" srcOrd="1" destOrd="0" presId="urn:microsoft.com/office/officeart/2005/8/layout/orgChart1"/>
    <dgm:cxn modelId="{0098111D-DC72-469C-81CE-E58D5CDD2810}" type="presOf" srcId="{6C770225-A69C-4061-BAA6-67FADBE18C87}" destId="{389115BD-94B0-46F8-849E-CCCC34BFCBA4}" srcOrd="0" destOrd="0" presId="urn:microsoft.com/office/officeart/2005/8/layout/orgChart1"/>
    <dgm:cxn modelId="{2165391F-59CE-4890-9917-210CDFECC156}" type="presOf" srcId="{B0188D36-A244-4344-B86D-2B6363E74420}" destId="{AA05857C-4E06-4DEB-BB39-2CE82235EC4B}" srcOrd="1" destOrd="0" presId="urn:microsoft.com/office/officeart/2005/8/layout/orgChart1"/>
    <dgm:cxn modelId="{56C59923-CF5F-48CF-85C3-7EC920D8713A}" srcId="{C8E908C8-85F6-4D30-93F4-C8A69634B94C}" destId="{C866A4BD-6340-4180-92FC-8F657ACC3D25}" srcOrd="1" destOrd="0" parTransId="{C536C190-8433-4A20-9B57-277529CE32C5}" sibTransId="{C2886FB3-B243-410D-BDCE-48E1D1CBA909}"/>
    <dgm:cxn modelId="{92A76824-92ED-4612-9E99-A8EFE62C568E}" type="presOf" srcId="{3832FCBD-354F-4EED-B7B1-CA08238BDB9C}" destId="{A66965DE-FD53-4B89-B61D-56F93C6B65A1}" srcOrd="0" destOrd="0" presId="urn:microsoft.com/office/officeart/2005/8/layout/orgChart1"/>
    <dgm:cxn modelId="{58E13F28-C027-419F-96D4-9EE5DE38F36F}" type="presOf" srcId="{609815C6-7F78-4E56-A64E-A58559512902}" destId="{F0927E3E-95EF-4322-BD0D-17469DF445C5}" srcOrd="0" destOrd="0" presId="urn:microsoft.com/office/officeart/2005/8/layout/orgChart1"/>
    <dgm:cxn modelId="{C650D629-C3F3-4ED4-A16B-32B6016EBEB4}" type="presOf" srcId="{C55DE831-7D65-4A6F-A342-125BA52D78BD}" destId="{410D2814-AD29-4F1E-B562-E1CCF3001A41}" srcOrd="0" destOrd="0" presId="urn:microsoft.com/office/officeart/2005/8/layout/orgChart1"/>
    <dgm:cxn modelId="{082BA72C-3CA2-4EFD-A4BB-9D892D68EC79}" type="presOf" srcId="{C1685FB9-42EE-4995-88D6-ECF2C285D9A2}" destId="{2C47E363-E35F-4FB2-93D0-10631FE25DF1}" srcOrd="0" destOrd="0" presId="urn:microsoft.com/office/officeart/2005/8/layout/orgChart1"/>
    <dgm:cxn modelId="{CBB9272D-3B42-4423-9A69-55D6AE658949}" type="presOf" srcId="{25DB0AB0-EA8E-4AE9-AB36-F7B85FD25245}" destId="{16E63AC0-9876-486D-8DE1-7483FE3B4FF4}" srcOrd="0" destOrd="0" presId="urn:microsoft.com/office/officeart/2005/8/layout/orgChart1"/>
    <dgm:cxn modelId="{BB70212E-0FA5-455A-8403-569FCE0EEB84}" type="presOf" srcId="{69AE3D5F-7B14-49E8-89DE-DAEEF3235E74}" destId="{AD0B1CCB-99D3-4A6B-8BA2-5BD6CADF0810}" srcOrd="0" destOrd="0" presId="urn:microsoft.com/office/officeart/2005/8/layout/orgChart1"/>
    <dgm:cxn modelId="{96DCE72F-D763-4CB8-AB3D-3B828469822B}" type="presOf" srcId="{E101F362-4016-48C7-BA28-3B4482A598B7}" destId="{5A02B6BA-3270-47ED-9ED7-05F949F8C5A2}" srcOrd="0" destOrd="0" presId="urn:microsoft.com/office/officeart/2005/8/layout/orgChart1"/>
    <dgm:cxn modelId="{D8FA8A31-2FE2-4A2C-A251-6CB995029857}" type="presOf" srcId="{078CD76A-1F6A-474A-B26F-40D3E6549551}" destId="{A37CD491-A43F-4503-8A3E-7060D45B17F6}" srcOrd="0" destOrd="0" presId="urn:microsoft.com/office/officeart/2005/8/layout/orgChart1"/>
    <dgm:cxn modelId="{7F5EAE31-F4D2-46BC-99A7-0C5E0EF80B94}" type="presOf" srcId="{6876CFF5-5B10-4D72-B6FD-CA337639ACB2}" destId="{6B7A8662-269C-4D10-B034-0630B91C3EC2}" srcOrd="1" destOrd="0" presId="urn:microsoft.com/office/officeart/2005/8/layout/orgChart1"/>
    <dgm:cxn modelId="{34C5D633-1C3E-4B33-80F4-23B0E43B6576}" srcId="{B698ADFD-76E1-4DE4-BA52-4F86F29DACEA}" destId="{0AF52561-F47B-4750-AA55-119A5ACACA98}" srcOrd="2" destOrd="0" parTransId="{081B6E8F-4E4E-4376-9D1C-E9C89C5C7FB6}" sibTransId="{4B62BD3C-35BE-4788-A3D5-5F4012783F37}"/>
    <dgm:cxn modelId="{3D2C2835-BE0E-4355-8E86-388DA5DF3DBB}" type="presOf" srcId="{DF041C4A-9693-44B3-BE3D-73A1E78FE497}" destId="{F9BC639D-A2BE-48FF-B911-4F35972D4231}" srcOrd="1" destOrd="0" presId="urn:microsoft.com/office/officeart/2005/8/layout/orgChart1"/>
    <dgm:cxn modelId="{9953DA35-4F0A-4451-AA8B-037A3E2BC672}" type="presOf" srcId="{3F2980DD-6BA6-4E35-B30F-90CFAD9E45AF}" destId="{05203116-2124-4DE6-A10C-5C330E3EA739}" srcOrd="0" destOrd="0" presId="urn:microsoft.com/office/officeart/2005/8/layout/orgChart1"/>
    <dgm:cxn modelId="{5C52F036-E17F-4659-A0DD-DD3A03CCF0E8}" type="presOf" srcId="{B698ADFD-76E1-4DE4-BA52-4F86F29DACEA}" destId="{F5CA4995-B5BE-4030-B067-41D8657392A8}" srcOrd="1" destOrd="0" presId="urn:microsoft.com/office/officeart/2005/8/layout/orgChart1"/>
    <dgm:cxn modelId="{202E7F37-FDEB-451B-8F36-DC16A3F4BC83}" type="presOf" srcId="{081B6E8F-4E4E-4376-9D1C-E9C89C5C7FB6}" destId="{CC7E4CF4-BBDD-460A-8BE0-A666196F7903}" srcOrd="0" destOrd="0" presId="urn:microsoft.com/office/officeart/2005/8/layout/orgChart1"/>
    <dgm:cxn modelId="{7BD3CA38-7A8C-433D-97A4-48A5CFAB1034}" srcId="{0AF52561-F47B-4750-AA55-119A5ACACA98}" destId="{53725EB7-C21B-442D-9D83-7E3DF1C9D975}" srcOrd="2" destOrd="0" parTransId="{E928F621-F44B-4B19-9A40-E1E7D95D62D2}" sibTransId="{A2F66AE0-4CE1-4423-A753-3C94AB799048}"/>
    <dgm:cxn modelId="{947AF439-A21F-4F82-8778-BA1A9C5B27A3}" srcId="{60363492-04BA-4B04-84A3-BE739001E328}" destId="{CD54AB01-754C-4C2C-BD09-99EEE0D5FA40}" srcOrd="0" destOrd="0" parTransId="{BA6002D9-52AC-478F-ADF8-F3196CE789E4}" sibTransId="{F9ACF918-12CC-41E7-BB85-C80779B1748E}"/>
    <dgm:cxn modelId="{0C3D1C3A-5EB5-4A02-9497-D04D9126644D}" srcId="{B698ADFD-76E1-4DE4-BA52-4F86F29DACEA}" destId="{6C770225-A69C-4061-BAA6-67FADBE18C87}" srcOrd="1" destOrd="0" parTransId="{E101F362-4016-48C7-BA28-3B4482A598B7}" sibTransId="{32A5917A-8395-4156-B233-C22803BB59C0}"/>
    <dgm:cxn modelId="{B76FE13B-4BDF-4D80-9127-3D0B6FB14410}" srcId="{B698ADFD-76E1-4DE4-BA52-4F86F29DACEA}" destId="{60363492-04BA-4B04-84A3-BE739001E328}" srcOrd="3" destOrd="0" parTransId="{69AE3D5F-7B14-49E8-89DE-DAEEF3235E74}" sibTransId="{997329F0-23CB-4B57-AD6F-80F324E6D1CE}"/>
    <dgm:cxn modelId="{41F81D3C-D687-4C3D-899A-6B83790C0B7A}" type="presOf" srcId="{850E1FC7-CC21-409A-A326-A71A05E489E7}" destId="{700951D0-D450-41FD-8389-ED6B5C26CD60}" srcOrd="0" destOrd="0" presId="urn:microsoft.com/office/officeart/2005/8/layout/orgChart1"/>
    <dgm:cxn modelId="{2FD19E3D-36D1-4801-AED0-B52EE672C7E5}" type="presOf" srcId="{E1EC7DD9-A262-4CA4-9ADF-9196CE40DD78}" destId="{E690652D-942B-4B37-93B4-57296DB47D29}" srcOrd="1" destOrd="0" presId="urn:microsoft.com/office/officeart/2005/8/layout/orgChart1"/>
    <dgm:cxn modelId="{9F640E3F-7869-4B4C-A647-C41B4CCCAC3B}" srcId="{0AF52561-F47B-4750-AA55-119A5ACACA98}" destId="{0A81DEF6-E3F1-4647-B2D7-FA2BE7F8682B}" srcOrd="0" destOrd="0" parTransId="{3C99512E-E43B-4644-86E8-0C9DC2163D15}" sibTransId="{C6CFEA5E-5C1A-41ED-A7AB-E07CBA970CCB}"/>
    <dgm:cxn modelId="{2173C040-957C-48B5-B970-C322577FA19C}" type="presOf" srcId="{2700CC09-FD1B-4961-B515-C6DB55152023}" destId="{783B3DE9-1AFB-4AA2-A098-393E10370A09}" srcOrd="1" destOrd="0" presId="urn:microsoft.com/office/officeart/2005/8/layout/orgChart1"/>
    <dgm:cxn modelId="{2C60535C-02DB-431C-891F-5A025F934ABE}" type="presOf" srcId="{CCDF5A1F-8583-4BF2-B848-C259A549D889}" destId="{4A58AED8-1E5D-44B2-A060-A3F8BDA8CD20}" srcOrd="0" destOrd="0" presId="urn:microsoft.com/office/officeart/2005/8/layout/orgChart1"/>
    <dgm:cxn modelId="{78C43E5E-2B2B-4949-9F20-19F037657B03}" type="presOf" srcId="{52ACEE0F-D679-467F-AF02-ECCA8CF27625}" destId="{61E1A621-0028-4D26-B0C6-907045E8B780}" srcOrd="0" destOrd="0" presId="urn:microsoft.com/office/officeart/2005/8/layout/orgChart1"/>
    <dgm:cxn modelId="{69E08061-49A7-474A-ADA4-DBD9B02DE50D}" type="presOf" srcId="{B698ADFD-76E1-4DE4-BA52-4F86F29DACEA}" destId="{1AB36BBD-235C-442D-88EC-CE24B04E3B37}" srcOrd="0" destOrd="0" presId="urn:microsoft.com/office/officeart/2005/8/layout/orgChart1"/>
    <dgm:cxn modelId="{ABD2B441-B8FD-4F8E-9BCB-49D3269BDE9D}" type="presOf" srcId="{081359E9-C1AE-4CD1-AA69-BB0BE0699EE2}" destId="{BC658298-E3E6-4FD4-A9C8-55840589A9E3}" srcOrd="0" destOrd="0" presId="urn:microsoft.com/office/officeart/2005/8/layout/orgChart1"/>
    <dgm:cxn modelId="{CBCC7142-7C55-45B8-AFC0-320C493DEFAF}" srcId="{0AF52561-F47B-4750-AA55-119A5ACACA98}" destId="{84C9ACEE-76E2-4C94-B108-4EE3298B7ACA}" srcOrd="7" destOrd="0" parTransId="{52ACEE0F-D679-467F-AF02-ECCA8CF27625}" sibTransId="{F7D95868-C0FD-4D98-A3B7-3624C43D26E3}"/>
    <dgm:cxn modelId="{6592C262-6E68-436E-836C-49FB7B0D43D8}" type="presOf" srcId="{0A81DEF6-E3F1-4647-B2D7-FA2BE7F8682B}" destId="{7CE54C74-1A6D-4B69-A533-9DDFDAEF4799}" srcOrd="1" destOrd="0" presId="urn:microsoft.com/office/officeart/2005/8/layout/orgChart1"/>
    <dgm:cxn modelId="{EA06EB62-3D1B-4765-B9A9-DA62D9EC4C64}" type="presOf" srcId="{C8E908C8-85F6-4D30-93F4-C8A69634B94C}" destId="{4289ED10-D532-4CBB-90F7-576D89D8AEA4}" srcOrd="0" destOrd="0" presId="urn:microsoft.com/office/officeart/2005/8/layout/orgChart1"/>
    <dgm:cxn modelId="{5950B963-EC4F-4A2B-B1C9-C6FC5D65FF9E}" type="presOf" srcId="{0B91BB53-95C1-48AD-B94C-EBF4816F57B6}" destId="{BFC70FEF-F97F-42C7-A8E4-59980C94878F}" srcOrd="0" destOrd="0" presId="urn:microsoft.com/office/officeart/2005/8/layout/orgChart1"/>
    <dgm:cxn modelId="{D5FD0246-6F8B-4295-A550-47B2C474ABCD}" type="presOf" srcId="{23093466-27EA-4DEF-ADAF-8519946A86F6}" destId="{9CCE842B-986D-4696-B96D-D77443E82BA5}" srcOrd="0" destOrd="0" presId="urn:microsoft.com/office/officeart/2005/8/layout/orgChart1"/>
    <dgm:cxn modelId="{8EDEDC66-974B-4928-9CE3-175EA9A6812B}" type="presOf" srcId="{B0188D36-A244-4344-B86D-2B6363E74420}" destId="{575FF7DE-3820-47E8-A173-200E60CD7846}" srcOrd="0" destOrd="0" presId="urn:microsoft.com/office/officeart/2005/8/layout/orgChart1"/>
    <dgm:cxn modelId="{29DE0D47-7B9F-42BD-AA10-9658E3D0D300}" srcId="{25DB0AB0-EA8E-4AE9-AB36-F7B85FD25245}" destId="{643B608E-5F42-4929-8238-B2DDF6D3F646}" srcOrd="1" destOrd="0" parTransId="{C575944B-419A-4092-8E89-F2E85B4B35F0}" sibTransId="{CC95CC8F-1631-4180-8D4A-7E3514DAD518}"/>
    <dgm:cxn modelId="{964C404A-54E5-4F72-92B2-438C8B5E9998}" type="presOf" srcId="{3D3DC90B-1B29-440C-8B4D-98F82B7D84D5}" destId="{BD05DB09-F367-4DD0-B867-ED53300CEBA3}" srcOrd="0" destOrd="0" presId="urn:microsoft.com/office/officeart/2005/8/layout/orgChart1"/>
    <dgm:cxn modelId="{8F037F4A-E37E-4080-A12E-25E6E6FA506F}" srcId="{3D3DC90B-1B29-440C-8B4D-98F82B7D84D5}" destId="{AC41D3C9-090E-46C2-9A47-242B134658A4}" srcOrd="1" destOrd="0" parTransId="{0296AFE2-2F35-497D-A56D-44B3DF16D562}" sibTransId="{3E55BB20-3DC7-4162-9D4C-6E73F8A81866}"/>
    <dgm:cxn modelId="{0C7FCE4A-4B71-4F19-B092-5E7F4E55C777}" type="presOf" srcId="{60363492-04BA-4B04-84A3-BE739001E328}" destId="{5D625245-35FD-4481-A001-2C56D1A84C4F}" srcOrd="1" destOrd="0" presId="urn:microsoft.com/office/officeart/2005/8/layout/orgChart1"/>
    <dgm:cxn modelId="{13587E6B-7983-4017-98C2-A87B24759961}" type="presOf" srcId="{4AF91569-3E93-4243-91F1-D87D06AA6807}" destId="{F721223B-5CA6-4CF1-8F6C-93A44F4BC1A8}" srcOrd="1" destOrd="0" presId="urn:microsoft.com/office/officeart/2005/8/layout/orgChart1"/>
    <dgm:cxn modelId="{BBEF986C-9EED-4766-B309-E22311D9083E}" type="presOf" srcId="{0AF52561-F47B-4750-AA55-119A5ACACA98}" destId="{1CEC0B8E-4B5A-462C-8E2D-ED30AA6EC29F}" srcOrd="0" destOrd="0" presId="urn:microsoft.com/office/officeart/2005/8/layout/orgChart1"/>
    <dgm:cxn modelId="{87E0606E-7C0B-49ED-A8A7-4EADDF196057}" srcId="{3D3DC90B-1B29-440C-8B4D-98F82B7D84D5}" destId="{D2D90689-B900-45B4-B160-44EEAEF88A29}" srcOrd="3" destOrd="0" parTransId="{0EFCFF31-922C-47DB-87F8-7A269CABA411}" sibTransId="{0E464D17-7530-4885-BF45-A5F46FA6C18D}"/>
    <dgm:cxn modelId="{63F56B6E-036D-4097-844F-4F31A0FB36F0}" srcId="{C8E908C8-85F6-4D30-93F4-C8A69634B94C}" destId="{BF347F70-DE5F-4CF4-88B9-1262C7B2D7B6}" srcOrd="0" destOrd="0" parTransId="{AE3D12BF-75AA-43F0-B306-5214E446BE4D}" sibTransId="{99CC6025-9AE6-475C-BECB-8668FBDC00E3}"/>
    <dgm:cxn modelId="{CEAF8950-248E-49C6-90CB-C53601F2D902}" type="presOf" srcId="{AE3D12BF-75AA-43F0-B306-5214E446BE4D}" destId="{F5933206-E4A8-448F-B685-FC24EFC47C40}" srcOrd="0" destOrd="0" presId="urn:microsoft.com/office/officeart/2005/8/layout/orgChart1"/>
    <dgm:cxn modelId="{98E7D070-16CD-4D46-BCF7-C0B1C05BE938}" type="presOf" srcId="{C8E908C8-85F6-4D30-93F4-C8A69634B94C}" destId="{41C52C8A-5D44-4EAD-B4DE-69B815BC46AB}" srcOrd="1" destOrd="0" presId="urn:microsoft.com/office/officeart/2005/8/layout/orgChart1"/>
    <dgm:cxn modelId="{C0075E53-7430-4F46-94AB-CA4EAE63C820}" type="presOf" srcId="{F5BAD451-8CA6-4BB2-B4C8-F8CD693DD96A}" destId="{BC749CF6-3604-41E4-B6CD-382D32257F0C}" srcOrd="0" destOrd="0" presId="urn:microsoft.com/office/officeart/2005/8/layout/orgChart1"/>
    <dgm:cxn modelId="{D8F29353-02BF-4AE1-AEBE-69CDA8BB437B}" type="presOf" srcId="{C866A4BD-6340-4180-92FC-8F657ACC3D25}" destId="{36B51ED2-B1CA-43F2-AFA4-A1168DEDD5B0}" srcOrd="1" destOrd="0" presId="urn:microsoft.com/office/officeart/2005/8/layout/orgChart1"/>
    <dgm:cxn modelId="{0B015475-3CB8-43A6-985C-FFDD4BC039F7}" type="presOf" srcId="{F18F62E7-3302-4459-815C-9E960BD06FF4}" destId="{E33FF668-4261-4233-B8A1-3E1FEA58BDA0}" srcOrd="1" destOrd="0" presId="urn:microsoft.com/office/officeart/2005/8/layout/orgChart1"/>
    <dgm:cxn modelId="{C9545356-4890-4C51-A342-3549BCB0464E}" type="presOf" srcId="{BF347F70-DE5F-4CF4-88B9-1262C7B2D7B6}" destId="{0891CD6E-75CE-4F06-87B6-720BBB48E11A}" srcOrd="1" destOrd="0" presId="urn:microsoft.com/office/officeart/2005/8/layout/orgChart1"/>
    <dgm:cxn modelId="{077A8857-FBEF-4E29-9D42-26200D73E413}" type="presOf" srcId="{0296AFE2-2F35-497D-A56D-44B3DF16D562}" destId="{1A77D9E4-3529-4B73-BE42-0E9E91CB0B98}" srcOrd="0" destOrd="0" presId="urn:microsoft.com/office/officeart/2005/8/layout/orgChart1"/>
    <dgm:cxn modelId="{A4C28C57-FF23-400B-9604-E8B263E30FE0}" type="presOf" srcId="{46B34E20-E752-4DD6-B4AC-11BFD0D224D0}" destId="{74EAE663-022F-4A11-A437-6C2B3DB14EFD}" srcOrd="0" destOrd="0" presId="urn:microsoft.com/office/officeart/2005/8/layout/orgChart1"/>
    <dgm:cxn modelId="{CC080179-5B3F-4F72-9CB4-9E10AD4DDCF6}" type="presOf" srcId="{C536C190-8433-4A20-9B57-277529CE32C5}" destId="{32D330CE-FE5B-49AC-834A-7423445371AA}" srcOrd="0" destOrd="0" presId="urn:microsoft.com/office/officeart/2005/8/layout/orgChart1"/>
    <dgm:cxn modelId="{9E1A9959-53D2-4E34-A21E-50F2CACE63D9}" type="presOf" srcId="{AFB55023-5E33-45D3-BD64-E35595BA71D0}" destId="{68DE9AA1-46DE-4DA1-B25A-A2BEB3C531C4}" srcOrd="0" destOrd="0" presId="urn:microsoft.com/office/officeart/2005/8/layout/orgChart1"/>
    <dgm:cxn modelId="{E4D8AA59-F0D3-4383-84D5-CABAACE1B374}" type="presOf" srcId="{62EB4C9E-EB7B-4966-BC18-A947B8E1C0DE}" destId="{B9610464-9D06-4F22-AB2F-718925F91850}" srcOrd="0" destOrd="0" presId="urn:microsoft.com/office/officeart/2005/8/layout/orgChart1"/>
    <dgm:cxn modelId="{0983E459-BB2A-440B-95F8-E070EB9B7725}" type="presOf" srcId="{53725EB7-C21B-442D-9D83-7E3DF1C9D975}" destId="{180DC21C-9F7B-4EBF-9AB7-42A63E9BD9FD}" srcOrd="0" destOrd="0" presId="urn:microsoft.com/office/officeart/2005/8/layout/orgChart1"/>
    <dgm:cxn modelId="{670FF759-949E-47CA-97CB-709F1C13FF87}" type="presOf" srcId="{D2D90689-B900-45B4-B160-44EEAEF88A29}" destId="{9B8FCAAF-C899-4E91-A43A-2792529FE583}" srcOrd="0" destOrd="0" presId="urn:microsoft.com/office/officeart/2005/8/layout/orgChart1"/>
    <dgm:cxn modelId="{CAFBFB59-256F-42A3-957E-B6D1E9736996}" type="presOf" srcId="{E57121E5-A626-4AC2-91F8-5BC92AF972B3}" destId="{094B9F1E-449C-4914-A511-A3E20874152B}" srcOrd="0" destOrd="0" presId="urn:microsoft.com/office/officeart/2005/8/layout/orgChart1"/>
    <dgm:cxn modelId="{163A455A-9317-4B9B-9319-E3DFF33433FA}" type="presOf" srcId="{77F5274C-0998-4E42-AB3E-F6C34697AB71}" destId="{03A3E5C0-CE0B-4842-80AD-EFAA9964CA72}" srcOrd="0" destOrd="0" presId="urn:microsoft.com/office/officeart/2005/8/layout/orgChart1"/>
    <dgm:cxn modelId="{E5FE7D7A-61AE-4743-9565-AD21713B7FC3}" type="presOf" srcId="{D535AB54-90B9-415B-A78E-35A8B51CEE63}" destId="{2BE5711E-5B7C-4569-B103-B690A45CAFF5}" srcOrd="0" destOrd="0" presId="urn:microsoft.com/office/officeart/2005/8/layout/orgChart1"/>
    <dgm:cxn modelId="{BE72B97C-E19A-4BB6-855D-70FCBC4CE526}" srcId="{0AF52561-F47B-4750-AA55-119A5ACACA98}" destId="{AFB55023-5E33-45D3-BD64-E35595BA71D0}" srcOrd="5" destOrd="0" parTransId="{AEFBAA8D-4C35-456F-8698-23100AED96C5}" sibTransId="{AB091329-F386-48C3-B554-A28873E85EA0}"/>
    <dgm:cxn modelId="{0F21907D-AD0C-4590-9129-7C13AAE9317F}" type="presOf" srcId="{40F8D58E-04AB-4142-AD40-3C6A8EE20F9B}" destId="{132CD2A3-C9A7-47EE-8003-E4557C7F7F56}" srcOrd="0" destOrd="0" presId="urn:microsoft.com/office/officeart/2005/8/layout/orgChart1"/>
    <dgm:cxn modelId="{21BC5D7E-B341-470D-906A-E76F607EFA7F}" type="presOf" srcId="{CCDF5A1F-8583-4BF2-B848-C259A549D889}" destId="{F7169DE8-31DE-4C6F-8CEB-94E10F5C5375}" srcOrd="1" destOrd="0" presId="urn:microsoft.com/office/officeart/2005/8/layout/orgChart1"/>
    <dgm:cxn modelId="{1ECCF47E-8B81-4D9D-AD3C-012E241EA26B}" type="presOf" srcId="{C1685FB9-42EE-4995-88D6-ECF2C285D9A2}" destId="{CD03A9A1-223D-4D66-BC90-D61EB027EEBA}" srcOrd="1" destOrd="0" presId="urn:microsoft.com/office/officeart/2005/8/layout/orgChart1"/>
    <dgm:cxn modelId="{E1A42D7F-E110-4820-9B11-5B5A87F06C52}" srcId="{25DB0AB0-EA8E-4AE9-AB36-F7B85FD25245}" destId="{081359E9-C1AE-4CD1-AA69-BB0BE0699EE2}" srcOrd="0" destOrd="0" parTransId="{23093466-27EA-4DEF-ADAF-8519946A86F6}" sibTransId="{F2DD84B6-9E5F-42AA-AA58-E69185278568}"/>
    <dgm:cxn modelId="{58C41381-58D9-4864-9F28-20D3B0DB270F}" type="presOf" srcId="{BA6002D9-52AC-478F-ADF8-F3196CE789E4}" destId="{31E018DF-82DA-4E7A-9CC1-D71D4F60EA5A}" srcOrd="0" destOrd="0" presId="urn:microsoft.com/office/officeart/2005/8/layout/orgChart1"/>
    <dgm:cxn modelId="{C138E585-F34F-4110-8185-0695FAD87A9E}" srcId="{60363492-04BA-4B04-84A3-BE739001E328}" destId="{CCDF5A1F-8583-4BF2-B848-C259A549D889}" srcOrd="3" destOrd="0" parTransId="{F73D03AA-3FD0-4DD8-BACA-062435E885F0}" sibTransId="{69F84B8C-6B29-4937-B262-7DAD9A5B3566}"/>
    <dgm:cxn modelId="{4106AE8A-3909-48D5-AE06-E9F57295A2D2}" type="presOf" srcId="{F18F62E7-3302-4459-815C-9E960BD06FF4}" destId="{AB1A889F-4494-4CDA-90B5-8980182CC989}" srcOrd="0" destOrd="0" presId="urn:microsoft.com/office/officeart/2005/8/layout/orgChart1"/>
    <dgm:cxn modelId="{615F898B-56D0-4F11-B898-BD64D964357A}" type="presOf" srcId="{DE321B2D-3228-4E0B-AA02-72F848871083}" destId="{45E43040-D0AE-4506-9D9C-2652CD608BCF}" srcOrd="1" destOrd="0" presId="urn:microsoft.com/office/officeart/2005/8/layout/orgChart1"/>
    <dgm:cxn modelId="{7A20A88B-A12A-4CF2-B505-ED1E91FF5875}" type="presOf" srcId="{A24A7986-5E06-4DB4-A040-248BB95936FE}" destId="{D89BE0B8-DACA-4272-926F-5D8EC8D95D93}" srcOrd="0" destOrd="0" presId="urn:microsoft.com/office/officeart/2005/8/layout/orgChart1"/>
    <dgm:cxn modelId="{BC18E78D-AF60-4CBD-954F-688E870BE1DC}" type="presOf" srcId="{6C770225-A69C-4061-BAA6-67FADBE18C87}" destId="{F633A0D3-8DA9-4F3E-834A-58492B456EED}" srcOrd="1" destOrd="0" presId="urn:microsoft.com/office/officeart/2005/8/layout/orgChart1"/>
    <dgm:cxn modelId="{E8FCA78E-BD99-4ED1-B292-726823723754}" type="presOf" srcId="{CD54AB01-754C-4C2C-BD09-99EEE0D5FA40}" destId="{B108941A-7E53-46F8-8BCF-0A255B256CB7}" srcOrd="0" destOrd="0" presId="urn:microsoft.com/office/officeart/2005/8/layout/orgChart1"/>
    <dgm:cxn modelId="{EFCBDE8E-E570-43F3-81DA-4A40C1CB4673}" srcId="{B698ADFD-76E1-4DE4-BA52-4F86F29DACEA}" destId="{3D3DC90B-1B29-440C-8B4D-98F82B7D84D5}" srcOrd="5" destOrd="0" parTransId="{2F871A48-B0C8-4378-A17A-C3F5F916729F}" sibTransId="{8221354A-B9D4-40CA-A569-DB5C123BBE5D}"/>
    <dgm:cxn modelId="{1B6E938F-4F85-42A4-9BC5-99A2776CCF69}" type="presOf" srcId="{024D5808-B1F2-4377-BC94-5CF8AE8F86CD}" destId="{0A39DB86-8D91-4B29-AEAE-64783F7F2497}" srcOrd="0" destOrd="0" presId="urn:microsoft.com/office/officeart/2005/8/layout/orgChart1"/>
    <dgm:cxn modelId="{34ADBC92-2B75-4ECC-9EDE-C1B75774E54B}" srcId="{3D3DC90B-1B29-440C-8B4D-98F82B7D84D5}" destId="{024D5808-B1F2-4377-BC94-5CF8AE8F86CD}" srcOrd="0" destOrd="0" parTransId="{DB0EEAA7-2DCE-4CB6-BBA0-7EE020DFF436}" sibTransId="{68EAC14F-45DA-4134-8682-856AF6316030}"/>
    <dgm:cxn modelId="{D5A74194-141B-4C91-A798-F15A2F5B26C4}" type="presOf" srcId="{DE321B2D-3228-4E0B-AA02-72F848871083}" destId="{8111E419-CABB-4497-8DDC-2205B080A7E4}" srcOrd="0" destOrd="0" presId="urn:microsoft.com/office/officeart/2005/8/layout/orgChart1"/>
    <dgm:cxn modelId="{4BD12795-438A-4699-944B-5096F4F46747}" type="presOf" srcId="{E928F621-F44B-4B19-9A40-E1E7D95D62D2}" destId="{9DCB6E4D-CE21-478E-B21E-566DD61538F8}" srcOrd="0" destOrd="0" presId="urn:microsoft.com/office/officeart/2005/8/layout/orgChart1"/>
    <dgm:cxn modelId="{23245598-D934-47A8-8A19-06F6492CC6F0}" srcId="{25DB0AB0-EA8E-4AE9-AB36-F7B85FD25245}" destId="{E57121E5-A626-4AC2-91F8-5BC92AF972B3}" srcOrd="2" destOrd="0" parTransId="{D007F2A5-0B2A-4552-98E8-CB9BC6446864}" sibTransId="{84A20D4D-4978-41A1-8E27-407E0BAD5AFF}"/>
    <dgm:cxn modelId="{90CE3299-D2EA-4599-9693-57B7572E671C}" type="presOf" srcId="{AFB55023-5E33-45D3-BD64-E35595BA71D0}" destId="{AC6E8AF8-F789-4DA9-BCB1-FFA64F2A33A3}" srcOrd="1" destOrd="0" presId="urn:microsoft.com/office/officeart/2005/8/layout/orgChart1"/>
    <dgm:cxn modelId="{97269E9A-8358-4A0C-B305-B5B0F7360985}" type="presOf" srcId="{AC41D3C9-090E-46C2-9A47-242B134658A4}" destId="{E573D934-9A17-4C68-AD55-1ECFDB1D87BF}" srcOrd="1" destOrd="0" presId="urn:microsoft.com/office/officeart/2005/8/layout/orgChart1"/>
    <dgm:cxn modelId="{40AF2C9D-6D6B-433E-A7ED-FCBBDC386B68}" type="presOf" srcId="{3C99512E-E43B-4644-86E8-0C9DC2163D15}" destId="{8E17D57F-C4C5-4D8D-8004-A19EECB5FEB3}" srcOrd="0" destOrd="0" presId="urn:microsoft.com/office/officeart/2005/8/layout/orgChart1"/>
    <dgm:cxn modelId="{4D323A9D-6F33-420B-8AB6-8CE3A99577BE}" type="presOf" srcId="{DF041C4A-9693-44B3-BE3D-73A1E78FE497}" destId="{3B12B1D4-729B-4F0C-A3CF-07AB9C27949E}" srcOrd="0" destOrd="0" presId="urn:microsoft.com/office/officeart/2005/8/layout/orgChart1"/>
    <dgm:cxn modelId="{3E0F469E-4B50-4E5A-98D0-279325259CA3}" srcId="{C8E908C8-85F6-4D30-93F4-C8A69634B94C}" destId="{C1EB190F-038D-431F-B679-B25212139997}" srcOrd="4" destOrd="0" parTransId="{77F5274C-0998-4E42-AB3E-F6C34697AB71}" sibTransId="{04AE83A6-6250-469D-93EB-9B0A46E3E0A1}"/>
    <dgm:cxn modelId="{0DC2B49E-1E93-420B-A1ED-88F6ECAEECA4}" srcId="{60363492-04BA-4B04-84A3-BE739001E328}" destId="{2700CC09-FD1B-4961-B515-C6DB55152023}" srcOrd="2" destOrd="0" parTransId="{D05D876B-C47F-47CC-9E89-5BF76AF30457}" sibTransId="{078F05EF-CD0D-41A5-AAA5-03236206C85A}"/>
    <dgm:cxn modelId="{68F2BE9E-B082-4BD0-8BAE-8EF19F2305CF}" type="presOf" srcId="{62EB4C9E-EB7B-4966-BC18-A947B8E1C0DE}" destId="{11ED2717-1272-4FA3-9F89-E1CBAAB703EB}" srcOrd="1" destOrd="0" presId="urn:microsoft.com/office/officeart/2005/8/layout/orgChart1"/>
    <dgm:cxn modelId="{F490CC9F-C27F-48CD-9B3E-026A01D2FB32}" type="presOf" srcId="{6406C50A-538B-48E7-94A2-3AE7DB468DEC}" destId="{1B6930EC-198A-47B1-9108-6BDFCF5B18C9}" srcOrd="0" destOrd="0" presId="urn:microsoft.com/office/officeart/2005/8/layout/orgChart1"/>
    <dgm:cxn modelId="{CFBFA5A0-D589-4969-963E-1267720DE481}" type="presOf" srcId="{4AF91569-3E93-4243-91F1-D87D06AA6807}" destId="{3AE11E72-8AA3-48FC-B896-4DBFEE6BED94}" srcOrd="0" destOrd="0" presId="urn:microsoft.com/office/officeart/2005/8/layout/orgChart1"/>
    <dgm:cxn modelId="{07510EA3-ABF6-4453-BC9C-BE95E492D0C9}" srcId="{3D3DC90B-1B29-440C-8B4D-98F82B7D84D5}" destId="{0C2266FE-3C00-4322-894D-B7093C946382}" srcOrd="2" destOrd="0" parTransId="{9C79AA53-1DB3-4CE7-B810-5F887EFBF432}" sibTransId="{DE1C912A-B245-40E6-9B7A-93B535332FAB}"/>
    <dgm:cxn modelId="{962A14A3-87EB-4C2F-B8FF-A6F94690C706}" srcId="{B698ADFD-76E1-4DE4-BA52-4F86F29DACEA}" destId="{C8E908C8-85F6-4D30-93F4-C8A69634B94C}" srcOrd="0" destOrd="0" parTransId="{71D067F9-E97B-4DD1-97EE-41992DF3190B}" sibTransId="{D793686C-A35D-45E8-9EBB-EB6E0B2A48C6}"/>
    <dgm:cxn modelId="{85894BA3-32CC-41E1-B467-2C01FB426B65}" srcId="{0AF52561-F47B-4750-AA55-119A5ACACA98}" destId="{F5BAD451-8CA6-4BB2-B4C8-F8CD693DD96A}" srcOrd="8" destOrd="0" parTransId="{1F96B63A-0264-4209-B5BB-5B95451DC40D}" sibTransId="{282D2834-D018-483F-ADD3-5D3E1D286156}"/>
    <dgm:cxn modelId="{E5A087A3-2D56-4FA8-BB1C-0E89A58D3B4C}" type="presOf" srcId="{0C2266FE-3C00-4322-894D-B7093C946382}" destId="{C67DDF91-A1A6-4148-AC2E-ADE238D988A5}" srcOrd="0" destOrd="0" presId="urn:microsoft.com/office/officeart/2005/8/layout/orgChart1"/>
    <dgm:cxn modelId="{971F76A4-1F18-4A9A-B2F3-B9EEF706F128}" type="presOf" srcId="{DB0EEAA7-2DCE-4CB6-BBA0-7EE020DFF436}" destId="{8B94E6C6-CEC5-43E0-819E-F3D55266F455}" srcOrd="0" destOrd="0" presId="urn:microsoft.com/office/officeart/2005/8/layout/orgChart1"/>
    <dgm:cxn modelId="{FC4108A5-BD55-4FCF-83A9-B15951607AA4}" srcId="{0AF52561-F47B-4750-AA55-119A5ACACA98}" destId="{08AD9805-0E8F-4058-A75E-D504D881B28A}" srcOrd="6" destOrd="0" parTransId="{C55DE831-7D65-4A6F-A342-125BA52D78BD}" sibTransId="{9257750E-B257-4AF5-A23C-27F335FC3FEF}"/>
    <dgm:cxn modelId="{40F397AC-15B5-482D-96A1-03436E98C1BD}" type="presOf" srcId="{A8F67239-EBD4-4C14-A7CA-F992321F1EA9}" destId="{9A8958B2-10F2-49E3-9F94-C826CA7B012D}" srcOrd="0" destOrd="0" presId="urn:microsoft.com/office/officeart/2005/8/layout/orgChart1"/>
    <dgm:cxn modelId="{13E43AAD-98C1-4CD9-A627-064DB96F1DFE}" type="presOf" srcId="{D05D876B-C47F-47CC-9E89-5BF76AF30457}" destId="{EFAC5AED-201C-4715-B717-F2E77E0B16B4}" srcOrd="0" destOrd="0" presId="urn:microsoft.com/office/officeart/2005/8/layout/orgChart1"/>
    <dgm:cxn modelId="{BF6AC8AD-8EFC-45A9-B0DA-3F502E0ECDBC}" type="presOf" srcId="{84C9ACEE-76E2-4C94-B108-4EE3298B7ACA}" destId="{B4B6805D-717B-4A0F-98EE-1279E2653244}" srcOrd="1" destOrd="0" presId="urn:microsoft.com/office/officeart/2005/8/layout/orgChart1"/>
    <dgm:cxn modelId="{76B301AE-0024-4712-B7A0-D0B7965F4A26}" srcId="{C8E908C8-85F6-4D30-93F4-C8A69634B94C}" destId="{609815C6-7F78-4E56-A64E-A58559512902}" srcOrd="3" destOrd="0" parTransId="{394F9C3C-1791-404B-A1B1-4D44B3186E7A}" sibTransId="{DECB8B40-837B-46DF-B905-14B476ECFFB1}"/>
    <dgm:cxn modelId="{F7FE59AE-7586-4847-8F71-1DDA590EA98D}" type="presOf" srcId="{1F96B63A-0264-4209-B5BB-5B95451DC40D}" destId="{E3350F37-4DF1-4D99-853A-B90C475A5A62}" srcOrd="0" destOrd="0" presId="urn:microsoft.com/office/officeart/2005/8/layout/orgChart1"/>
    <dgm:cxn modelId="{3DE728B0-8C2D-4743-B156-A0CED1EBFCAB}" srcId="{C8E908C8-85F6-4D30-93F4-C8A69634B94C}" destId="{DF041C4A-9693-44B3-BE3D-73A1E78FE497}" srcOrd="2" destOrd="0" parTransId="{40F8D58E-04AB-4142-AD40-3C6A8EE20F9B}" sibTransId="{6088D9B7-0719-4B58-AE9D-A47E4A5ED4B9}"/>
    <dgm:cxn modelId="{910CE0B1-B16D-4877-B33C-2322E29C040B}" type="presOf" srcId="{024D5808-B1F2-4377-BC94-5CF8AE8F86CD}" destId="{5DA437A0-E83A-433D-8D50-6CC8CE5816D9}" srcOrd="1" destOrd="0" presId="urn:microsoft.com/office/officeart/2005/8/layout/orgChart1"/>
    <dgm:cxn modelId="{C40310B4-408F-48D7-A8B5-7A723B02273B}" type="presOf" srcId="{DE90483C-8233-44DE-918D-7DFAFBA08FFF}" destId="{EE92BEB3-F109-43DC-83F3-10FD5D986DB2}" srcOrd="0" destOrd="0" presId="urn:microsoft.com/office/officeart/2005/8/layout/orgChart1"/>
    <dgm:cxn modelId="{B6E753B5-8FB3-41A0-9CC6-2D3637BE6CFF}" type="presOf" srcId="{F73D03AA-3FD0-4DD8-BACA-062435E885F0}" destId="{AFF16F2D-7095-4275-B411-F96F5DB641D3}" srcOrd="0" destOrd="0" presId="urn:microsoft.com/office/officeart/2005/8/layout/orgChart1"/>
    <dgm:cxn modelId="{C764B4B8-3A5E-4159-BA36-E45189C2B751}" type="presOf" srcId="{F5BAD451-8CA6-4BB2-B4C8-F8CD693DD96A}" destId="{7574A4F2-CD57-416B-B7CA-07A8564962B5}" srcOrd="1" destOrd="0" presId="urn:microsoft.com/office/officeart/2005/8/layout/orgChart1"/>
    <dgm:cxn modelId="{7D9287B9-A272-4699-A408-AF229A14E7A2}" type="presOf" srcId="{C575944B-419A-4092-8E89-F2E85B4B35F0}" destId="{DF7E98A2-8D00-4B12-B20F-08E58E3E7B05}" srcOrd="0" destOrd="0" presId="urn:microsoft.com/office/officeart/2005/8/layout/orgChart1"/>
    <dgm:cxn modelId="{ED4890B9-02DF-4781-BBF4-5BBD385A1D07}" srcId="{0AF52561-F47B-4750-AA55-119A5ACACA98}" destId="{B0188D36-A244-4344-B86D-2B6363E74420}" srcOrd="4" destOrd="0" parTransId="{D535AB54-90B9-415B-A78E-35A8B51CEE63}" sibTransId="{8D88A0D2-9B04-444D-B633-538DAD89FCD8}"/>
    <dgm:cxn modelId="{953C10BB-66BB-4E2E-B708-B691C5CA6A84}" srcId="{60363492-04BA-4B04-84A3-BE739001E328}" destId="{D3E4E4A7-A6B3-46E6-8D70-29DB760F4EA3}" srcOrd="1" destOrd="0" parTransId="{91A1C10F-81C8-4816-8438-835D389BA321}" sibTransId="{818CC659-4B19-40AB-AC13-DD96D4819DD1}"/>
    <dgm:cxn modelId="{5F6933BB-4330-4B38-BD37-06B9697BCCEA}" type="presOf" srcId="{993DFAFC-8AA8-448A-9AE0-B2AEB319A240}" destId="{F1D2EF8A-8D2E-4F4C-97CF-E45E521BA2EB}" srcOrd="1" destOrd="0" presId="urn:microsoft.com/office/officeart/2005/8/layout/orgChart1"/>
    <dgm:cxn modelId="{4EF58FBF-2C2F-4C0D-9152-4DFBF3C9247F}" type="presOf" srcId="{D3E4E4A7-A6B3-46E6-8D70-29DB760F4EA3}" destId="{2C9EA727-63B2-4594-8BA4-7250B2A8DED6}" srcOrd="1" destOrd="0" presId="urn:microsoft.com/office/officeart/2005/8/layout/orgChart1"/>
    <dgm:cxn modelId="{E12FB5C1-9ABC-4896-82D6-8B7E4BF1EC01}" srcId="{B698ADFD-76E1-4DE4-BA52-4F86F29DACEA}" destId="{25DB0AB0-EA8E-4AE9-AB36-F7B85FD25245}" srcOrd="4" destOrd="0" parTransId="{F8CA545D-0688-41FE-BF67-7A4A6DF6922F}" sibTransId="{4E1A2FFA-A3D5-49E7-B6EB-B57C4ADC308A}"/>
    <dgm:cxn modelId="{9BCBF8C1-C5FD-4716-A40D-3F1C3ECFCFBE}" type="presOf" srcId="{0AF52561-F47B-4750-AA55-119A5ACACA98}" destId="{B8671C19-6817-4EB0-B863-82F314C92CB2}" srcOrd="1" destOrd="0" presId="urn:microsoft.com/office/officeart/2005/8/layout/orgChart1"/>
    <dgm:cxn modelId="{4B23B4C3-A604-4B8B-BCB5-80C12C085E18}" type="presOf" srcId="{EE6B5098-5939-476F-99DA-BBFD6DECFE24}" destId="{78F8DA2E-4083-40A8-A858-E957C8B1DE7B}" srcOrd="0" destOrd="0" presId="urn:microsoft.com/office/officeart/2005/8/layout/orgChart1"/>
    <dgm:cxn modelId="{DC75F2C4-1763-4DE4-B5B2-76940E0EE45F}" type="presOf" srcId="{71D067F9-E97B-4DD1-97EE-41992DF3190B}" destId="{0299F963-3C16-4666-BB9E-125D9BB871DD}" srcOrd="0" destOrd="0" presId="urn:microsoft.com/office/officeart/2005/8/layout/orgChart1"/>
    <dgm:cxn modelId="{BD50DBC5-1970-443B-9313-11B6A5F4EF04}" type="presOf" srcId="{60363492-04BA-4B04-84A3-BE739001E328}" destId="{1A1ABD2D-D74D-4398-B732-96203E27ADBA}" srcOrd="0" destOrd="0" presId="urn:microsoft.com/office/officeart/2005/8/layout/orgChart1"/>
    <dgm:cxn modelId="{062E48C6-5766-476B-A424-43EB8196D6B2}" type="presOf" srcId="{8B312E0D-413C-479E-AC1C-B8E08795764E}" destId="{B74E0D15-6761-41D4-901C-AC46B87C8C8C}" srcOrd="1" destOrd="0" presId="urn:microsoft.com/office/officeart/2005/8/layout/orgChart1"/>
    <dgm:cxn modelId="{ACA4C3C6-BEA7-4FDA-9BCE-0C264D4C8CDE}" type="presOf" srcId="{12600696-E363-4901-9CFD-D456EBD63348}" destId="{6C723801-F8A2-4673-BF7C-D12FF21BC78A}" srcOrd="0" destOrd="0" presId="urn:microsoft.com/office/officeart/2005/8/layout/orgChart1"/>
    <dgm:cxn modelId="{F4BFCEC7-7523-4BA5-9AA9-86277A5E6610}" type="presOf" srcId="{643B608E-5F42-4929-8238-B2DDF6D3F646}" destId="{3BB2151E-A3AF-4FEB-993A-C66D8995922F}" srcOrd="0" destOrd="0" presId="urn:microsoft.com/office/officeart/2005/8/layout/orgChart1"/>
    <dgm:cxn modelId="{7EA1A5C8-FB03-4931-A556-22704DC187CD}" type="presOf" srcId="{E57121E5-A626-4AC2-91F8-5BC92AF972B3}" destId="{CD32E0A3-9731-4BBC-B115-CF0139BF6F15}" srcOrd="1" destOrd="0" presId="urn:microsoft.com/office/officeart/2005/8/layout/orgChart1"/>
    <dgm:cxn modelId="{23F11DCA-9C56-479E-91F5-DBF61ECDCB9C}" type="presOf" srcId="{0EFCFF31-922C-47DB-87F8-7A269CABA411}" destId="{8FB49B0A-4449-41F5-80A2-B7D5E09D1471}" srcOrd="0" destOrd="0" presId="urn:microsoft.com/office/officeart/2005/8/layout/orgChart1"/>
    <dgm:cxn modelId="{8A8A6ACA-75DF-417D-B837-B2FDE23F7745}" srcId="{0AF52561-F47B-4750-AA55-119A5ACACA98}" destId="{C1685FB9-42EE-4995-88D6-ECF2C285D9A2}" srcOrd="3" destOrd="0" parTransId="{0B91BB53-95C1-48AD-B94C-EBF4816F57B6}" sibTransId="{6EE319C9-B182-428B-8E06-BAE9EB6E3693}"/>
    <dgm:cxn modelId="{377A3BCC-3FC0-40A7-8CC9-B3C4EBAB305B}" type="presOf" srcId="{E1EC7DD9-A262-4CA4-9ADF-9196CE40DD78}" destId="{8538DAE9-701E-4C27-B752-B5C145935897}" srcOrd="0" destOrd="0" presId="urn:microsoft.com/office/officeart/2005/8/layout/orgChart1"/>
    <dgm:cxn modelId="{74676DD1-DA8F-4B2C-98D2-812854DB7AA2}" type="presOf" srcId="{F8CA545D-0688-41FE-BF67-7A4A6DF6922F}" destId="{E2033779-5943-41A3-8436-F5F77270BD2D}" srcOrd="0" destOrd="0" presId="urn:microsoft.com/office/officeart/2005/8/layout/orgChart1"/>
    <dgm:cxn modelId="{7DADE4D3-D930-4B6B-8573-A7B3391351D0}" type="presOf" srcId="{2667D78E-B9B9-4247-9606-C7D3086CFAD3}" destId="{EE3126B4-FACE-4E97-B175-ECB8C05C4EF6}" srcOrd="1" destOrd="0" presId="urn:microsoft.com/office/officeart/2005/8/layout/orgChart1"/>
    <dgm:cxn modelId="{297614D8-46E4-4E10-9065-2030505C760D}" srcId="{6C770225-A69C-4061-BAA6-67FADBE18C87}" destId="{993DFAFC-8AA8-448A-9AE0-B2AEB319A240}" srcOrd="0" destOrd="0" parTransId="{3832FCBD-354F-4EED-B7B1-CA08238BDB9C}" sibTransId="{B3C105EF-B435-476F-A1AE-8978F65E516A}"/>
    <dgm:cxn modelId="{0D338FDA-A7FD-4766-9DEF-D6A92D25BEAC}" type="presOf" srcId="{081359E9-C1AE-4CD1-AA69-BB0BE0699EE2}" destId="{68A3B434-D30C-4E43-9F08-CE4A6708472F}" srcOrd="1" destOrd="0" presId="urn:microsoft.com/office/officeart/2005/8/layout/orgChart1"/>
    <dgm:cxn modelId="{0351DBDA-DBF7-4764-AD7C-86FA6A7518CA}" srcId="{25DB0AB0-EA8E-4AE9-AB36-F7B85FD25245}" destId="{6876CFF5-5B10-4D72-B6FD-CA337639ACB2}" srcOrd="3" destOrd="0" parTransId="{46B34E20-E752-4DD6-B4AC-11BFD0D224D0}" sibTransId="{91296194-F5B7-461E-AFC3-96C017375FB6}"/>
    <dgm:cxn modelId="{F679EBDB-8B7F-4A18-B9BC-87A445345AEE}" srcId="{6C770225-A69C-4061-BAA6-67FADBE18C87}" destId="{DE321B2D-3228-4E0B-AA02-72F848871083}" srcOrd="3" destOrd="0" parTransId="{D9F34423-5421-4D6F-8292-3C295300500B}" sibTransId="{4FA9FB2F-C07A-4263-B4AE-DAF4F9FBF7A2}"/>
    <dgm:cxn modelId="{8F5C19DD-40CE-43C8-BCE6-66A9B37625AA}" type="presOf" srcId="{AEFBAA8D-4C35-456F-8698-23100AED96C5}" destId="{7A46CE33-7194-42B8-89C0-9C34439CB738}" srcOrd="0" destOrd="0" presId="urn:microsoft.com/office/officeart/2005/8/layout/orgChart1"/>
    <dgm:cxn modelId="{827FCADD-D3E1-4B94-BF4A-99C4E1A79024}" type="presOf" srcId="{D007F2A5-0B2A-4552-98E8-CB9BC6446864}" destId="{C649EFA2-9D0B-4272-9EF0-92B1B7C98729}" srcOrd="0" destOrd="0" presId="urn:microsoft.com/office/officeart/2005/8/layout/orgChart1"/>
    <dgm:cxn modelId="{300555DE-CB79-4F51-B260-80FA31248800}" type="presOf" srcId="{C1EB190F-038D-431F-B679-B25212139997}" destId="{403DC6E8-F467-489B-B770-8AA6E50D19C7}" srcOrd="0" destOrd="0" presId="urn:microsoft.com/office/officeart/2005/8/layout/orgChart1"/>
    <dgm:cxn modelId="{09D3A4DE-8547-47E4-95A1-FE7593038DE1}" type="presOf" srcId="{9C79AA53-1DB3-4CE7-B810-5F887EFBF432}" destId="{59B2ADF3-1B2F-4327-8613-C9ED5502E71F}" srcOrd="0" destOrd="0" presId="urn:microsoft.com/office/officeart/2005/8/layout/orgChart1"/>
    <dgm:cxn modelId="{1289F7DF-A7B1-4FB7-8689-F9EC49075D9E}" type="presOf" srcId="{53725EB7-C21B-442D-9D83-7E3DF1C9D975}" destId="{A4223262-6FAB-4224-85F0-2EB82F5D0E43}" srcOrd="1" destOrd="0" presId="urn:microsoft.com/office/officeart/2005/8/layout/orgChart1"/>
    <dgm:cxn modelId="{A8BD03E2-0B86-467E-96C6-B56C1BDE3E46}" srcId="{6C770225-A69C-4061-BAA6-67FADBE18C87}" destId="{E1EC7DD9-A262-4CA4-9ADF-9196CE40DD78}" srcOrd="2" destOrd="0" parTransId="{6406C50A-538B-48E7-94A2-3AE7DB468DEC}" sibTransId="{9848D449-C4C9-406F-A21D-1439A4908274}"/>
    <dgm:cxn modelId="{F53EE3E2-6A4A-4E27-8167-5251BDCBC282}" type="presOf" srcId="{C1EB190F-038D-431F-B679-B25212139997}" destId="{E79111A8-389D-4C37-9668-62B6C11FA692}" srcOrd="1" destOrd="0" presId="urn:microsoft.com/office/officeart/2005/8/layout/orgChart1"/>
    <dgm:cxn modelId="{8B89FCE3-94EB-49F4-8F68-F264622010CD}" type="presOf" srcId="{D9F34423-5421-4D6F-8292-3C295300500B}" destId="{EA70330A-BAE4-4AC1-BFE5-9A6FB73AEB64}" srcOrd="0" destOrd="0" presId="urn:microsoft.com/office/officeart/2005/8/layout/orgChart1"/>
    <dgm:cxn modelId="{984E73E5-BF44-417A-BFE1-D9F510B16F1F}" type="presOf" srcId="{3D3DC90B-1B29-440C-8B4D-98F82B7D84D5}" destId="{634F8247-E9BF-4455-B9AC-6F8DAAE4DC9C}" srcOrd="1" destOrd="0" presId="urn:microsoft.com/office/officeart/2005/8/layout/orgChart1"/>
    <dgm:cxn modelId="{9A9088E6-5D0B-4274-8B02-4B9C8463C592}" type="presOf" srcId="{25DB0AB0-EA8E-4AE9-AB36-F7B85FD25245}" destId="{2C2B6609-CE1F-4041-820E-4C7D9649AA23}" srcOrd="1" destOrd="0" presId="urn:microsoft.com/office/officeart/2005/8/layout/orgChart1"/>
    <dgm:cxn modelId="{BA4299E6-73D2-48B1-9495-9DDE6349F2A1}" type="presOf" srcId="{993DFAFC-8AA8-448A-9AE0-B2AEB319A240}" destId="{927D676A-C170-4F7A-8A1C-3A9CB81BD3E7}" srcOrd="0" destOrd="0" presId="urn:microsoft.com/office/officeart/2005/8/layout/orgChart1"/>
    <dgm:cxn modelId="{993615E7-921B-49D0-9C68-96D8F56D6803}" type="presOf" srcId="{609815C6-7F78-4E56-A64E-A58559512902}" destId="{FC4A6765-1B26-452D-8DE4-94ABB4753E16}" srcOrd="1" destOrd="0" presId="urn:microsoft.com/office/officeart/2005/8/layout/orgChart1"/>
    <dgm:cxn modelId="{7AF9CCEA-753E-4321-8E85-4154EB33C97C}" srcId="{3D3DC90B-1B29-440C-8B4D-98F82B7D84D5}" destId="{8B312E0D-413C-479E-AC1C-B8E08795764E}" srcOrd="4" destOrd="0" parTransId="{DE90483C-8233-44DE-918D-7DFAFBA08FFF}" sibTransId="{0DFCC30C-511E-4F13-8565-A8FDCDF84705}"/>
    <dgm:cxn modelId="{BA3BD5EB-39BE-4847-8EF9-266BAF4FB9B2}" srcId="{850E1FC7-CC21-409A-A326-A71A05E489E7}" destId="{B698ADFD-76E1-4DE4-BA52-4F86F29DACEA}" srcOrd="0" destOrd="0" parTransId="{9C79341F-DE45-4979-88FA-4C00FD0A125A}" sibTransId="{0B7D4CF9-5403-4328-9576-4E241245ED63}"/>
    <dgm:cxn modelId="{AB294AED-29D4-4BC5-9EC4-120EEB74E8C8}" type="presOf" srcId="{12600696-E363-4901-9CFD-D456EBD63348}" destId="{2414B9B0-B3C2-4641-8978-46998505E2F0}" srcOrd="1" destOrd="0" presId="urn:microsoft.com/office/officeart/2005/8/layout/orgChart1"/>
    <dgm:cxn modelId="{F8F12FEF-B61A-4FD3-B256-F111CCC7365F}" type="presOf" srcId="{2F871A48-B0C8-4378-A17A-C3F5F916729F}" destId="{6C85AD36-6E01-42D2-AEF1-FBA82827BB61}" srcOrd="0" destOrd="0" presId="urn:microsoft.com/office/officeart/2005/8/layout/orgChart1"/>
    <dgm:cxn modelId="{8DBDA6EF-9D81-410E-BF57-B1C14FFDBF78}" type="presOf" srcId="{643B608E-5F42-4929-8238-B2DDF6D3F646}" destId="{EDA83643-1E24-4E15-9B5C-5745B69760A1}" srcOrd="1" destOrd="0" presId="urn:microsoft.com/office/officeart/2005/8/layout/orgChart1"/>
    <dgm:cxn modelId="{7879CEF0-9D5B-4244-BB7D-83CE3CF54132}" type="presOf" srcId="{91A1C10F-81C8-4816-8438-835D389BA321}" destId="{4AE75985-07AE-4C85-8314-EEFDD0CC2000}" srcOrd="0" destOrd="0" presId="urn:microsoft.com/office/officeart/2005/8/layout/orgChart1"/>
    <dgm:cxn modelId="{9AE684F3-BEEA-4AA8-AA63-F6E0ED109748}" srcId="{6C770225-A69C-4061-BAA6-67FADBE18C87}" destId="{62EB4C9E-EB7B-4966-BC18-A947B8E1C0DE}" srcOrd="5" destOrd="0" parTransId="{3F2980DD-6BA6-4E35-B30F-90CFAD9E45AF}" sibTransId="{9BC92D6B-4711-4B99-AD06-81A39B39839A}"/>
    <dgm:cxn modelId="{508DEEF5-3C31-4245-8DA7-4B400BEA5957}" type="presOf" srcId="{D2D90689-B900-45B4-B160-44EEAEF88A29}" destId="{F3DF8F6E-3AEA-46DC-A7EB-A54899BEDFCA}" srcOrd="1" destOrd="0" presId="urn:microsoft.com/office/officeart/2005/8/layout/orgChart1"/>
    <dgm:cxn modelId="{5563C7F7-33F4-4CE7-90C5-12061B6CEA6C}" srcId="{6C770225-A69C-4061-BAA6-67FADBE18C87}" destId="{12600696-E363-4901-9CFD-D456EBD63348}" srcOrd="1" destOrd="0" parTransId="{A8F67239-EBD4-4C14-A7CA-F992321F1EA9}" sibTransId="{CD06744A-8821-4BD9-B93C-FA0631CA04C9}"/>
    <dgm:cxn modelId="{7D645AFB-AA53-40B0-A628-73EDB3D18FE2}" srcId="{0AF52561-F47B-4750-AA55-119A5ACACA98}" destId="{F18F62E7-3302-4459-815C-9E960BD06FF4}" srcOrd="1" destOrd="0" parTransId="{A24A7986-5E06-4DB4-A040-248BB95936FE}" sibTransId="{7740EA85-4E3D-430A-97E4-A50A68C4BBE6}"/>
    <dgm:cxn modelId="{CA1AC5FC-2375-4C71-851D-B725640E7B1D}" type="presOf" srcId="{394F9C3C-1791-404B-A1B1-4D44B3186E7A}" destId="{E6383242-D765-4539-B43C-27776DAD5E16}" srcOrd="0" destOrd="0" presId="urn:microsoft.com/office/officeart/2005/8/layout/orgChart1"/>
    <dgm:cxn modelId="{BAE32603-03DA-4802-A5FB-2EC778FF7C0C}" type="presParOf" srcId="{700951D0-D450-41FD-8389-ED6B5C26CD60}" destId="{A84F9E22-D7F7-462C-A31C-868E012F3D91}" srcOrd="0" destOrd="0" presId="urn:microsoft.com/office/officeart/2005/8/layout/orgChart1"/>
    <dgm:cxn modelId="{84372F15-01E7-4411-A3E2-0F797211BBD0}" type="presParOf" srcId="{A84F9E22-D7F7-462C-A31C-868E012F3D91}" destId="{0C80A58F-872B-44F2-9605-27357EC22D19}" srcOrd="0" destOrd="0" presId="urn:microsoft.com/office/officeart/2005/8/layout/orgChart1"/>
    <dgm:cxn modelId="{8D60EF7E-AD1A-49B7-BBA7-D998FED973DF}" type="presParOf" srcId="{0C80A58F-872B-44F2-9605-27357EC22D19}" destId="{1AB36BBD-235C-442D-88EC-CE24B04E3B37}" srcOrd="0" destOrd="0" presId="urn:microsoft.com/office/officeart/2005/8/layout/orgChart1"/>
    <dgm:cxn modelId="{77852B01-C9BB-47E9-A31A-13533F7FFB58}" type="presParOf" srcId="{0C80A58F-872B-44F2-9605-27357EC22D19}" destId="{F5CA4995-B5BE-4030-B067-41D8657392A8}" srcOrd="1" destOrd="0" presId="urn:microsoft.com/office/officeart/2005/8/layout/orgChart1"/>
    <dgm:cxn modelId="{667E6D59-719F-47E8-9137-98660F7AE90B}" type="presParOf" srcId="{A84F9E22-D7F7-462C-A31C-868E012F3D91}" destId="{2A3F4A7B-1C77-46D6-9634-4024401C4B27}" srcOrd="1" destOrd="0" presId="urn:microsoft.com/office/officeart/2005/8/layout/orgChart1"/>
    <dgm:cxn modelId="{9AF03AB0-7F95-4042-B220-BB4ADA9721CD}" type="presParOf" srcId="{2A3F4A7B-1C77-46D6-9634-4024401C4B27}" destId="{0299F963-3C16-4666-BB9E-125D9BB871DD}" srcOrd="0" destOrd="0" presId="urn:microsoft.com/office/officeart/2005/8/layout/orgChart1"/>
    <dgm:cxn modelId="{46E90DD9-A7EF-447B-AEE9-A58256460E3B}" type="presParOf" srcId="{2A3F4A7B-1C77-46D6-9634-4024401C4B27}" destId="{0836D3F6-F7EE-47E8-82F2-A3B425F6A949}" srcOrd="1" destOrd="0" presId="urn:microsoft.com/office/officeart/2005/8/layout/orgChart1"/>
    <dgm:cxn modelId="{816C38E8-2017-492D-9A7C-86CA0400168E}" type="presParOf" srcId="{0836D3F6-F7EE-47E8-82F2-A3B425F6A949}" destId="{34AE41E8-6B77-4679-9D4D-165F1D106B11}" srcOrd="0" destOrd="0" presId="urn:microsoft.com/office/officeart/2005/8/layout/orgChart1"/>
    <dgm:cxn modelId="{84FD0115-3601-4C71-83CA-F45DF17F2B2C}" type="presParOf" srcId="{34AE41E8-6B77-4679-9D4D-165F1D106B11}" destId="{4289ED10-D532-4CBB-90F7-576D89D8AEA4}" srcOrd="0" destOrd="0" presId="urn:microsoft.com/office/officeart/2005/8/layout/orgChart1"/>
    <dgm:cxn modelId="{BB03BB15-3F1C-4018-B038-616CF297F96D}" type="presParOf" srcId="{34AE41E8-6B77-4679-9D4D-165F1D106B11}" destId="{41C52C8A-5D44-4EAD-B4DE-69B815BC46AB}" srcOrd="1" destOrd="0" presId="urn:microsoft.com/office/officeart/2005/8/layout/orgChart1"/>
    <dgm:cxn modelId="{DB35AE73-DCF7-47BE-8A41-A23E4E1A9107}" type="presParOf" srcId="{0836D3F6-F7EE-47E8-82F2-A3B425F6A949}" destId="{E021D4B3-4D8C-421E-8B9B-CBCF27D6E5C6}" srcOrd="1" destOrd="0" presId="urn:microsoft.com/office/officeart/2005/8/layout/orgChart1"/>
    <dgm:cxn modelId="{980A223D-5D34-45D3-9690-96E5913B37FD}" type="presParOf" srcId="{E021D4B3-4D8C-421E-8B9B-CBCF27D6E5C6}" destId="{F5933206-E4A8-448F-B685-FC24EFC47C40}" srcOrd="0" destOrd="0" presId="urn:microsoft.com/office/officeart/2005/8/layout/orgChart1"/>
    <dgm:cxn modelId="{D45226D7-CD98-40B9-BC37-94F3A2AB50E2}" type="presParOf" srcId="{E021D4B3-4D8C-421E-8B9B-CBCF27D6E5C6}" destId="{5C9F66F0-C2CA-4D66-A8E4-4F6938856A82}" srcOrd="1" destOrd="0" presId="urn:microsoft.com/office/officeart/2005/8/layout/orgChart1"/>
    <dgm:cxn modelId="{46D91750-CA8F-44BD-8C0A-6105884E3983}" type="presParOf" srcId="{5C9F66F0-C2CA-4D66-A8E4-4F6938856A82}" destId="{29DD8B56-B136-4415-802E-A6D072722D52}" srcOrd="0" destOrd="0" presId="urn:microsoft.com/office/officeart/2005/8/layout/orgChart1"/>
    <dgm:cxn modelId="{676186AE-3C8E-411F-9A94-438D3D7BEC62}" type="presParOf" srcId="{29DD8B56-B136-4415-802E-A6D072722D52}" destId="{E5829E68-5D8B-458A-92E8-7848830E459E}" srcOrd="0" destOrd="0" presId="urn:microsoft.com/office/officeart/2005/8/layout/orgChart1"/>
    <dgm:cxn modelId="{74C72F07-0D8F-4F52-8053-2B6E3FB25373}" type="presParOf" srcId="{29DD8B56-B136-4415-802E-A6D072722D52}" destId="{0891CD6E-75CE-4F06-87B6-720BBB48E11A}" srcOrd="1" destOrd="0" presId="urn:microsoft.com/office/officeart/2005/8/layout/orgChart1"/>
    <dgm:cxn modelId="{BEB27C77-2221-4B50-9C73-B95B8A8044D2}" type="presParOf" srcId="{5C9F66F0-C2CA-4D66-A8E4-4F6938856A82}" destId="{AF7AD616-2692-46AA-B16D-81A7056DE556}" srcOrd="1" destOrd="0" presId="urn:microsoft.com/office/officeart/2005/8/layout/orgChart1"/>
    <dgm:cxn modelId="{9A5A02F4-5C4D-409D-A6D6-31A30FA835AE}" type="presParOf" srcId="{5C9F66F0-C2CA-4D66-A8E4-4F6938856A82}" destId="{6A4336F7-9D87-4BC2-960D-579A9D30F147}" srcOrd="2" destOrd="0" presId="urn:microsoft.com/office/officeart/2005/8/layout/orgChart1"/>
    <dgm:cxn modelId="{6BAD10E9-7641-4A49-A4A9-D6F5C6E236DC}" type="presParOf" srcId="{E021D4B3-4D8C-421E-8B9B-CBCF27D6E5C6}" destId="{32D330CE-FE5B-49AC-834A-7423445371AA}" srcOrd="2" destOrd="0" presId="urn:microsoft.com/office/officeart/2005/8/layout/orgChart1"/>
    <dgm:cxn modelId="{58EF0F3E-3DDB-4147-9739-1FD0D4C4DEC6}" type="presParOf" srcId="{E021D4B3-4D8C-421E-8B9B-CBCF27D6E5C6}" destId="{99599A1F-C628-4972-B066-AFE1A7659575}" srcOrd="3" destOrd="0" presId="urn:microsoft.com/office/officeart/2005/8/layout/orgChart1"/>
    <dgm:cxn modelId="{57890BAC-CC28-4690-AACA-C38D2812AE73}" type="presParOf" srcId="{99599A1F-C628-4972-B066-AFE1A7659575}" destId="{F3EF2D8E-A780-4CFA-BE91-27A63C16E135}" srcOrd="0" destOrd="0" presId="urn:microsoft.com/office/officeart/2005/8/layout/orgChart1"/>
    <dgm:cxn modelId="{2FE5821C-7267-4E4B-921A-7C62E2A0FBE7}" type="presParOf" srcId="{F3EF2D8E-A780-4CFA-BE91-27A63C16E135}" destId="{4966AC99-89C7-4FAE-B9FA-CA929B1A782F}" srcOrd="0" destOrd="0" presId="urn:microsoft.com/office/officeart/2005/8/layout/orgChart1"/>
    <dgm:cxn modelId="{A65DD1C5-C3D4-4B2D-8AC1-24279B4AA6FC}" type="presParOf" srcId="{F3EF2D8E-A780-4CFA-BE91-27A63C16E135}" destId="{36B51ED2-B1CA-43F2-AFA4-A1168DEDD5B0}" srcOrd="1" destOrd="0" presId="urn:microsoft.com/office/officeart/2005/8/layout/orgChart1"/>
    <dgm:cxn modelId="{B5212576-7940-43F8-8E4E-0C7D77356C97}" type="presParOf" srcId="{99599A1F-C628-4972-B066-AFE1A7659575}" destId="{39BBCFF0-841E-471F-8FF1-0D0391C57C5A}" srcOrd="1" destOrd="0" presId="urn:microsoft.com/office/officeart/2005/8/layout/orgChart1"/>
    <dgm:cxn modelId="{734FD5AA-C730-4609-AD0C-6521623DC4EF}" type="presParOf" srcId="{99599A1F-C628-4972-B066-AFE1A7659575}" destId="{091DD413-06D3-4F82-9E06-DB8365829AA1}" srcOrd="2" destOrd="0" presId="urn:microsoft.com/office/officeart/2005/8/layout/orgChart1"/>
    <dgm:cxn modelId="{2A2C0A5D-4579-48FD-B6DE-8DB77EAD4BC4}" type="presParOf" srcId="{E021D4B3-4D8C-421E-8B9B-CBCF27D6E5C6}" destId="{132CD2A3-C9A7-47EE-8003-E4557C7F7F56}" srcOrd="4" destOrd="0" presId="urn:microsoft.com/office/officeart/2005/8/layout/orgChart1"/>
    <dgm:cxn modelId="{DD82890D-D71C-4A04-BF08-5A5C87EFA2EA}" type="presParOf" srcId="{E021D4B3-4D8C-421E-8B9B-CBCF27D6E5C6}" destId="{D3003B2F-C665-4825-90D6-FE852E0990D6}" srcOrd="5" destOrd="0" presId="urn:microsoft.com/office/officeart/2005/8/layout/orgChart1"/>
    <dgm:cxn modelId="{52EB6195-35B6-43FD-A5E2-927F4667A7AA}" type="presParOf" srcId="{D3003B2F-C665-4825-90D6-FE852E0990D6}" destId="{619A3E97-ABD2-470F-938E-97A7A83D83DC}" srcOrd="0" destOrd="0" presId="urn:microsoft.com/office/officeart/2005/8/layout/orgChart1"/>
    <dgm:cxn modelId="{AEE500AB-05B7-434D-A77F-7AD662CEDA46}" type="presParOf" srcId="{619A3E97-ABD2-470F-938E-97A7A83D83DC}" destId="{3B12B1D4-729B-4F0C-A3CF-07AB9C27949E}" srcOrd="0" destOrd="0" presId="urn:microsoft.com/office/officeart/2005/8/layout/orgChart1"/>
    <dgm:cxn modelId="{CB47FE5D-E5F6-401C-97AB-A2F6C4D7FF84}" type="presParOf" srcId="{619A3E97-ABD2-470F-938E-97A7A83D83DC}" destId="{F9BC639D-A2BE-48FF-B911-4F35972D4231}" srcOrd="1" destOrd="0" presId="urn:microsoft.com/office/officeart/2005/8/layout/orgChart1"/>
    <dgm:cxn modelId="{D47F50FB-BAAC-4A98-B186-147BAB42127B}" type="presParOf" srcId="{D3003B2F-C665-4825-90D6-FE852E0990D6}" destId="{3C4AFD76-50A5-4AAE-8213-840EEA4EC48F}" srcOrd="1" destOrd="0" presId="urn:microsoft.com/office/officeart/2005/8/layout/orgChart1"/>
    <dgm:cxn modelId="{E9EB5AE6-B504-412A-8BDF-D4D299E243C5}" type="presParOf" srcId="{D3003B2F-C665-4825-90D6-FE852E0990D6}" destId="{57D4E54F-4966-4F60-AC99-D8887E55CAEB}" srcOrd="2" destOrd="0" presId="urn:microsoft.com/office/officeart/2005/8/layout/orgChart1"/>
    <dgm:cxn modelId="{36E4005C-6B2A-4433-A714-1E5B3B69C3EE}" type="presParOf" srcId="{E021D4B3-4D8C-421E-8B9B-CBCF27D6E5C6}" destId="{E6383242-D765-4539-B43C-27776DAD5E16}" srcOrd="6" destOrd="0" presId="urn:microsoft.com/office/officeart/2005/8/layout/orgChart1"/>
    <dgm:cxn modelId="{08014E99-6D6B-4565-B5FA-55EE1F26BAE6}" type="presParOf" srcId="{E021D4B3-4D8C-421E-8B9B-CBCF27D6E5C6}" destId="{E0031AD0-C60B-4E33-972E-6FC101E2E9E9}" srcOrd="7" destOrd="0" presId="urn:microsoft.com/office/officeart/2005/8/layout/orgChart1"/>
    <dgm:cxn modelId="{ED04B55F-EA4F-4954-A48C-D61829223DBC}" type="presParOf" srcId="{E0031AD0-C60B-4E33-972E-6FC101E2E9E9}" destId="{C01D2245-1621-412C-BE37-1099DB892A19}" srcOrd="0" destOrd="0" presId="urn:microsoft.com/office/officeart/2005/8/layout/orgChart1"/>
    <dgm:cxn modelId="{09A2F8AE-A63B-4054-AD3D-9B7254D85C53}" type="presParOf" srcId="{C01D2245-1621-412C-BE37-1099DB892A19}" destId="{F0927E3E-95EF-4322-BD0D-17469DF445C5}" srcOrd="0" destOrd="0" presId="urn:microsoft.com/office/officeart/2005/8/layout/orgChart1"/>
    <dgm:cxn modelId="{4E8C60D8-2254-41AD-89D8-5C2A8D514AD8}" type="presParOf" srcId="{C01D2245-1621-412C-BE37-1099DB892A19}" destId="{FC4A6765-1B26-452D-8DE4-94ABB4753E16}" srcOrd="1" destOrd="0" presId="urn:microsoft.com/office/officeart/2005/8/layout/orgChart1"/>
    <dgm:cxn modelId="{BD2C2163-63CF-4B1F-90BF-50B260168C70}" type="presParOf" srcId="{E0031AD0-C60B-4E33-972E-6FC101E2E9E9}" destId="{3AEF2A5E-C877-4385-8C47-A42AAE9BCDDA}" srcOrd="1" destOrd="0" presId="urn:microsoft.com/office/officeart/2005/8/layout/orgChart1"/>
    <dgm:cxn modelId="{038C165B-B0A7-42ED-9A5A-1F12449D1722}" type="presParOf" srcId="{E0031AD0-C60B-4E33-972E-6FC101E2E9E9}" destId="{F5686C97-9541-455E-9EFE-64CB3D4EA11B}" srcOrd="2" destOrd="0" presId="urn:microsoft.com/office/officeart/2005/8/layout/orgChart1"/>
    <dgm:cxn modelId="{99407A7C-9712-44CC-90A5-3248B4BF22C9}" type="presParOf" srcId="{E021D4B3-4D8C-421E-8B9B-CBCF27D6E5C6}" destId="{03A3E5C0-CE0B-4842-80AD-EFAA9964CA72}" srcOrd="8" destOrd="0" presId="urn:microsoft.com/office/officeart/2005/8/layout/orgChart1"/>
    <dgm:cxn modelId="{66F1E72B-753C-410F-BB2D-2DA7D0FD5A56}" type="presParOf" srcId="{E021D4B3-4D8C-421E-8B9B-CBCF27D6E5C6}" destId="{4A63F7A9-073C-48A0-AA6A-738D4741BC85}" srcOrd="9" destOrd="0" presId="urn:microsoft.com/office/officeart/2005/8/layout/orgChart1"/>
    <dgm:cxn modelId="{788D20E0-76D1-4623-ADAC-F8BEDC1EC3CB}" type="presParOf" srcId="{4A63F7A9-073C-48A0-AA6A-738D4741BC85}" destId="{79EE7503-420A-42E8-ABA2-5191B2F3B8EA}" srcOrd="0" destOrd="0" presId="urn:microsoft.com/office/officeart/2005/8/layout/orgChart1"/>
    <dgm:cxn modelId="{92276D44-941F-42C2-BE96-230B0E7E0F47}" type="presParOf" srcId="{79EE7503-420A-42E8-ABA2-5191B2F3B8EA}" destId="{403DC6E8-F467-489B-B770-8AA6E50D19C7}" srcOrd="0" destOrd="0" presId="urn:microsoft.com/office/officeart/2005/8/layout/orgChart1"/>
    <dgm:cxn modelId="{01F9630D-342E-4824-B455-5579BE4DCF1D}" type="presParOf" srcId="{79EE7503-420A-42E8-ABA2-5191B2F3B8EA}" destId="{E79111A8-389D-4C37-9668-62B6C11FA692}" srcOrd="1" destOrd="0" presId="urn:microsoft.com/office/officeart/2005/8/layout/orgChart1"/>
    <dgm:cxn modelId="{F54EB699-50A2-4809-9C10-98980E4BEE87}" type="presParOf" srcId="{4A63F7A9-073C-48A0-AA6A-738D4741BC85}" destId="{A99A8C66-CE4A-48B8-B6F5-30C84149BD8B}" srcOrd="1" destOrd="0" presId="urn:microsoft.com/office/officeart/2005/8/layout/orgChart1"/>
    <dgm:cxn modelId="{E1F42C12-95C3-441E-BF22-52989DFAF9F5}" type="presParOf" srcId="{4A63F7A9-073C-48A0-AA6A-738D4741BC85}" destId="{10CE696E-09EE-45E6-B31E-BFA5BD68B777}" srcOrd="2" destOrd="0" presId="urn:microsoft.com/office/officeart/2005/8/layout/orgChart1"/>
    <dgm:cxn modelId="{EAF053D9-8ED4-406F-8A9A-93FFDC956EB1}" type="presParOf" srcId="{0836D3F6-F7EE-47E8-82F2-A3B425F6A949}" destId="{DC1A6E11-64F6-445F-BB62-9C74E5EAA6CC}" srcOrd="2" destOrd="0" presId="urn:microsoft.com/office/officeart/2005/8/layout/orgChart1"/>
    <dgm:cxn modelId="{2935BF6B-B827-43CF-8D54-6F764C5D4FA7}" type="presParOf" srcId="{2A3F4A7B-1C77-46D6-9634-4024401C4B27}" destId="{5A02B6BA-3270-47ED-9ED7-05F949F8C5A2}" srcOrd="2" destOrd="0" presId="urn:microsoft.com/office/officeart/2005/8/layout/orgChart1"/>
    <dgm:cxn modelId="{D2C19F28-74AE-40DB-851F-7AFCB36F04CC}" type="presParOf" srcId="{2A3F4A7B-1C77-46D6-9634-4024401C4B27}" destId="{245DEF3B-3BE4-4F17-87B2-31F2390F3F13}" srcOrd="3" destOrd="0" presId="urn:microsoft.com/office/officeart/2005/8/layout/orgChart1"/>
    <dgm:cxn modelId="{3E905F87-4D2A-48B8-A23B-F7AC8847929E}" type="presParOf" srcId="{245DEF3B-3BE4-4F17-87B2-31F2390F3F13}" destId="{7AB13062-5E50-4642-AD43-63DA81958BE0}" srcOrd="0" destOrd="0" presId="urn:microsoft.com/office/officeart/2005/8/layout/orgChart1"/>
    <dgm:cxn modelId="{1C54C17C-FD28-4F43-A041-739EA0C451A7}" type="presParOf" srcId="{7AB13062-5E50-4642-AD43-63DA81958BE0}" destId="{389115BD-94B0-46F8-849E-CCCC34BFCBA4}" srcOrd="0" destOrd="0" presId="urn:microsoft.com/office/officeart/2005/8/layout/orgChart1"/>
    <dgm:cxn modelId="{73AAE6DC-BBD8-4296-8A58-2EEAC8399EA8}" type="presParOf" srcId="{7AB13062-5E50-4642-AD43-63DA81958BE0}" destId="{F633A0D3-8DA9-4F3E-834A-58492B456EED}" srcOrd="1" destOrd="0" presId="urn:microsoft.com/office/officeart/2005/8/layout/orgChart1"/>
    <dgm:cxn modelId="{70F80C8B-D0AD-42CA-A7EC-FDC440A5F9C5}" type="presParOf" srcId="{245DEF3B-3BE4-4F17-87B2-31F2390F3F13}" destId="{9833898E-BC27-4FD2-82AE-8954D59F653A}" srcOrd="1" destOrd="0" presId="urn:microsoft.com/office/officeart/2005/8/layout/orgChart1"/>
    <dgm:cxn modelId="{BAE375E4-86E9-4EDB-A0E2-2612F91CBAF2}" type="presParOf" srcId="{9833898E-BC27-4FD2-82AE-8954D59F653A}" destId="{A66965DE-FD53-4B89-B61D-56F93C6B65A1}" srcOrd="0" destOrd="0" presId="urn:microsoft.com/office/officeart/2005/8/layout/orgChart1"/>
    <dgm:cxn modelId="{5813F14D-B6E5-44BF-BB1F-4DB05EBA3557}" type="presParOf" srcId="{9833898E-BC27-4FD2-82AE-8954D59F653A}" destId="{8C0960DC-9267-44A1-B00B-95ACC5F8E38B}" srcOrd="1" destOrd="0" presId="urn:microsoft.com/office/officeart/2005/8/layout/orgChart1"/>
    <dgm:cxn modelId="{23AD2B6A-8AAC-4093-B632-0B26AEBEBC8C}" type="presParOf" srcId="{8C0960DC-9267-44A1-B00B-95ACC5F8E38B}" destId="{36BC852D-82CA-4629-B5D7-BAF53C88E6A3}" srcOrd="0" destOrd="0" presId="urn:microsoft.com/office/officeart/2005/8/layout/orgChart1"/>
    <dgm:cxn modelId="{3192AA40-3082-4395-A95F-924B897A5B31}" type="presParOf" srcId="{36BC852D-82CA-4629-B5D7-BAF53C88E6A3}" destId="{927D676A-C170-4F7A-8A1C-3A9CB81BD3E7}" srcOrd="0" destOrd="0" presId="urn:microsoft.com/office/officeart/2005/8/layout/orgChart1"/>
    <dgm:cxn modelId="{BA33002E-50C6-4730-A47F-FDD214653433}" type="presParOf" srcId="{36BC852D-82CA-4629-B5D7-BAF53C88E6A3}" destId="{F1D2EF8A-8D2E-4F4C-97CF-E45E521BA2EB}" srcOrd="1" destOrd="0" presId="urn:microsoft.com/office/officeart/2005/8/layout/orgChart1"/>
    <dgm:cxn modelId="{93545B27-A3CF-40B4-BA3E-316A9593B4FF}" type="presParOf" srcId="{8C0960DC-9267-44A1-B00B-95ACC5F8E38B}" destId="{BE9A7388-5798-4E36-8C20-1B5309B956A0}" srcOrd="1" destOrd="0" presId="urn:microsoft.com/office/officeart/2005/8/layout/orgChart1"/>
    <dgm:cxn modelId="{D6389789-BCA8-44DC-A23E-44B1CFD9B90B}" type="presParOf" srcId="{8C0960DC-9267-44A1-B00B-95ACC5F8E38B}" destId="{B7B577DF-D254-4774-A2F8-F16C2801C4BB}" srcOrd="2" destOrd="0" presId="urn:microsoft.com/office/officeart/2005/8/layout/orgChart1"/>
    <dgm:cxn modelId="{CE9874FA-7935-4C7B-8AB8-618C895D9D24}" type="presParOf" srcId="{9833898E-BC27-4FD2-82AE-8954D59F653A}" destId="{9A8958B2-10F2-49E3-9F94-C826CA7B012D}" srcOrd="2" destOrd="0" presId="urn:microsoft.com/office/officeart/2005/8/layout/orgChart1"/>
    <dgm:cxn modelId="{88D64A79-591F-4358-AA6E-3EBC8C3FE454}" type="presParOf" srcId="{9833898E-BC27-4FD2-82AE-8954D59F653A}" destId="{C1649A2F-D636-4605-9C63-187E4AB75A42}" srcOrd="3" destOrd="0" presId="urn:microsoft.com/office/officeart/2005/8/layout/orgChart1"/>
    <dgm:cxn modelId="{156C5265-EB7D-4B75-88C4-4D87CD2F3827}" type="presParOf" srcId="{C1649A2F-D636-4605-9C63-187E4AB75A42}" destId="{3514A154-6490-4A13-AB2C-851A2B532F23}" srcOrd="0" destOrd="0" presId="urn:microsoft.com/office/officeart/2005/8/layout/orgChart1"/>
    <dgm:cxn modelId="{DEAA9392-49D1-4D18-9BD6-CE077D7E602E}" type="presParOf" srcId="{3514A154-6490-4A13-AB2C-851A2B532F23}" destId="{6C723801-F8A2-4673-BF7C-D12FF21BC78A}" srcOrd="0" destOrd="0" presId="urn:microsoft.com/office/officeart/2005/8/layout/orgChart1"/>
    <dgm:cxn modelId="{9B22E094-0FAE-4A07-AF8B-3648504F4A71}" type="presParOf" srcId="{3514A154-6490-4A13-AB2C-851A2B532F23}" destId="{2414B9B0-B3C2-4641-8978-46998505E2F0}" srcOrd="1" destOrd="0" presId="urn:microsoft.com/office/officeart/2005/8/layout/orgChart1"/>
    <dgm:cxn modelId="{330178BB-C0A0-4E1D-AD10-543B0D2C806A}" type="presParOf" srcId="{C1649A2F-D636-4605-9C63-187E4AB75A42}" destId="{EA85E283-AF55-45FC-A298-70D022CAEBB6}" srcOrd="1" destOrd="0" presId="urn:microsoft.com/office/officeart/2005/8/layout/orgChart1"/>
    <dgm:cxn modelId="{C20C1FFC-D20D-42FA-B716-E22486E62A16}" type="presParOf" srcId="{C1649A2F-D636-4605-9C63-187E4AB75A42}" destId="{41C9509D-00B7-48E3-BD43-AC9026B96663}" srcOrd="2" destOrd="0" presId="urn:microsoft.com/office/officeart/2005/8/layout/orgChart1"/>
    <dgm:cxn modelId="{5C465007-1A23-4510-BBB3-A3A1B1F76772}" type="presParOf" srcId="{9833898E-BC27-4FD2-82AE-8954D59F653A}" destId="{1B6930EC-198A-47B1-9108-6BDFCF5B18C9}" srcOrd="4" destOrd="0" presId="urn:microsoft.com/office/officeart/2005/8/layout/orgChart1"/>
    <dgm:cxn modelId="{07C55913-8165-4CD9-81D9-D349F8461491}" type="presParOf" srcId="{9833898E-BC27-4FD2-82AE-8954D59F653A}" destId="{895597FC-44B8-4132-BE7B-092DF721DC83}" srcOrd="5" destOrd="0" presId="urn:microsoft.com/office/officeart/2005/8/layout/orgChart1"/>
    <dgm:cxn modelId="{D32761D0-E9E2-4F42-BC1D-FD5CF151C979}" type="presParOf" srcId="{895597FC-44B8-4132-BE7B-092DF721DC83}" destId="{DBAC3324-C4F0-41DE-AE32-86E07370ED6F}" srcOrd="0" destOrd="0" presId="urn:microsoft.com/office/officeart/2005/8/layout/orgChart1"/>
    <dgm:cxn modelId="{94256F0E-090F-48DA-9D20-BB4233FDC148}" type="presParOf" srcId="{DBAC3324-C4F0-41DE-AE32-86E07370ED6F}" destId="{8538DAE9-701E-4C27-B752-B5C145935897}" srcOrd="0" destOrd="0" presId="urn:microsoft.com/office/officeart/2005/8/layout/orgChart1"/>
    <dgm:cxn modelId="{925969B4-D051-481D-8DA6-1B21F8BE4400}" type="presParOf" srcId="{DBAC3324-C4F0-41DE-AE32-86E07370ED6F}" destId="{E690652D-942B-4B37-93B4-57296DB47D29}" srcOrd="1" destOrd="0" presId="urn:microsoft.com/office/officeart/2005/8/layout/orgChart1"/>
    <dgm:cxn modelId="{0D2F7D9E-68BA-4F85-857C-C9863AC170F9}" type="presParOf" srcId="{895597FC-44B8-4132-BE7B-092DF721DC83}" destId="{2781EA51-1648-4A51-82A4-68D115685A98}" srcOrd="1" destOrd="0" presId="urn:microsoft.com/office/officeart/2005/8/layout/orgChart1"/>
    <dgm:cxn modelId="{02C19FCA-2A7B-4005-8BB0-A65822B98BCC}" type="presParOf" srcId="{895597FC-44B8-4132-BE7B-092DF721DC83}" destId="{B34C157C-89CE-4C99-AFB4-05B4B5EBBFF8}" srcOrd="2" destOrd="0" presId="urn:microsoft.com/office/officeart/2005/8/layout/orgChart1"/>
    <dgm:cxn modelId="{DA601BEF-6420-49DC-AA9F-BEF94C5A758E}" type="presParOf" srcId="{9833898E-BC27-4FD2-82AE-8954D59F653A}" destId="{EA70330A-BAE4-4AC1-BFE5-9A6FB73AEB64}" srcOrd="6" destOrd="0" presId="urn:microsoft.com/office/officeart/2005/8/layout/orgChart1"/>
    <dgm:cxn modelId="{AC101E76-288D-49F6-918F-20DDDE455FFA}" type="presParOf" srcId="{9833898E-BC27-4FD2-82AE-8954D59F653A}" destId="{A442FE79-6B1C-4D90-ACAF-1B1C042CCB11}" srcOrd="7" destOrd="0" presId="urn:microsoft.com/office/officeart/2005/8/layout/orgChart1"/>
    <dgm:cxn modelId="{B4E23135-A279-4AD3-A33A-E8DFC5585741}" type="presParOf" srcId="{A442FE79-6B1C-4D90-ACAF-1B1C042CCB11}" destId="{A627A416-DB3E-4271-9A72-4089B3809694}" srcOrd="0" destOrd="0" presId="urn:microsoft.com/office/officeart/2005/8/layout/orgChart1"/>
    <dgm:cxn modelId="{5F8A2C01-6779-4973-BC87-3D22D7E4557C}" type="presParOf" srcId="{A627A416-DB3E-4271-9A72-4089B3809694}" destId="{8111E419-CABB-4497-8DDC-2205B080A7E4}" srcOrd="0" destOrd="0" presId="urn:microsoft.com/office/officeart/2005/8/layout/orgChart1"/>
    <dgm:cxn modelId="{55277C44-83BD-49A0-AB77-5EFB0DF1E94F}" type="presParOf" srcId="{A627A416-DB3E-4271-9A72-4089B3809694}" destId="{45E43040-D0AE-4506-9D9C-2652CD608BCF}" srcOrd="1" destOrd="0" presId="urn:microsoft.com/office/officeart/2005/8/layout/orgChart1"/>
    <dgm:cxn modelId="{FA154F92-4E99-4B58-9D05-CB27D3F8A2CD}" type="presParOf" srcId="{A442FE79-6B1C-4D90-ACAF-1B1C042CCB11}" destId="{F3D6A8DB-451E-452A-B711-FB8C49D4394A}" srcOrd="1" destOrd="0" presId="urn:microsoft.com/office/officeart/2005/8/layout/orgChart1"/>
    <dgm:cxn modelId="{24FD0A1A-AD00-4A87-93AD-5D808D398BB5}" type="presParOf" srcId="{A442FE79-6B1C-4D90-ACAF-1B1C042CCB11}" destId="{B0D52873-5801-4222-AAE1-935732D59292}" srcOrd="2" destOrd="0" presId="urn:microsoft.com/office/officeart/2005/8/layout/orgChart1"/>
    <dgm:cxn modelId="{DD0FEE6D-862D-4442-8DC7-7285B7216E64}" type="presParOf" srcId="{9833898E-BC27-4FD2-82AE-8954D59F653A}" destId="{A37CD491-A43F-4503-8A3E-7060D45B17F6}" srcOrd="8" destOrd="0" presId="urn:microsoft.com/office/officeart/2005/8/layout/orgChart1"/>
    <dgm:cxn modelId="{832F0EB5-2F81-4537-BCF5-00D3C18DCEB2}" type="presParOf" srcId="{9833898E-BC27-4FD2-82AE-8954D59F653A}" destId="{A34C5262-BBAF-464D-A2F4-E8DEFB834CAF}" srcOrd="9" destOrd="0" presId="urn:microsoft.com/office/officeart/2005/8/layout/orgChart1"/>
    <dgm:cxn modelId="{5194FE4F-FEEB-4B14-9E23-70B0743B6CA5}" type="presParOf" srcId="{A34C5262-BBAF-464D-A2F4-E8DEFB834CAF}" destId="{10721AE2-604F-4005-80B8-2C3A9C9A0C44}" srcOrd="0" destOrd="0" presId="urn:microsoft.com/office/officeart/2005/8/layout/orgChart1"/>
    <dgm:cxn modelId="{E649E523-A81E-4B9A-8D35-6A6291D83D2E}" type="presParOf" srcId="{10721AE2-604F-4005-80B8-2C3A9C9A0C44}" destId="{3AE11E72-8AA3-48FC-B896-4DBFEE6BED94}" srcOrd="0" destOrd="0" presId="urn:microsoft.com/office/officeart/2005/8/layout/orgChart1"/>
    <dgm:cxn modelId="{1322EED0-3B04-4FBD-A479-6F913FB96468}" type="presParOf" srcId="{10721AE2-604F-4005-80B8-2C3A9C9A0C44}" destId="{F721223B-5CA6-4CF1-8F6C-93A44F4BC1A8}" srcOrd="1" destOrd="0" presId="urn:microsoft.com/office/officeart/2005/8/layout/orgChart1"/>
    <dgm:cxn modelId="{15AD0370-1C8B-4FCB-96FF-9EA946086B82}" type="presParOf" srcId="{A34C5262-BBAF-464D-A2F4-E8DEFB834CAF}" destId="{384FF3C4-6B3C-4948-8960-F60BD02708D5}" srcOrd="1" destOrd="0" presId="urn:microsoft.com/office/officeart/2005/8/layout/orgChart1"/>
    <dgm:cxn modelId="{4AF23634-468E-4981-9D06-CA18CE823797}" type="presParOf" srcId="{A34C5262-BBAF-464D-A2F4-E8DEFB834CAF}" destId="{14729E4D-4C5A-499E-BEC0-F57BD98CC868}" srcOrd="2" destOrd="0" presId="urn:microsoft.com/office/officeart/2005/8/layout/orgChart1"/>
    <dgm:cxn modelId="{309FCDA9-086A-4334-93F7-7BDC5DFA996A}" type="presParOf" srcId="{9833898E-BC27-4FD2-82AE-8954D59F653A}" destId="{05203116-2124-4DE6-A10C-5C330E3EA739}" srcOrd="10" destOrd="0" presId="urn:microsoft.com/office/officeart/2005/8/layout/orgChart1"/>
    <dgm:cxn modelId="{3B8621D6-6FDE-4BE7-981D-3690AFB6808D}" type="presParOf" srcId="{9833898E-BC27-4FD2-82AE-8954D59F653A}" destId="{B4F580DF-59B1-47AA-AE80-F18E9A588B74}" srcOrd="11" destOrd="0" presId="urn:microsoft.com/office/officeart/2005/8/layout/orgChart1"/>
    <dgm:cxn modelId="{72F156F7-B9E1-4739-82FA-45F5E6CF0A83}" type="presParOf" srcId="{B4F580DF-59B1-47AA-AE80-F18E9A588B74}" destId="{C0C93BE2-F98B-4483-B704-22A0CC7B3F5F}" srcOrd="0" destOrd="0" presId="urn:microsoft.com/office/officeart/2005/8/layout/orgChart1"/>
    <dgm:cxn modelId="{AE1D909D-E95C-4AD6-A190-18F0ECDE772A}" type="presParOf" srcId="{C0C93BE2-F98B-4483-B704-22A0CC7B3F5F}" destId="{B9610464-9D06-4F22-AB2F-718925F91850}" srcOrd="0" destOrd="0" presId="urn:microsoft.com/office/officeart/2005/8/layout/orgChart1"/>
    <dgm:cxn modelId="{B48BF9B8-9D3B-46D7-83CB-56FC262B17A8}" type="presParOf" srcId="{C0C93BE2-F98B-4483-B704-22A0CC7B3F5F}" destId="{11ED2717-1272-4FA3-9F89-E1CBAAB703EB}" srcOrd="1" destOrd="0" presId="urn:microsoft.com/office/officeart/2005/8/layout/orgChart1"/>
    <dgm:cxn modelId="{7711F7E2-42D4-4C3D-8029-2DD464C000EA}" type="presParOf" srcId="{B4F580DF-59B1-47AA-AE80-F18E9A588B74}" destId="{FCBE487A-B833-4A35-BF64-F8831BB9541C}" srcOrd="1" destOrd="0" presId="urn:microsoft.com/office/officeart/2005/8/layout/orgChart1"/>
    <dgm:cxn modelId="{6DBCCADF-6CAE-44DF-9823-FCED28EAD1D3}" type="presParOf" srcId="{B4F580DF-59B1-47AA-AE80-F18E9A588B74}" destId="{0C0F9434-20FD-497E-B599-3B8941C99C26}" srcOrd="2" destOrd="0" presId="urn:microsoft.com/office/officeart/2005/8/layout/orgChart1"/>
    <dgm:cxn modelId="{1C3DB1F7-75E3-461D-B739-9CCCDB6439CB}" type="presParOf" srcId="{245DEF3B-3BE4-4F17-87B2-31F2390F3F13}" destId="{07653BC7-940A-43E9-8E37-0629449A5F0C}" srcOrd="2" destOrd="0" presId="urn:microsoft.com/office/officeart/2005/8/layout/orgChart1"/>
    <dgm:cxn modelId="{A46E9789-1E42-4E26-82DF-B76CE39C9B79}" type="presParOf" srcId="{2A3F4A7B-1C77-46D6-9634-4024401C4B27}" destId="{CC7E4CF4-BBDD-460A-8BE0-A666196F7903}" srcOrd="4" destOrd="0" presId="urn:microsoft.com/office/officeart/2005/8/layout/orgChart1"/>
    <dgm:cxn modelId="{90D157F2-558E-47A9-801A-55CEB4B316BA}" type="presParOf" srcId="{2A3F4A7B-1C77-46D6-9634-4024401C4B27}" destId="{92F3C962-B3AB-400D-9553-256230007FF5}" srcOrd="5" destOrd="0" presId="urn:microsoft.com/office/officeart/2005/8/layout/orgChart1"/>
    <dgm:cxn modelId="{15CB4CA4-E2BB-43FF-92F4-E7D5252ABD09}" type="presParOf" srcId="{92F3C962-B3AB-400D-9553-256230007FF5}" destId="{3207B69C-FC2E-4A17-A896-B5815BAE3A7E}" srcOrd="0" destOrd="0" presId="urn:microsoft.com/office/officeart/2005/8/layout/orgChart1"/>
    <dgm:cxn modelId="{2800BDF6-1228-4AEC-8DB1-CA02863FDCBC}" type="presParOf" srcId="{3207B69C-FC2E-4A17-A896-B5815BAE3A7E}" destId="{1CEC0B8E-4B5A-462C-8E2D-ED30AA6EC29F}" srcOrd="0" destOrd="0" presId="urn:microsoft.com/office/officeart/2005/8/layout/orgChart1"/>
    <dgm:cxn modelId="{AE648FC7-D9BA-45C1-A3BA-839F10F21BB0}" type="presParOf" srcId="{3207B69C-FC2E-4A17-A896-B5815BAE3A7E}" destId="{B8671C19-6817-4EB0-B863-82F314C92CB2}" srcOrd="1" destOrd="0" presId="urn:microsoft.com/office/officeart/2005/8/layout/orgChart1"/>
    <dgm:cxn modelId="{38551636-BB5C-4754-8ECD-65F2835AFBAE}" type="presParOf" srcId="{92F3C962-B3AB-400D-9553-256230007FF5}" destId="{9FC7A6C3-374E-4BA8-BFF6-1F4AAF70D33F}" srcOrd="1" destOrd="0" presId="urn:microsoft.com/office/officeart/2005/8/layout/orgChart1"/>
    <dgm:cxn modelId="{34566CD9-1B0B-48D2-9BB9-0A39AF5F02C8}" type="presParOf" srcId="{9FC7A6C3-374E-4BA8-BFF6-1F4AAF70D33F}" destId="{8E17D57F-C4C5-4D8D-8004-A19EECB5FEB3}" srcOrd="0" destOrd="0" presId="urn:microsoft.com/office/officeart/2005/8/layout/orgChart1"/>
    <dgm:cxn modelId="{8B126F0A-7BE0-42C7-8A99-D8B4A2D73D76}" type="presParOf" srcId="{9FC7A6C3-374E-4BA8-BFF6-1F4AAF70D33F}" destId="{81B4143C-D68B-48D0-9ACF-664D840CCD22}" srcOrd="1" destOrd="0" presId="urn:microsoft.com/office/officeart/2005/8/layout/orgChart1"/>
    <dgm:cxn modelId="{B19AA75D-5CF3-41CD-84BA-A190E9E8B2FF}" type="presParOf" srcId="{81B4143C-D68B-48D0-9ACF-664D840CCD22}" destId="{51CC2010-9ACA-48FA-883E-48B66D1F2755}" srcOrd="0" destOrd="0" presId="urn:microsoft.com/office/officeart/2005/8/layout/orgChart1"/>
    <dgm:cxn modelId="{97FA8FAE-5505-4B5C-9556-20F6C172F5D3}" type="presParOf" srcId="{51CC2010-9ACA-48FA-883E-48B66D1F2755}" destId="{35C706A5-ECE5-4267-AC1E-EE9B957827DA}" srcOrd="0" destOrd="0" presId="urn:microsoft.com/office/officeart/2005/8/layout/orgChart1"/>
    <dgm:cxn modelId="{CB097EED-0D56-42B0-BE97-1E1DB43CAD6A}" type="presParOf" srcId="{51CC2010-9ACA-48FA-883E-48B66D1F2755}" destId="{7CE54C74-1A6D-4B69-A533-9DDFDAEF4799}" srcOrd="1" destOrd="0" presId="urn:microsoft.com/office/officeart/2005/8/layout/orgChart1"/>
    <dgm:cxn modelId="{8D747B5B-4E7F-4744-882F-CCAFF767073B}" type="presParOf" srcId="{81B4143C-D68B-48D0-9ACF-664D840CCD22}" destId="{F496C0B3-697C-43BF-A50E-FCB521A72A86}" srcOrd="1" destOrd="0" presId="urn:microsoft.com/office/officeart/2005/8/layout/orgChart1"/>
    <dgm:cxn modelId="{F856FE33-8A55-4657-B949-BE92AC5C2E23}" type="presParOf" srcId="{81B4143C-D68B-48D0-9ACF-664D840CCD22}" destId="{53A2DBBF-0CC1-4F9E-A456-0F4C0E255BBB}" srcOrd="2" destOrd="0" presId="urn:microsoft.com/office/officeart/2005/8/layout/orgChart1"/>
    <dgm:cxn modelId="{98B50D83-CE03-4F41-9978-63EB334A553A}" type="presParOf" srcId="{9FC7A6C3-374E-4BA8-BFF6-1F4AAF70D33F}" destId="{D89BE0B8-DACA-4272-926F-5D8EC8D95D93}" srcOrd="2" destOrd="0" presId="urn:microsoft.com/office/officeart/2005/8/layout/orgChart1"/>
    <dgm:cxn modelId="{EDE0B79A-6414-46CF-9DAE-BD8B7D907AC4}" type="presParOf" srcId="{9FC7A6C3-374E-4BA8-BFF6-1F4AAF70D33F}" destId="{BCA998D0-54B7-4E3E-8299-693CF5798189}" srcOrd="3" destOrd="0" presId="urn:microsoft.com/office/officeart/2005/8/layout/orgChart1"/>
    <dgm:cxn modelId="{9A2B9A78-6200-4517-98B3-41DF4B7AF4B9}" type="presParOf" srcId="{BCA998D0-54B7-4E3E-8299-693CF5798189}" destId="{E51CECDB-124B-4874-B764-7ECA536AB00C}" srcOrd="0" destOrd="0" presId="urn:microsoft.com/office/officeart/2005/8/layout/orgChart1"/>
    <dgm:cxn modelId="{25E88BD4-7824-4F8D-B0A2-8B68F4A15611}" type="presParOf" srcId="{E51CECDB-124B-4874-B764-7ECA536AB00C}" destId="{AB1A889F-4494-4CDA-90B5-8980182CC989}" srcOrd="0" destOrd="0" presId="urn:microsoft.com/office/officeart/2005/8/layout/orgChart1"/>
    <dgm:cxn modelId="{871E58DD-C391-4210-9DC8-79078A0D5DB9}" type="presParOf" srcId="{E51CECDB-124B-4874-B764-7ECA536AB00C}" destId="{E33FF668-4261-4233-B8A1-3E1FEA58BDA0}" srcOrd="1" destOrd="0" presId="urn:microsoft.com/office/officeart/2005/8/layout/orgChart1"/>
    <dgm:cxn modelId="{5FBACEC5-2D6E-416A-8ACD-4253E608C1AB}" type="presParOf" srcId="{BCA998D0-54B7-4E3E-8299-693CF5798189}" destId="{166EB1C7-1237-4250-80FB-65EDC31FF454}" srcOrd="1" destOrd="0" presId="urn:microsoft.com/office/officeart/2005/8/layout/orgChart1"/>
    <dgm:cxn modelId="{2F037009-BD58-4661-A336-9FB317A79EF5}" type="presParOf" srcId="{BCA998D0-54B7-4E3E-8299-693CF5798189}" destId="{D8B6D063-DEAB-42F3-AD74-DB37EE2134F1}" srcOrd="2" destOrd="0" presId="urn:microsoft.com/office/officeart/2005/8/layout/orgChart1"/>
    <dgm:cxn modelId="{3291E7D5-EB0D-4748-A780-AE21888CBEEE}" type="presParOf" srcId="{9FC7A6C3-374E-4BA8-BFF6-1F4AAF70D33F}" destId="{9DCB6E4D-CE21-478E-B21E-566DD61538F8}" srcOrd="4" destOrd="0" presId="urn:microsoft.com/office/officeart/2005/8/layout/orgChart1"/>
    <dgm:cxn modelId="{2355D005-0603-43E7-B3B9-957288285B5E}" type="presParOf" srcId="{9FC7A6C3-374E-4BA8-BFF6-1F4AAF70D33F}" destId="{0FB56DF0-29C8-4288-B9C8-4F9F0CF9595F}" srcOrd="5" destOrd="0" presId="urn:microsoft.com/office/officeart/2005/8/layout/orgChart1"/>
    <dgm:cxn modelId="{1AA648F3-C597-4C5B-B59F-861E3BE117FF}" type="presParOf" srcId="{0FB56DF0-29C8-4288-B9C8-4F9F0CF9595F}" destId="{565FC9FD-0F3F-48DA-BAFE-1306D910A24E}" srcOrd="0" destOrd="0" presId="urn:microsoft.com/office/officeart/2005/8/layout/orgChart1"/>
    <dgm:cxn modelId="{C5D280A4-1DCE-48A5-A5C1-77BCDCC63181}" type="presParOf" srcId="{565FC9FD-0F3F-48DA-BAFE-1306D910A24E}" destId="{180DC21C-9F7B-4EBF-9AB7-42A63E9BD9FD}" srcOrd="0" destOrd="0" presId="urn:microsoft.com/office/officeart/2005/8/layout/orgChart1"/>
    <dgm:cxn modelId="{8E10E2D1-2120-4104-A709-5E89DC3776C9}" type="presParOf" srcId="{565FC9FD-0F3F-48DA-BAFE-1306D910A24E}" destId="{A4223262-6FAB-4224-85F0-2EB82F5D0E43}" srcOrd="1" destOrd="0" presId="urn:microsoft.com/office/officeart/2005/8/layout/orgChart1"/>
    <dgm:cxn modelId="{859A1957-172A-499F-B1F5-CCB5C4A2989F}" type="presParOf" srcId="{0FB56DF0-29C8-4288-B9C8-4F9F0CF9595F}" destId="{FC9BFAC3-6B7B-4B9F-A3C1-34804ED6297F}" srcOrd="1" destOrd="0" presId="urn:microsoft.com/office/officeart/2005/8/layout/orgChart1"/>
    <dgm:cxn modelId="{6E5C3FBB-FAC6-41D9-8A43-6E0F34A23A33}" type="presParOf" srcId="{0FB56DF0-29C8-4288-B9C8-4F9F0CF9595F}" destId="{85C1F353-7248-437C-8315-3DF5F98815B4}" srcOrd="2" destOrd="0" presId="urn:microsoft.com/office/officeart/2005/8/layout/orgChart1"/>
    <dgm:cxn modelId="{48A11E70-9527-4609-9D80-D784BF4F10E0}" type="presParOf" srcId="{9FC7A6C3-374E-4BA8-BFF6-1F4AAF70D33F}" destId="{BFC70FEF-F97F-42C7-A8E4-59980C94878F}" srcOrd="6" destOrd="0" presId="urn:microsoft.com/office/officeart/2005/8/layout/orgChart1"/>
    <dgm:cxn modelId="{739A15C8-BC37-4BBB-AAD7-B3A842DC01BF}" type="presParOf" srcId="{9FC7A6C3-374E-4BA8-BFF6-1F4AAF70D33F}" destId="{81ADB5A7-9306-4168-89CF-535319F3CCC8}" srcOrd="7" destOrd="0" presId="urn:microsoft.com/office/officeart/2005/8/layout/orgChart1"/>
    <dgm:cxn modelId="{C3B49212-CBF5-44A0-9B84-4ABA4A9FD4EE}" type="presParOf" srcId="{81ADB5A7-9306-4168-89CF-535319F3CCC8}" destId="{C253A084-6BAE-4423-90AC-7643C1486DAA}" srcOrd="0" destOrd="0" presId="urn:microsoft.com/office/officeart/2005/8/layout/orgChart1"/>
    <dgm:cxn modelId="{A5B9AFF2-F368-40E2-9D35-3D04F3501B77}" type="presParOf" srcId="{C253A084-6BAE-4423-90AC-7643C1486DAA}" destId="{2C47E363-E35F-4FB2-93D0-10631FE25DF1}" srcOrd="0" destOrd="0" presId="urn:microsoft.com/office/officeart/2005/8/layout/orgChart1"/>
    <dgm:cxn modelId="{02ECF553-11B0-4AA0-BD42-044AA12F53A9}" type="presParOf" srcId="{C253A084-6BAE-4423-90AC-7643C1486DAA}" destId="{CD03A9A1-223D-4D66-BC90-D61EB027EEBA}" srcOrd="1" destOrd="0" presId="urn:microsoft.com/office/officeart/2005/8/layout/orgChart1"/>
    <dgm:cxn modelId="{4261222D-F0FC-4C14-B41A-222F4D94AE9A}" type="presParOf" srcId="{81ADB5A7-9306-4168-89CF-535319F3CCC8}" destId="{0D238CF9-879E-4B44-B32A-E5B5D07945F3}" srcOrd="1" destOrd="0" presId="urn:microsoft.com/office/officeart/2005/8/layout/orgChart1"/>
    <dgm:cxn modelId="{0D38FF3B-A8A4-47B6-816A-88114E97C31B}" type="presParOf" srcId="{81ADB5A7-9306-4168-89CF-535319F3CCC8}" destId="{109634AC-D136-4C20-AC13-FA1974077EE1}" srcOrd="2" destOrd="0" presId="urn:microsoft.com/office/officeart/2005/8/layout/orgChart1"/>
    <dgm:cxn modelId="{3CB632F3-2A0F-434A-90A1-43FB7830CD17}" type="presParOf" srcId="{9FC7A6C3-374E-4BA8-BFF6-1F4AAF70D33F}" destId="{2BE5711E-5B7C-4569-B103-B690A45CAFF5}" srcOrd="8" destOrd="0" presId="urn:microsoft.com/office/officeart/2005/8/layout/orgChart1"/>
    <dgm:cxn modelId="{78E87CCE-6A89-48A7-8F9B-1830F439391B}" type="presParOf" srcId="{9FC7A6C3-374E-4BA8-BFF6-1F4AAF70D33F}" destId="{F130A685-73ED-4862-88C5-182032AA2363}" srcOrd="9" destOrd="0" presId="urn:microsoft.com/office/officeart/2005/8/layout/orgChart1"/>
    <dgm:cxn modelId="{3C009D71-ED5E-4D1F-9EBB-889F85B5BF4D}" type="presParOf" srcId="{F130A685-73ED-4862-88C5-182032AA2363}" destId="{94D4FC49-7E34-4D91-A125-5B87A12221F6}" srcOrd="0" destOrd="0" presId="urn:microsoft.com/office/officeart/2005/8/layout/orgChart1"/>
    <dgm:cxn modelId="{AFDC74D2-0D5C-435A-8918-CC768184E159}" type="presParOf" srcId="{94D4FC49-7E34-4D91-A125-5B87A12221F6}" destId="{575FF7DE-3820-47E8-A173-200E60CD7846}" srcOrd="0" destOrd="0" presId="urn:microsoft.com/office/officeart/2005/8/layout/orgChart1"/>
    <dgm:cxn modelId="{CC95EA36-C691-4122-A77B-AE49DE6A457C}" type="presParOf" srcId="{94D4FC49-7E34-4D91-A125-5B87A12221F6}" destId="{AA05857C-4E06-4DEB-BB39-2CE82235EC4B}" srcOrd="1" destOrd="0" presId="urn:microsoft.com/office/officeart/2005/8/layout/orgChart1"/>
    <dgm:cxn modelId="{3F0FD036-8B12-4270-BFDC-028C9AEF0E8E}" type="presParOf" srcId="{F130A685-73ED-4862-88C5-182032AA2363}" destId="{348180D4-5EE1-445C-941D-E9E665557352}" srcOrd="1" destOrd="0" presId="urn:microsoft.com/office/officeart/2005/8/layout/orgChart1"/>
    <dgm:cxn modelId="{BE9FE777-9DBD-42FD-BA23-32B3C7EBDD76}" type="presParOf" srcId="{F130A685-73ED-4862-88C5-182032AA2363}" destId="{6D93B02C-68D7-49CC-8F24-ED20F8B010C7}" srcOrd="2" destOrd="0" presId="urn:microsoft.com/office/officeart/2005/8/layout/orgChart1"/>
    <dgm:cxn modelId="{C66A32E0-742F-4B51-82D4-5A705803BF19}" type="presParOf" srcId="{9FC7A6C3-374E-4BA8-BFF6-1F4AAF70D33F}" destId="{7A46CE33-7194-42B8-89C0-9C34439CB738}" srcOrd="10" destOrd="0" presId="urn:microsoft.com/office/officeart/2005/8/layout/orgChart1"/>
    <dgm:cxn modelId="{4FCD439E-0F19-4ED5-B926-941B0C143ACE}" type="presParOf" srcId="{9FC7A6C3-374E-4BA8-BFF6-1F4AAF70D33F}" destId="{1731838B-DF12-4694-9823-B68F6A371673}" srcOrd="11" destOrd="0" presId="urn:microsoft.com/office/officeart/2005/8/layout/orgChart1"/>
    <dgm:cxn modelId="{ED310ADD-B011-4DF4-98A8-D065971EC8D0}" type="presParOf" srcId="{1731838B-DF12-4694-9823-B68F6A371673}" destId="{84B98C15-D69C-4620-8F60-5E4C4F0D4D56}" srcOrd="0" destOrd="0" presId="urn:microsoft.com/office/officeart/2005/8/layout/orgChart1"/>
    <dgm:cxn modelId="{AA33F51D-FECE-4D54-BBB1-DEB27755AECA}" type="presParOf" srcId="{84B98C15-D69C-4620-8F60-5E4C4F0D4D56}" destId="{68DE9AA1-46DE-4DA1-B25A-A2BEB3C531C4}" srcOrd="0" destOrd="0" presId="urn:microsoft.com/office/officeart/2005/8/layout/orgChart1"/>
    <dgm:cxn modelId="{9E305D6D-98E7-49E7-8B91-348B9C79FE4F}" type="presParOf" srcId="{84B98C15-D69C-4620-8F60-5E4C4F0D4D56}" destId="{AC6E8AF8-F789-4DA9-BCB1-FFA64F2A33A3}" srcOrd="1" destOrd="0" presId="urn:microsoft.com/office/officeart/2005/8/layout/orgChart1"/>
    <dgm:cxn modelId="{AE55DBF0-9F0B-459F-B488-6B46601B4349}" type="presParOf" srcId="{1731838B-DF12-4694-9823-B68F6A371673}" destId="{A03E1D35-590A-4F6A-B581-91E1F68046B9}" srcOrd="1" destOrd="0" presId="urn:microsoft.com/office/officeart/2005/8/layout/orgChart1"/>
    <dgm:cxn modelId="{A0679C3D-47D7-4CBB-AA6C-4A885E9B0A36}" type="presParOf" srcId="{1731838B-DF12-4694-9823-B68F6A371673}" destId="{C8D4DFB6-4E40-45C8-971B-BC52CF9DE592}" srcOrd="2" destOrd="0" presId="urn:microsoft.com/office/officeart/2005/8/layout/orgChart1"/>
    <dgm:cxn modelId="{E90247F5-DDE9-4CD0-BC63-ADDE77E0F2E1}" type="presParOf" srcId="{9FC7A6C3-374E-4BA8-BFF6-1F4AAF70D33F}" destId="{410D2814-AD29-4F1E-B562-E1CCF3001A41}" srcOrd="12" destOrd="0" presId="urn:microsoft.com/office/officeart/2005/8/layout/orgChart1"/>
    <dgm:cxn modelId="{87342AD2-B714-4DCE-BA41-C22C88FB6101}" type="presParOf" srcId="{9FC7A6C3-374E-4BA8-BFF6-1F4AAF70D33F}" destId="{BEA67115-202D-42C1-B776-C2F6A58D7624}" srcOrd="13" destOrd="0" presId="urn:microsoft.com/office/officeart/2005/8/layout/orgChart1"/>
    <dgm:cxn modelId="{A62B47ED-50AF-4DD8-B395-0AC8231E4A64}" type="presParOf" srcId="{BEA67115-202D-42C1-B776-C2F6A58D7624}" destId="{557DCA59-EF0B-4F37-95A9-1BBBDBE7764F}" srcOrd="0" destOrd="0" presId="urn:microsoft.com/office/officeart/2005/8/layout/orgChart1"/>
    <dgm:cxn modelId="{490F222A-8D5F-4ED3-9ED8-AE3D423F679F}" type="presParOf" srcId="{557DCA59-EF0B-4F37-95A9-1BBBDBE7764F}" destId="{CC0C9599-CE33-40C8-A22C-C745D51D761B}" srcOrd="0" destOrd="0" presId="urn:microsoft.com/office/officeart/2005/8/layout/orgChart1"/>
    <dgm:cxn modelId="{010C5544-5744-420D-BCC9-FB455EE510EA}" type="presParOf" srcId="{557DCA59-EF0B-4F37-95A9-1BBBDBE7764F}" destId="{68041647-8ABD-4C0A-997C-B6047C74449E}" srcOrd="1" destOrd="0" presId="urn:microsoft.com/office/officeart/2005/8/layout/orgChart1"/>
    <dgm:cxn modelId="{94BD7FC8-AF8F-4C35-9086-96CD8AE8BCB3}" type="presParOf" srcId="{BEA67115-202D-42C1-B776-C2F6A58D7624}" destId="{1262936B-82F3-43CF-9F1E-136AE5168D65}" srcOrd="1" destOrd="0" presId="urn:microsoft.com/office/officeart/2005/8/layout/orgChart1"/>
    <dgm:cxn modelId="{5E9EAC1F-355E-4C8E-97AC-F6728CE1FA1A}" type="presParOf" srcId="{BEA67115-202D-42C1-B776-C2F6A58D7624}" destId="{E90245D4-C5C9-4439-95CB-403D0E92B7BE}" srcOrd="2" destOrd="0" presId="urn:microsoft.com/office/officeart/2005/8/layout/orgChart1"/>
    <dgm:cxn modelId="{BE66BDEB-920C-4D43-864F-DB82B27B9736}" type="presParOf" srcId="{9FC7A6C3-374E-4BA8-BFF6-1F4AAF70D33F}" destId="{61E1A621-0028-4D26-B0C6-907045E8B780}" srcOrd="14" destOrd="0" presId="urn:microsoft.com/office/officeart/2005/8/layout/orgChart1"/>
    <dgm:cxn modelId="{4C3F05DD-400B-4171-9533-B2730D6F03B2}" type="presParOf" srcId="{9FC7A6C3-374E-4BA8-BFF6-1F4AAF70D33F}" destId="{652119CE-B0EB-415A-91C8-C9FC0ECD5A80}" srcOrd="15" destOrd="0" presId="urn:microsoft.com/office/officeart/2005/8/layout/orgChart1"/>
    <dgm:cxn modelId="{CA1A3CFC-B831-4367-87F6-987FF1861240}" type="presParOf" srcId="{652119CE-B0EB-415A-91C8-C9FC0ECD5A80}" destId="{92EE7BDE-2BDB-49F5-881C-6268A3645B35}" srcOrd="0" destOrd="0" presId="urn:microsoft.com/office/officeart/2005/8/layout/orgChart1"/>
    <dgm:cxn modelId="{4F92A477-4602-485E-9458-9FDA49233827}" type="presParOf" srcId="{92EE7BDE-2BDB-49F5-881C-6268A3645B35}" destId="{1D6441FD-0992-4589-B4F5-84BB329409A8}" srcOrd="0" destOrd="0" presId="urn:microsoft.com/office/officeart/2005/8/layout/orgChart1"/>
    <dgm:cxn modelId="{CFD65A8B-03E8-4B74-96ED-BD60EC9AD449}" type="presParOf" srcId="{92EE7BDE-2BDB-49F5-881C-6268A3645B35}" destId="{B4B6805D-717B-4A0F-98EE-1279E2653244}" srcOrd="1" destOrd="0" presId="urn:microsoft.com/office/officeart/2005/8/layout/orgChart1"/>
    <dgm:cxn modelId="{A00443B9-696A-42D6-94B5-958BF3723D6D}" type="presParOf" srcId="{652119CE-B0EB-415A-91C8-C9FC0ECD5A80}" destId="{FAE60ACB-35AD-4D70-9449-0769D5251429}" srcOrd="1" destOrd="0" presId="urn:microsoft.com/office/officeart/2005/8/layout/orgChart1"/>
    <dgm:cxn modelId="{C97A71EF-F087-48F9-A22D-7461634DDCE2}" type="presParOf" srcId="{652119CE-B0EB-415A-91C8-C9FC0ECD5A80}" destId="{8189AC78-308A-44C5-A091-AAB1B3B10913}" srcOrd="2" destOrd="0" presId="urn:microsoft.com/office/officeart/2005/8/layout/orgChart1"/>
    <dgm:cxn modelId="{0C78B296-D0F9-41D2-AB81-D8AF84317C25}" type="presParOf" srcId="{9FC7A6C3-374E-4BA8-BFF6-1F4AAF70D33F}" destId="{E3350F37-4DF1-4D99-853A-B90C475A5A62}" srcOrd="16" destOrd="0" presId="urn:microsoft.com/office/officeart/2005/8/layout/orgChart1"/>
    <dgm:cxn modelId="{3730F873-8447-4140-A7CC-1D5753F42444}" type="presParOf" srcId="{9FC7A6C3-374E-4BA8-BFF6-1F4AAF70D33F}" destId="{7A1FC85B-2165-4B28-ACFA-38DF84C30C7A}" srcOrd="17" destOrd="0" presId="urn:microsoft.com/office/officeart/2005/8/layout/orgChart1"/>
    <dgm:cxn modelId="{9B007B84-408A-4830-A042-C459983ECE54}" type="presParOf" srcId="{7A1FC85B-2165-4B28-ACFA-38DF84C30C7A}" destId="{2376ED13-57D9-4F64-B483-A8CB07B5AFD7}" srcOrd="0" destOrd="0" presId="urn:microsoft.com/office/officeart/2005/8/layout/orgChart1"/>
    <dgm:cxn modelId="{ABBFF78B-1E2D-46D2-8FB0-8048A7B2F125}" type="presParOf" srcId="{2376ED13-57D9-4F64-B483-A8CB07B5AFD7}" destId="{BC749CF6-3604-41E4-B6CD-382D32257F0C}" srcOrd="0" destOrd="0" presId="urn:microsoft.com/office/officeart/2005/8/layout/orgChart1"/>
    <dgm:cxn modelId="{40578080-0224-40D2-B5C7-387906710893}" type="presParOf" srcId="{2376ED13-57D9-4F64-B483-A8CB07B5AFD7}" destId="{7574A4F2-CD57-416B-B7CA-07A8564962B5}" srcOrd="1" destOrd="0" presId="urn:microsoft.com/office/officeart/2005/8/layout/orgChart1"/>
    <dgm:cxn modelId="{965328E1-E8A4-43D5-AA7A-160173BF637B}" type="presParOf" srcId="{7A1FC85B-2165-4B28-ACFA-38DF84C30C7A}" destId="{8EDFF12A-265A-4113-8E8C-4F9B9050EE42}" srcOrd="1" destOrd="0" presId="urn:microsoft.com/office/officeart/2005/8/layout/orgChart1"/>
    <dgm:cxn modelId="{32EDE985-A00D-409F-ABF7-50168B97A808}" type="presParOf" srcId="{7A1FC85B-2165-4B28-ACFA-38DF84C30C7A}" destId="{EC0F36BB-39F0-476E-A2A3-F3D65C5D204A}" srcOrd="2" destOrd="0" presId="urn:microsoft.com/office/officeart/2005/8/layout/orgChart1"/>
    <dgm:cxn modelId="{4F2E385F-F290-4D33-9AC1-3A2FB540399B}" type="presParOf" srcId="{92F3C962-B3AB-400D-9553-256230007FF5}" destId="{5D128A4D-9FD0-432C-9193-6F2283DFC7B7}" srcOrd="2" destOrd="0" presId="urn:microsoft.com/office/officeart/2005/8/layout/orgChart1"/>
    <dgm:cxn modelId="{8CFCDB51-B2E8-4F05-A6F5-0BEB3ECB7D1C}" type="presParOf" srcId="{2A3F4A7B-1C77-46D6-9634-4024401C4B27}" destId="{AD0B1CCB-99D3-4A6B-8BA2-5BD6CADF0810}" srcOrd="6" destOrd="0" presId="urn:microsoft.com/office/officeart/2005/8/layout/orgChart1"/>
    <dgm:cxn modelId="{0905A59D-26AF-4F7A-B686-E43174A39954}" type="presParOf" srcId="{2A3F4A7B-1C77-46D6-9634-4024401C4B27}" destId="{C7FB8CBA-258E-4B9B-A819-B5042B08E938}" srcOrd="7" destOrd="0" presId="urn:microsoft.com/office/officeart/2005/8/layout/orgChart1"/>
    <dgm:cxn modelId="{4FF60C25-3B2C-49BC-BF1E-991D0D3148AD}" type="presParOf" srcId="{C7FB8CBA-258E-4B9B-A819-B5042B08E938}" destId="{98FE52E1-CF20-4B2C-A19A-2BC4CCCBF38A}" srcOrd="0" destOrd="0" presId="urn:microsoft.com/office/officeart/2005/8/layout/orgChart1"/>
    <dgm:cxn modelId="{193253E0-0F8A-4A09-86F1-E533D9809B99}" type="presParOf" srcId="{98FE52E1-CF20-4B2C-A19A-2BC4CCCBF38A}" destId="{1A1ABD2D-D74D-4398-B732-96203E27ADBA}" srcOrd="0" destOrd="0" presId="urn:microsoft.com/office/officeart/2005/8/layout/orgChart1"/>
    <dgm:cxn modelId="{907EC041-53A5-4948-A3C5-00719EF0B35D}" type="presParOf" srcId="{98FE52E1-CF20-4B2C-A19A-2BC4CCCBF38A}" destId="{5D625245-35FD-4481-A001-2C56D1A84C4F}" srcOrd="1" destOrd="0" presId="urn:microsoft.com/office/officeart/2005/8/layout/orgChart1"/>
    <dgm:cxn modelId="{117307EB-9405-46BE-A317-D93997CA17F0}" type="presParOf" srcId="{C7FB8CBA-258E-4B9B-A819-B5042B08E938}" destId="{4B3BA6CC-6A96-4D38-A7CB-61EDEECEFE4A}" srcOrd="1" destOrd="0" presId="urn:microsoft.com/office/officeart/2005/8/layout/orgChart1"/>
    <dgm:cxn modelId="{55945D09-8DAE-4B01-B6D3-4AD058AB7E0A}" type="presParOf" srcId="{4B3BA6CC-6A96-4D38-A7CB-61EDEECEFE4A}" destId="{31E018DF-82DA-4E7A-9CC1-D71D4F60EA5A}" srcOrd="0" destOrd="0" presId="urn:microsoft.com/office/officeart/2005/8/layout/orgChart1"/>
    <dgm:cxn modelId="{73F6CACB-9E6D-427C-B995-6779CC05E6E4}" type="presParOf" srcId="{4B3BA6CC-6A96-4D38-A7CB-61EDEECEFE4A}" destId="{FE1AF7F7-D79F-4C4B-BCEA-27DE14CCC24E}" srcOrd="1" destOrd="0" presId="urn:microsoft.com/office/officeart/2005/8/layout/orgChart1"/>
    <dgm:cxn modelId="{380DB549-5FA7-4814-8BB3-27F8F93962B5}" type="presParOf" srcId="{FE1AF7F7-D79F-4C4B-BCEA-27DE14CCC24E}" destId="{ECEFCF5A-7B4F-4463-83FE-A373182663E6}" srcOrd="0" destOrd="0" presId="urn:microsoft.com/office/officeart/2005/8/layout/orgChart1"/>
    <dgm:cxn modelId="{02209D35-14D2-4004-9193-A80024FC987D}" type="presParOf" srcId="{ECEFCF5A-7B4F-4463-83FE-A373182663E6}" destId="{B108941A-7E53-46F8-8BCF-0A255B256CB7}" srcOrd="0" destOrd="0" presId="urn:microsoft.com/office/officeart/2005/8/layout/orgChart1"/>
    <dgm:cxn modelId="{0340B0FC-D227-4152-B64E-C5934F2F95A9}" type="presParOf" srcId="{ECEFCF5A-7B4F-4463-83FE-A373182663E6}" destId="{91B2B06C-44E5-442F-BD57-B8E0D74CEA99}" srcOrd="1" destOrd="0" presId="urn:microsoft.com/office/officeart/2005/8/layout/orgChart1"/>
    <dgm:cxn modelId="{F738DE2D-5D14-4609-8171-453773E90022}" type="presParOf" srcId="{FE1AF7F7-D79F-4C4B-BCEA-27DE14CCC24E}" destId="{706510C0-EFBF-41BC-AC0E-5547CA4093BB}" srcOrd="1" destOrd="0" presId="urn:microsoft.com/office/officeart/2005/8/layout/orgChart1"/>
    <dgm:cxn modelId="{84F979F9-47D5-4416-A54A-B309E6C3C2E1}" type="presParOf" srcId="{FE1AF7F7-D79F-4C4B-BCEA-27DE14CCC24E}" destId="{25963440-8DFB-4456-B96B-01289CAD4474}" srcOrd="2" destOrd="0" presId="urn:microsoft.com/office/officeart/2005/8/layout/orgChart1"/>
    <dgm:cxn modelId="{9118F8B6-9F99-4240-9C55-695897D1326B}" type="presParOf" srcId="{4B3BA6CC-6A96-4D38-A7CB-61EDEECEFE4A}" destId="{4AE75985-07AE-4C85-8314-EEFDD0CC2000}" srcOrd="2" destOrd="0" presId="urn:microsoft.com/office/officeart/2005/8/layout/orgChart1"/>
    <dgm:cxn modelId="{19EBA9D8-F63B-42CF-8349-B5DE8C5648D3}" type="presParOf" srcId="{4B3BA6CC-6A96-4D38-A7CB-61EDEECEFE4A}" destId="{7BF4F15F-0636-4034-9CE4-E291F4460CCD}" srcOrd="3" destOrd="0" presId="urn:microsoft.com/office/officeart/2005/8/layout/orgChart1"/>
    <dgm:cxn modelId="{9298DB66-6576-4D63-991D-402DB9051CC3}" type="presParOf" srcId="{7BF4F15F-0636-4034-9CE4-E291F4460CCD}" destId="{299E5B65-A371-4317-B18D-C7C5A8E2FA37}" srcOrd="0" destOrd="0" presId="urn:microsoft.com/office/officeart/2005/8/layout/orgChart1"/>
    <dgm:cxn modelId="{7B26662D-3EEA-4392-8776-029A85555457}" type="presParOf" srcId="{299E5B65-A371-4317-B18D-C7C5A8E2FA37}" destId="{DE6F8113-9807-4774-ACEF-24F5AA0EEBF3}" srcOrd="0" destOrd="0" presId="urn:microsoft.com/office/officeart/2005/8/layout/orgChart1"/>
    <dgm:cxn modelId="{BF6F7A73-ED2A-442D-B1E5-ECB81F7FE9D6}" type="presParOf" srcId="{299E5B65-A371-4317-B18D-C7C5A8E2FA37}" destId="{2C9EA727-63B2-4594-8BA4-7250B2A8DED6}" srcOrd="1" destOrd="0" presId="urn:microsoft.com/office/officeart/2005/8/layout/orgChart1"/>
    <dgm:cxn modelId="{209F18B8-88ED-4F5D-A0FF-61ABB46A3DE7}" type="presParOf" srcId="{7BF4F15F-0636-4034-9CE4-E291F4460CCD}" destId="{9FF94156-EDD8-43B2-8874-048AD156A97F}" srcOrd="1" destOrd="0" presId="urn:microsoft.com/office/officeart/2005/8/layout/orgChart1"/>
    <dgm:cxn modelId="{0D5F6EC1-131C-41C3-8DF5-AC10618816B5}" type="presParOf" srcId="{7BF4F15F-0636-4034-9CE4-E291F4460CCD}" destId="{867CAAAD-7390-4351-9FCA-53593B9FE501}" srcOrd="2" destOrd="0" presId="urn:microsoft.com/office/officeart/2005/8/layout/orgChart1"/>
    <dgm:cxn modelId="{DA40256B-F37B-440D-BCE2-96B715FA2BF7}" type="presParOf" srcId="{4B3BA6CC-6A96-4D38-A7CB-61EDEECEFE4A}" destId="{EFAC5AED-201C-4715-B717-F2E77E0B16B4}" srcOrd="4" destOrd="0" presId="urn:microsoft.com/office/officeart/2005/8/layout/orgChart1"/>
    <dgm:cxn modelId="{AAA2F555-CB09-481C-9C7D-D874044ADB89}" type="presParOf" srcId="{4B3BA6CC-6A96-4D38-A7CB-61EDEECEFE4A}" destId="{653EC3AA-320E-4B52-A329-FBDFE6363F33}" srcOrd="5" destOrd="0" presId="urn:microsoft.com/office/officeart/2005/8/layout/orgChart1"/>
    <dgm:cxn modelId="{DA47DE02-CEC4-42D7-BF73-655374CD46A4}" type="presParOf" srcId="{653EC3AA-320E-4B52-A329-FBDFE6363F33}" destId="{DC8A1564-1EE5-4B94-9A6E-F5A7F0651DA7}" srcOrd="0" destOrd="0" presId="urn:microsoft.com/office/officeart/2005/8/layout/orgChart1"/>
    <dgm:cxn modelId="{22332718-02B9-466E-BBFD-0461988CAAB3}" type="presParOf" srcId="{DC8A1564-1EE5-4B94-9A6E-F5A7F0651DA7}" destId="{A89325FC-B92D-4BAC-9B6C-B1136EC8FC4F}" srcOrd="0" destOrd="0" presId="urn:microsoft.com/office/officeart/2005/8/layout/orgChart1"/>
    <dgm:cxn modelId="{E9B13486-D151-467B-8C7C-3F21775E9C98}" type="presParOf" srcId="{DC8A1564-1EE5-4B94-9A6E-F5A7F0651DA7}" destId="{783B3DE9-1AFB-4AA2-A098-393E10370A09}" srcOrd="1" destOrd="0" presId="urn:microsoft.com/office/officeart/2005/8/layout/orgChart1"/>
    <dgm:cxn modelId="{AE23E9CE-8560-4A63-A8F7-293138F7A979}" type="presParOf" srcId="{653EC3AA-320E-4B52-A329-FBDFE6363F33}" destId="{4A8554FC-1D45-4901-A42C-16EC0781E4DA}" srcOrd="1" destOrd="0" presId="urn:microsoft.com/office/officeart/2005/8/layout/orgChart1"/>
    <dgm:cxn modelId="{D11B8BCB-4C31-4AAC-BCE4-2FD7CBAEE579}" type="presParOf" srcId="{653EC3AA-320E-4B52-A329-FBDFE6363F33}" destId="{769B4A83-68D7-4B38-BCEC-4264BDD889B1}" srcOrd="2" destOrd="0" presId="urn:microsoft.com/office/officeart/2005/8/layout/orgChart1"/>
    <dgm:cxn modelId="{78A3974A-C3A0-4F3B-89F2-2C66C44A855A}" type="presParOf" srcId="{4B3BA6CC-6A96-4D38-A7CB-61EDEECEFE4A}" destId="{AFF16F2D-7095-4275-B411-F96F5DB641D3}" srcOrd="6" destOrd="0" presId="urn:microsoft.com/office/officeart/2005/8/layout/orgChart1"/>
    <dgm:cxn modelId="{D1CA9761-34F1-4248-8516-B4C54DE705EB}" type="presParOf" srcId="{4B3BA6CC-6A96-4D38-A7CB-61EDEECEFE4A}" destId="{461F52E6-473B-44A4-90C4-EF4E3AB34988}" srcOrd="7" destOrd="0" presId="urn:microsoft.com/office/officeart/2005/8/layout/orgChart1"/>
    <dgm:cxn modelId="{989074A5-A767-4305-92EA-EEDAC3AA2AA8}" type="presParOf" srcId="{461F52E6-473B-44A4-90C4-EF4E3AB34988}" destId="{A1707FD2-DA7B-4AD2-B4EE-F1D30148CDBD}" srcOrd="0" destOrd="0" presId="urn:microsoft.com/office/officeart/2005/8/layout/orgChart1"/>
    <dgm:cxn modelId="{DAD331F9-F9D4-467F-85B9-F01F3E3020B5}" type="presParOf" srcId="{A1707FD2-DA7B-4AD2-B4EE-F1D30148CDBD}" destId="{4A58AED8-1E5D-44B2-A060-A3F8BDA8CD20}" srcOrd="0" destOrd="0" presId="urn:microsoft.com/office/officeart/2005/8/layout/orgChart1"/>
    <dgm:cxn modelId="{7271DF9A-0079-4063-9EF2-C2863199CF00}" type="presParOf" srcId="{A1707FD2-DA7B-4AD2-B4EE-F1D30148CDBD}" destId="{F7169DE8-31DE-4C6F-8CEB-94E10F5C5375}" srcOrd="1" destOrd="0" presId="urn:microsoft.com/office/officeart/2005/8/layout/orgChart1"/>
    <dgm:cxn modelId="{61420A47-873F-467A-A824-53EBD0835A5C}" type="presParOf" srcId="{461F52E6-473B-44A4-90C4-EF4E3AB34988}" destId="{B52D5DC5-815C-4CF5-96C1-170F3AAFA832}" srcOrd="1" destOrd="0" presId="urn:microsoft.com/office/officeart/2005/8/layout/orgChart1"/>
    <dgm:cxn modelId="{F4FCC2B2-2721-4001-8B15-A8284C6A40C5}" type="presParOf" srcId="{461F52E6-473B-44A4-90C4-EF4E3AB34988}" destId="{71AF0BBF-B8AC-4AC8-B764-5231E257C4E3}" srcOrd="2" destOrd="0" presId="urn:microsoft.com/office/officeart/2005/8/layout/orgChart1"/>
    <dgm:cxn modelId="{535575CD-0EFC-4C96-9C41-F67F41243DAB}" type="presParOf" srcId="{C7FB8CBA-258E-4B9B-A819-B5042B08E938}" destId="{E6368DA9-CE11-4671-8A07-30E3B31611CE}" srcOrd="2" destOrd="0" presId="urn:microsoft.com/office/officeart/2005/8/layout/orgChart1"/>
    <dgm:cxn modelId="{0C3CFBB1-BEF9-4BBE-BE07-6C92B4DD24FA}" type="presParOf" srcId="{2A3F4A7B-1C77-46D6-9634-4024401C4B27}" destId="{E2033779-5943-41A3-8436-F5F77270BD2D}" srcOrd="8" destOrd="0" presId="urn:microsoft.com/office/officeart/2005/8/layout/orgChart1"/>
    <dgm:cxn modelId="{D1D2A9F5-0CD0-4301-83DF-882D4955EDD9}" type="presParOf" srcId="{2A3F4A7B-1C77-46D6-9634-4024401C4B27}" destId="{EC52B5DD-F9E3-4AD9-998E-700D39E564B9}" srcOrd="9" destOrd="0" presId="urn:microsoft.com/office/officeart/2005/8/layout/orgChart1"/>
    <dgm:cxn modelId="{EEF8FC75-DB6B-484E-9375-582A427D44E3}" type="presParOf" srcId="{EC52B5DD-F9E3-4AD9-998E-700D39E564B9}" destId="{16F1A1C0-C5E3-464E-84B3-99F1CA75A3F0}" srcOrd="0" destOrd="0" presId="urn:microsoft.com/office/officeart/2005/8/layout/orgChart1"/>
    <dgm:cxn modelId="{358B7370-A0CF-44EC-96EC-DD6E485BB584}" type="presParOf" srcId="{16F1A1C0-C5E3-464E-84B3-99F1CA75A3F0}" destId="{16E63AC0-9876-486D-8DE1-7483FE3B4FF4}" srcOrd="0" destOrd="0" presId="urn:microsoft.com/office/officeart/2005/8/layout/orgChart1"/>
    <dgm:cxn modelId="{F4803E53-CE28-4178-8E79-B11EFB16BA88}" type="presParOf" srcId="{16F1A1C0-C5E3-464E-84B3-99F1CA75A3F0}" destId="{2C2B6609-CE1F-4041-820E-4C7D9649AA23}" srcOrd="1" destOrd="0" presId="urn:microsoft.com/office/officeart/2005/8/layout/orgChart1"/>
    <dgm:cxn modelId="{9E59AFB3-C4D1-4B50-9A2B-D48DBE7F56D4}" type="presParOf" srcId="{EC52B5DD-F9E3-4AD9-998E-700D39E564B9}" destId="{7FC47E4D-375A-4B71-A777-779D14C2E972}" srcOrd="1" destOrd="0" presId="urn:microsoft.com/office/officeart/2005/8/layout/orgChart1"/>
    <dgm:cxn modelId="{12AAF358-39CE-45C7-94F2-21A75BA044D9}" type="presParOf" srcId="{7FC47E4D-375A-4B71-A777-779D14C2E972}" destId="{9CCE842B-986D-4696-B96D-D77443E82BA5}" srcOrd="0" destOrd="0" presId="urn:microsoft.com/office/officeart/2005/8/layout/orgChart1"/>
    <dgm:cxn modelId="{04E31A30-D986-444C-8F47-4469B81BA626}" type="presParOf" srcId="{7FC47E4D-375A-4B71-A777-779D14C2E972}" destId="{4BED2C8A-C17A-4C02-B2D0-1501D5121E1B}" srcOrd="1" destOrd="0" presId="urn:microsoft.com/office/officeart/2005/8/layout/orgChart1"/>
    <dgm:cxn modelId="{E407EA9E-F452-414A-9287-96BB08D11242}" type="presParOf" srcId="{4BED2C8A-C17A-4C02-B2D0-1501D5121E1B}" destId="{69735807-163A-448E-A028-BBBE860994FF}" srcOrd="0" destOrd="0" presId="urn:microsoft.com/office/officeart/2005/8/layout/orgChart1"/>
    <dgm:cxn modelId="{9A42099B-8EBA-4057-BED9-6B5A3D9C45A4}" type="presParOf" srcId="{69735807-163A-448E-A028-BBBE860994FF}" destId="{BC658298-E3E6-4FD4-A9C8-55840589A9E3}" srcOrd="0" destOrd="0" presId="urn:microsoft.com/office/officeart/2005/8/layout/orgChart1"/>
    <dgm:cxn modelId="{8E77733E-7296-4A49-B358-9D66C548AB5D}" type="presParOf" srcId="{69735807-163A-448E-A028-BBBE860994FF}" destId="{68A3B434-D30C-4E43-9F08-CE4A6708472F}" srcOrd="1" destOrd="0" presId="urn:microsoft.com/office/officeart/2005/8/layout/orgChart1"/>
    <dgm:cxn modelId="{593000AE-5E70-4EA7-9D8C-32218F6C55EF}" type="presParOf" srcId="{4BED2C8A-C17A-4C02-B2D0-1501D5121E1B}" destId="{1BE42DEB-4A23-4764-ADD7-68E33B9BF7C2}" srcOrd="1" destOrd="0" presId="urn:microsoft.com/office/officeart/2005/8/layout/orgChart1"/>
    <dgm:cxn modelId="{40AA7251-BF22-4F37-89B4-C81999B6EAB4}" type="presParOf" srcId="{4BED2C8A-C17A-4C02-B2D0-1501D5121E1B}" destId="{F0A9D6F2-CFFB-4A68-993E-9ED6D369D8D3}" srcOrd="2" destOrd="0" presId="urn:microsoft.com/office/officeart/2005/8/layout/orgChart1"/>
    <dgm:cxn modelId="{C86C5A42-5643-44C8-B264-40A7490AFAA0}" type="presParOf" srcId="{7FC47E4D-375A-4B71-A777-779D14C2E972}" destId="{DF7E98A2-8D00-4B12-B20F-08E58E3E7B05}" srcOrd="2" destOrd="0" presId="urn:microsoft.com/office/officeart/2005/8/layout/orgChart1"/>
    <dgm:cxn modelId="{A30C07E5-D731-422A-8FC5-6F797DB06C72}" type="presParOf" srcId="{7FC47E4D-375A-4B71-A777-779D14C2E972}" destId="{79462BA8-B8B4-4E39-A271-6AECDD87B6A5}" srcOrd="3" destOrd="0" presId="urn:microsoft.com/office/officeart/2005/8/layout/orgChart1"/>
    <dgm:cxn modelId="{6AA8D6DA-3F05-4E63-BC62-73206BE5943B}" type="presParOf" srcId="{79462BA8-B8B4-4E39-A271-6AECDD87B6A5}" destId="{2C415BC9-7EE3-49AF-AB60-51F4FC3ECE4E}" srcOrd="0" destOrd="0" presId="urn:microsoft.com/office/officeart/2005/8/layout/orgChart1"/>
    <dgm:cxn modelId="{8D41913D-11BD-4285-93EE-8887D89077D5}" type="presParOf" srcId="{2C415BC9-7EE3-49AF-AB60-51F4FC3ECE4E}" destId="{3BB2151E-A3AF-4FEB-993A-C66D8995922F}" srcOrd="0" destOrd="0" presId="urn:microsoft.com/office/officeart/2005/8/layout/orgChart1"/>
    <dgm:cxn modelId="{8F46F0FC-C46E-4927-820E-5F2F20B3A4DA}" type="presParOf" srcId="{2C415BC9-7EE3-49AF-AB60-51F4FC3ECE4E}" destId="{EDA83643-1E24-4E15-9B5C-5745B69760A1}" srcOrd="1" destOrd="0" presId="urn:microsoft.com/office/officeart/2005/8/layout/orgChart1"/>
    <dgm:cxn modelId="{906011CD-EB07-4BE4-A41E-6A59EB1949AD}" type="presParOf" srcId="{79462BA8-B8B4-4E39-A271-6AECDD87B6A5}" destId="{224E0FE7-35E0-4C6F-9A4D-E9DF181E1873}" srcOrd="1" destOrd="0" presId="urn:microsoft.com/office/officeart/2005/8/layout/orgChart1"/>
    <dgm:cxn modelId="{88A44541-8A98-423D-BC3E-3688977C847C}" type="presParOf" srcId="{79462BA8-B8B4-4E39-A271-6AECDD87B6A5}" destId="{2677128C-C783-42B7-A78F-07A8D5689C93}" srcOrd="2" destOrd="0" presId="urn:microsoft.com/office/officeart/2005/8/layout/orgChart1"/>
    <dgm:cxn modelId="{D58CD03F-6703-47ED-8D18-28297D19D6E7}" type="presParOf" srcId="{7FC47E4D-375A-4B71-A777-779D14C2E972}" destId="{C649EFA2-9D0B-4272-9EF0-92B1B7C98729}" srcOrd="4" destOrd="0" presId="urn:microsoft.com/office/officeart/2005/8/layout/orgChart1"/>
    <dgm:cxn modelId="{45FE4C93-6EC4-41E1-BE3B-7A6451960F25}" type="presParOf" srcId="{7FC47E4D-375A-4B71-A777-779D14C2E972}" destId="{6B05DD45-E930-4F9D-AA81-B662A16C1B02}" srcOrd="5" destOrd="0" presId="urn:microsoft.com/office/officeart/2005/8/layout/orgChart1"/>
    <dgm:cxn modelId="{D72636F7-A9B8-4E79-A58D-D79C525578D9}" type="presParOf" srcId="{6B05DD45-E930-4F9D-AA81-B662A16C1B02}" destId="{945B9857-2215-4629-8B41-785B04788225}" srcOrd="0" destOrd="0" presId="urn:microsoft.com/office/officeart/2005/8/layout/orgChart1"/>
    <dgm:cxn modelId="{6BF1FD71-2282-49CD-8A78-18561B1FC9E0}" type="presParOf" srcId="{945B9857-2215-4629-8B41-785B04788225}" destId="{094B9F1E-449C-4914-A511-A3E20874152B}" srcOrd="0" destOrd="0" presId="urn:microsoft.com/office/officeart/2005/8/layout/orgChart1"/>
    <dgm:cxn modelId="{38DEFB93-A6BE-4AA6-9565-C305E2A466F9}" type="presParOf" srcId="{945B9857-2215-4629-8B41-785B04788225}" destId="{CD32E0A3-9731-4BBC-B115-CF0139BF6F15}" srcOrd="1" destOrd="0" presId="urn:microsoft.com/office/officeart/2005/8/layout/orgChart1"/>
    <dgm:cxn modelId="{4AABB07F-D46F-4183-B6A4-FA20F44CB2CB}" type="presParOf" srcId="{6B05DD45-E930-4F9D-AA81-B662A16C1B02}" destId="{2A728D45-37B3-49F6-9595-270718606037}" srcOrd="1" destOrd="0" presId="urn:microsoft.com/office/officeart/2005/8/layout/orgChart1"/>
    <dgm:cxn modelId="{25FAC379-626B-4095-945F-3B9755ED7803}" type="presParOf" srcId="{6B05DD45-E930-4F9D-AA81-B662A16C1B02}" destId="{4FD2E5A7-3DAE-4AC4-BFE3-8311FEF4F565}" srcOrd="2" destOrd="0" presId="urn:microsoft.com/office/officeart/2005/8/layout/orgChart1"/>
    <dgm:cxn modelId="{15BD7C43-D418-470B-A000-CC41FA9E3C1C}" type="presParOf" srcId="{7FC47E4D-375A-4B71-A777-779D14C2E972}" destId="{74EAE663-022F-4A11-A437-6C2B3DB14EFD}" srcOrd="6" destOrd="0" presId="urn:microsoft.com/office/officeart/2005/8/layout/orgChart1"/>
    <dgm:cxn modelId="{18BC2E91-383D-4CCB-9A34-BA69391835AF}" type="presParOf" srcId="{7FC47E4D-375A-4B71-A777-779D14C2E972}" destId="{009425B7-CC35-4023-B62A-99050964E844}" srcOrd="7" destOrd="0" presId="urn:microsoft.com/office/officeart/2005/8/layout/orgChart1"/>
    <dgm:cxn modelId="{10C5E2F5-595D-4B5B-B456-677D17322AE1}" type="presParOf" srcId="{009425B7-CC35-4023-B62A-99050964E844}" destId="{7D260B70-DA9F-4784-B16F-E37B1D78B85B}" srcOrd="0" destOrd="0" presId="urn:microsoft.com/office/officeart/2005/8/layout/orgChart1"/>
    <dgm:cxn modelId="{C4A0A01A-6407-4894-9609-712444CD39A5}" type="presParOf" srcId="{7D260B70-DA9F-4784-B16F-E37B1D78B85B}" destId="{1AA56AC2-D12A-416C-BF86-EE1A5AAE9322}" srcOrd="0" destOrd="0" presId="urn:microsoft.com/office/officeart/2005/8/layout/orgChart1"/>
    <dgm:cxn modelId="{2D6D9926-EA8C-49BF-8C42-34F8E20167E5}" type="presParOf" srcId="{7D260B70-DA9F-4784-B16F-E37B1D78B85B}" destId="{6B7A8662-269C-4D10-B034-0630B91C3EC2}" srcOrd="1" destOrd="0" presId="urn:microsoft.com/office/officeart/2005/8/layout/orgChart1"/>
    <dgm:cxn modelId="{F2B3F1D8-79EE-4044-8682-D1C6A45C3D24}" type="presParOf" srcId="{009425B7-CC35-4023-B62A-99050964E844}" destId="{1B18D78E-4DEF-49FB-A929-01666D8B1534}" srcOrd="1" destOrd="0" presId="urn:microsoft.com/office/officeart/2005/8/layout/orgChart1"/>
    <dgm:cxn modelId="{F5882AE7-565F-43E0-A3B0-E048798BE950}" type="presParOf" srcId="{009425B7-CC35-4023-B62A-99050964E844}" destId="{C6DE3C47-46EA-452D-A887-D7BD7143785C}" srcOrd="2" destOrd="0" presId="urn:microsoft.com/office/officeart/2005/8/layout/orgChart1"/>
    <dgm:cxn modelId="{7C3F0C65-75E5-4E9B-B09C-41B67BE48388}" type="presParOf" srcId="{EC52B5DD-F9E3-4AD9-998E-700D39E564B9}" destId="{4919736B-D7FE-49BA-9AE0-1F5D5E2B2D50}" srcOrd="2" destOrd="0" presId="urn:microsoft.com/office/officeart/2005/8/layout/orgChart1"/>
    <dgm:cxn modelId="{B2ABCEF7-CA8E-487A-BCD6-425DB4D456DE}" type="presParOf" srcId="{2A3F4A7B-1C77-46D6-9634-4024401C4B27}" destId="{6C85AD36-6E01-42D2-AEF1-FBA82827BB61}" srcOrd="10" destOrd="0" presId="urn:microsoft.com/office/officeart/2005/8/layout/orgChart1"/>
    <dgm:cxn modelId="{21811277-20BC-4CB0-8C51-B1EB98C1170C}" type="presParOf" srcId="{2A3F4A7B-1C77-46D6-9634-4024401C4B27}" destId="{2F4DDF5A-139E-493F-810A-D11D1C33B041}" srcOrd="11" destOrd="0" presId="urn:microsoft.com/office/officeart/2005/8/layout/orgChart1"/>
    <dgm:cxn modelId="{1BB2347A-461D-4C46-B55F-B252C91A364E}" type="presParOf" srcId="{2F4DDF5A-139E-493F-810A-D11D1C33B041}" destId="{16D2DBE7-B098-459E-84B2-E2CDBE505886}" srcOrd="0" destOrd="0" presId="urn:microsoft.com/office/officeart/2005/8/layout/orgChart1"/>
    <dgm:cxn modelId="{76479158-F4AB-4BDB-B097-B3520A73BE1E}" type="presParOf" srcId="{16D2DBE7-B098-459E-84B2-E2CDBE505886}" destId="{BD05DB09-F367-4DD0-B867-ED53300CEBA3}" srcOrd="0" destOrd="0" presId="urn:microsoft.com/office/officeart/2005/8/layout/orgChart1"/>
    <dgm:cxn modelId="{FC0A45DC-515A-44AE-8D63-C115D274C5C8}" type="presParOf" srcId="{16D2DBE7-B098-459E-84B2-E2CDBE505886}" destId="{634F8247-E9BF-4455-B9AC-6F8DAAE4DC9C}" srcOrd="1" destOrd="0" presId="urn:microsoft.com/office/officeart/2005/8/layout/orgChart1"/>
    <dgm:cxn modelId="{D407E8AB-F14F-4C4D-8507-0CE949F9FB33}" type="presParOf" srcId="{2F4DDF5A-139E-493F-810A-D11D1C33B041}" destId="{55A0537B-0042-4C81-81D9-81EBEFE9823C}" srcOrd="1" destOrd="0" presId="urn:microsoft.com/office/officeart/2005/8/layout/orgChart1"/>
    <dgm:cxn modelId="{39B52808-D8DE-43F5-9220-62EBBEF0F660}" type="presParOf" srcId="{55A0537B-0042-4C81-81D9-81EBEFE9823C}" destId="{8B94E6C6-CEC5-43E0-819E-F3D55266F455}" srcOrd="0" destOrd="0" presId="urn:microsoft.com/office/officeart/2005/8/layout/orgChart1"/>
    <dgm:cxn modelId="{1AEB2921-B651-4759-96A8-43602BBBE057}" type="presParOf" srcId="{55A0537B-0042-4C81-81D9-81EBEFE9823C}" destId="{743C52B3-EC4B-442A-B355-6C274AEE7077}" srcOrd="1" destOrd="0" presId="urn:microsoft.com/office/officeart/2005/8/layout/orgChart1"/>
    <dgm:cxn modelId="{5AAEA35C-EF3F-4674-993C-33C71DB862A0}" type="presParOf" srcId="{743C52B3-EC4B-442A-B355-6C274AEE7077}" destId="{D0B04744-0F0A-4468-9BE5-CA176AF0E13A}" srcOrd="0" destOrd="0" presId="urn:microsoft.com/office/officeart/2005/8/layout/orgChart1"/>
    <dgm:cxn modelId="{2F89EB5A-DFDD-4443-826F-5E8450D81ECF}" type="presParOf" srcId="{D0B04744-0F0A-4468-9BE5-CA176AF0E13A}" destId="{0A39DB86-8D91-4B29-AEAE-64783F7F2497}" srcOrd="0" destOrd="0" presId="urn:microsoft.com/office/officeart/2005/8/layout/orgChart1"/>
    <dgm:cxn modelId="{C45C97F5-A9AC-4927-8955-6D9170978B11}" type="presParOf" srcId="{D0B04744-0F0A-4468-9BE5-CA176AF0E13A}" destId="{5DA437A0-E83A-433D-8D50-6CC8CE5816D9}" srcOrd="1" destOrd="0" presId="urn:microsoft.com/office/officeart/2005/8/layout/orgChart1"/>
    <dgm:cxn modelId="{B8A4DAEA-82D6-4B31-9548-E31FB72466CE}" type="presParOf" srcId="{743C52B3-EC4B-442A-B355-6C274AEE7077}" destId="{BF9CFEC5-A0FB-4E71-B2C5-A8EC6703AFE2}" srcOrd="1" destOrd="0" presId="urn:microsoft.com/office/officeart/2005/8/layout/orgChart1"/>
    <dgm:cxn modelId="{692A1243-2B06-4FA2-BB96-4EBA4BDEA90B}" type="presParOf" srcId="{743C52B3-EC4B-442A-B355-6C274AEE7077}" destId="{437CBBF3-850A-4548-8E77-BB824DEF7AD1}" srcOrd="2" destOrd="0" presId="urn:microsoft.com/office/officeart/2005/8/layout/orgChart1"/>
    <dgm:cxn modelId="{136CE8EA-65AA-463A-9EE0-47AA28BAE260}" type="presParOf" srcId="{55A0537B-0042-4C81-81D9-81EBEFE9823C}" destId="{1A77D9E4-3529-4B73-BE42-0E9E91CB0B98}" srcOrd="2" destOrd="0" presId="urn:microsoft.com/office/officeart/2005/8/layout/orgChart1"/>
    <dgm:cxn modelId="{B34E2847-8927-4FB1-BF6D-FB758C0E1AC9}" type="presParOf" srcId="{55A0537B-0042-4C81-81D9-81EBEFE9823C}" destId="{08C3BD18-83AE-42D5-8B61-E04B041111EB}" srcOrd="3" destOrd="0" presId="urn:microsoft.com/office/officeart/2005/8/layout/orgChart1"/>
    <dgm:cxn modelId="{14E061F4-1157-4C64-9C62-9DEEE5B6615E}" type="presParOf" srcId="{08C3BD18-83AE-42D5-8B61-E04B041111EB}" destId="{DC2D64D6-032F-453A-B24A-3DE0E8F84328}" srcOrd="0" destOrd="0" presId="urn:microsoft.com/office/officeart/2005/8/layout/orgChart1"/>
    <dgm:cxn modelId="{74C2FF44-2EC7-47D2-A753-79BE72ADD7B8}" type="presParOf" srcId="{DC2D64D6-032F-453A-B24A-3DE0E8F84328}" destId="{8107A7A6-E98E-4034-81ED-255AFFCF34A8}" srcOrd="0" destOrd="0" presId="urn:microsoft.com/office/officeart/2005/8/layout/orgChart1"/>
    <dgm:cxn modelId="{6679E8DE-4080-410C-8088-306E708FF36B}" type="presParOf" srcId="{DC2D64D6-032F-453A-B24A-3DE0E8F84328}" destId="{E573D934-9A17-4C68-AD55-1ECFDB1D87BF}" srcOrd="1" destOrd="0" presId="urn:microsoft.com/office/officeart/2005/8/layout/orgChart1"/>
    <dgm:cxn modelId="{7AF8AE18-C85E-400E-8C67-B958B50215E9}" type="presParOf" srcId="{08C3BD18-83AE-42D5-8B61-E04B041111EB}" destId="{6D386F50-C3BA-4B9D-898C-37CBA4A559D9}" srcOrd="1" destOrd="0" presId="urn:microsoft.com/office/officeart/2005/8/layout/orgChart1"/>
    <dgm:cxn modelId="{CDA10EC4-043F-4E48-A22A-1E7537398DE3}" type="presParOf" srcId="{08C3BD18-83AE-42D5-8B61-E04B041111EB}" destId="{3C7BB0A4-C7E1-42E1-9788-D54C0776F935}" srcOrd="2" destOrd="0" presId="urn:microsoft.com/office/officeart/2005/8/layout/orgChart1"/>
    <dgm:cxn modelId="{71903D3A-1D9C-4393-8365-B6E2A026E19D}" type="presParOf" srcId="{55A0537B-0042-4C81-81D9-81EBEFE9823C}" destId="{59B2ADF3-1B2F-4327-8613-C9ED5502E71F}" srcOrd="4" destOrd="0" presId="urn:microsoft.com/office/officeart/2005/8/layout/orgChart1"/>
    <dgm:cxn modelId="{E29486B3-34CC-48B8-A290-5E1C904E2735}" type="presParOf" srcId="{55A0537B-0042-4C81-81D9-81EBEFE9823C}" destId="{BF5AA9D9-1456-40A0-8E5D-BC0557D67D9F}" srcOrd="5" destOrd="0" presId="urn:microsoft.com/office/officeart/2005/8/layout/orgChart1"/>
    <dgm:cxn modelId="{9439B328-87FF-418E-813D-DF18A75CA3BF}" type="presParOf" srcId="{BF5AA9D9-1456-40A0-8E5D-BC0557D67D9F}" destId="{32C52295-5F46-42B8-BBEC-493E8162A669}" srcOrd="0" destOrd="0" presId="urn:microsoft.com/office/officeart/2005/8/layout/orgChart1"/>
    <dgm:cxn modelId="{9F97807A-89E3-4252-AB87-1AB17D5C76C5}" type="presParOf" srcId="{32C52295-5F46-42B8-BBEC-493E8162A669}" destId="{C67DDF91-A1A6-4148-AC2E-ADE238D988A5}" srcOrd="0" destOrd="0" presId="urn:microsoft.com/office/officeart/2005/8/layout/orgChart1"/>
    <dgm:cxn modelId="{854D881B-FFF6-4008-A5F8-ABD925720DCA}" type="presParOf" srcId="{32C52295-5F46-42B8-BBEC-493E8162A669}" destId="{A25B6333-E948-45EA-8E0C-9CEBF31F294C}" srcOrd="1" destOrd="0" presId="urn:microsoft.com/office/officeart/2005/8/layout/orgChart1"/>
    <dgm:cxn modelId="{3062F53D-8E7C-4894-8EEB-228FE0D0C2C0}" type="presParOf" srcId="{BF5AA9D9-1456-40A0-8E5D-BC0557D67D9F}" destId="{87E302F3-2C8F-478B-8F1F-09E0F10102C2}" srcOrd="1" destOrd="0" presId="urn:microsoft.com/office/officeart/2005/8/layout/orgChart1"/>
    <dgm:cxn modelId="{97849EB0-13DE-4151-A975-CADC2B4BBE56}" type="presParOf" srcId="{BF5AA9D9-1456-40A0-8E5D-BC0557D67D9F}" destId="{3DDB16E9-6290-4B29-A109-076EB150B312}" srcOrd="2" destOrd="0" presId="urn:microsoft.com/office/officeart/2005/8/layout/orgChart1"/>
    <dgm:cxn modelId="{2770AC7A-86A7-4404-958B-3AF51C5AAACC}" type="presParOf" srcId="{55A0537B-0042-4C81-81D9-81EBEFE9823C}" destId="{8FB49B0A-4449-41F5-80A2-B7D5E09D1471}" srcOrd="6" destOrd="0" presId="urn:microsoft.com/office/officeart/2005/8/layout/orgChart1"/>
    <dgm:cxn modelId="{A28C1963-C388-4462-8030-527D0B3F78CA}" type="presParOf" srcId="{55A0537B-0042-4C81-81D9-81EBEFE9823C}" destId="{50527235-AC12-4366-B163-37FB5F62B683}" srcOrd="7" destOrd="0" presId="urn:microsoft.com/office/officeart/2005/8/layout/orgChart1"/>
    <dgm:cxn modelId="{FA60224C-606E-4C06-A831-1DE73F424C5C}" type="presParOf" srcId="{50527235-AC12-4366-B163-37FB5F62B683}" destId="{980D1648-555B-4676-9A17-C33411F009FD}" srcOrd="0" destOrd="0" presId="urn:microsoft.com/office/officeart/2005/8/layout/orgChart1"/>
    <dgm:cxn modelId="{CAD8F8CB-7524-4134-A1D1-3DCBC8B5BA2D}" type="presParOf" srcId="{980D1648-555B-4676-9A17-C33411F009FD}" destId="{9B8FCAAF-C899-4E91-A43A-2792529FE583}" srcOrd="0" destOrd="0" presId="urn:microsoft.com/office/officeart/2005/8/layout/orgChart1"/>
    <dgm:cxn modelId="{1D746E14-7F94-4AB6-8783-526E19DA9711}" type="presParOf" srcId="{980D1648-555B-4676-9A17-C33411F009FD}" destId="{F3DF8F6E-3AEA-46DC-A7EB-A54899BEDFCA}" srcOrd="1" destOrd="0" presId="urn:microsoft.com/office/officeart/2005/8/layout/orgChart1"/>
    <dgm:cxn modelId="{E15AF2BA-8944-44A2-8A94-EC950784C9A8}" type="presParOf" srcId="{50527235-AC12-4366-B163-37FB5F62B683}" destId="{8EA593F4-2550-4B0F-B295-8CC8AA0A6E3B}" srcOrd="1" destOrd="0" presId="urn:microsoft.com/office/officeart/2005/8/layout/orgChart1"/>
    <dgm:cxn modelId="{48D1F144-4547-4451-BDA2-AC436CDFAD82}" type="presParOf" srcId="{50527235-AC12-4366-B163-37FB5F62B683}" destId="{41ADA38D-DBD1-4BF1-BA46-11C153FE1843}" srcOrd="2" destOrd="0" presId="urn:microsoft.com/office/officeart/2005/8/layout/orgChart1"/>
    <dgm:cxn modelId="{6924BA90-91A7-43B9-831B-C097F79CC4ED}" type="presParOf" srcId="{55A0537B-0042-4C81-81D9-81EBEFE9823C}" destId="{EE92BEB3-F109-43DC-83F3-10FD5D986DB2}" srcOrd="8" destOrd="0" presId="urn:microsoft.com/office/officeart/2005/8/layout/orgChart1"/>
    <dgm:cxn modelId="{35A1CC23-C806-41FC-A6E7-E72F8DA3B55B}" type="presParOf" srcId="{55A0537B-0042-4C81-81D9-81EBEFE9823C}" destId="{E7E36BE0-63CE-411D-8617-EED6DE9802FC}" srcOrd="9" destOrd="0" presId="urn:microsoft.com/office/officeart/2005/8/layout/orgChart1"/>
    <dgm:cxn modelId="{F33B91E0-6ADA-4FB0-AE28-52298654DA78}" type="presParOf" srcId="{E7E36BE0-63CE-411D-8617-EED6DE9802FC}" destId="{DBD515C5-1A8F-4231-B877-17EBCE3DA956}" srcOrd="0" destOrd="0" presId="urn:microsoft.com/office/officeart/2005/8/layout/orgChart1"/>
    <dgm:cxn modelId="{1B064E26-41C2-49D4-A802-68A008D89495}" type="presParOf" srcId="{DBD515C5-1A8F-4231-B877-17EBCE3DA956}" destId="{33D162A6-8742-4FE5-83D7-BF93A0F46865}" srcOrd="0" destOrd="0" presId="urn:microsoft.com/office/officeart/2005/8/layout/orgChart1"/>
    <dgm:cxn modelId="{37912DC2-95CA-4D69-9E52-F5A3A32800BC}" type="presParOf" srcId="{DBD515C5-1A8F-4231-B877-17EBCE3DA956}" destId="{B74E0D15-6761-41D4-901C-AC46B87C8C8C}" srcOrd="1" destOrd="0" presId="urn:microsoft.com/office/officeart/2005/8/layout/orgChart1"/>
    <dgm:cxn modelId="{9232A66C-6033-4C37-814F-8D2BF9A4A41E}" type="presParOf" srcId="{E7E36BE0-63CE-411D-8617-EED6DE9802FC}" destId="{EEAF32A8-363E-473E-8466-78EA41BB1AE6}" srcOrd="1" destOrd="0" presId="urn:microsoft.com/office/officeart/2005/8/layout/orgChart1"/>
    <dgm:cxn modelId="{E9055112-40E9-47D1-8170-FCE723857858}" type="presParOf" srcId="{E7E36BE0-63CE-411D-8617-EED6DE9802FC}" destId="{1A3349BF-7E4F-4B03-B044-D29997CE1FDF}" srcOrd="2" destOrd="0" presId="urn:microsoft.com/office/officeart/2005/8/layout/orgChart1"/>
    <dgm:cxn modelId="{DB40C24B-535E-479B-B086-0402B8781A4C}" type="presParOf" srcId="{55A0537B-0042-4C81-81D9-81EBEFE9823C}" destId="{78F8DA2E-4083-40A8-A858-E957C8B1DE7B}" srcOrd="10" destOrd="0" presId="urn:microsoft.com/office/officeart/2005/8/layout/orgChart1"/>
    <dgm:cxn modelId="{730DB607-F682-4729-BADA-9C41D690CEE8}" type="presParOf" srcId="{55A0537B-0042-4C81-81D9-81EBEFE9823C}" destId="{FDFF8204-F388-41FB-ACC1-B6D4B92B9C33}" srcOrd="11" destOrd="0" presId="urn:microsoft.com/office/officeart/2005/8/layout/orgChart1"/>
    <dgm:cxn modelId="{462F1E19-FF53-4966-B771-DE1D81A6FD90}" type="presParOf" srcId="{FDFF8204-F388-41FB-ACC1-B6D4B92B9C33}" destId="{33BF189F-6636-4AC1-AC8B-5B1B3B1AE81C}" srcOrd="0" destOrd="0" presId="urn:microsoft.com/office/officeart/2005/8/layout/orgChart1"/>
    <dgm:cxn modelId="{2E84C345-04DB-4310-9AEF-7A9F40B0AEFE}" type="presParOf" srcId="{33BF189F-6636-4AC1-AC8B-5B1B3B1AE81C}" destId="{E910B8D5-5D26-4841-9F41-CD804D9DBFC6}" srcOrd="0" destOrd="0" presId="urn:microsoft.com/office/officeart/2005/8/layout/orgChart1"/>
    <dgm:cxn modelId="{08D3B5F9-3757-4CE6-84CF-A1F6BE10D0B1}" type="presParOf" srcId="{33BF189F-6636-4AC1-AC8B-5B1B3B1AE81C}" destId="{EE3126B4-FACE-4E97-B175-ECB8C05C4EF6}" srcOrd="1" destOrd="0" presId="urn:microsoft.com/office/officeart/2005/8/layout/orgChart1"/>
    <dgm:cxn modelId="{376DE364-A203-4D50-B22C-6175A44651A2}" type="presParOf" srcId="{FDFF8204-F388-41FB-ACC1-B6D4B92B9C33}" destId="{998C69F1-80CD-478D-9D1B-A9BE4230426F}" srcOrd="1" destOrd="0" presId="urn:microsoft.com/office/officeart/2005/8/layout/orgChart1"/>
    <dgm:cxn modelId="{265090D0-2F48-4BF1-AE50-5A68476A9DE8}" type="presParOf" srcId="{FDFF8204-F388-41FB-ACC1-B6D4B92B9C33}" destId="{CE23EC26-1017-4DCC-BAC4-05346F4C9B09}" srcOrd="2" destOrd="0" presId="urn:microsoft.com/office/officeart/2005/8/layout/orgChart1"/>
    <dgm:cxn modelId="{4D807A35-8462-48FA-93FB-9055C205B5F1}" type="presParOf" srcId="{2F4DDF5A-139E-493F-810A-D11D1C33B041}" destId="{2187830F-0359-419D-A6F9-834ABF132363}" srcOrd="2" destOrd="0" presId="urn:microsoft.com/office/officeart/2005/8/layout/orgChart1"/>
    <dgm:cxn modelId="{2CB36C45-A863-49D7-8260-6C9A10CD70CF}" type="presParOf" srcId="{A84F9E22-D7F7-462C-A31C-868E012F3D91}" destId="{9C92C103-4929-493C-AEF7-BFF810DDCA5C}"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8F8DA2E-4083-40A8-A858-E957C8B1DE7B}">
      <dsp:nvSpPr>
        <dsp:cNvPr id="0" name=""/>
        <dsp:cNvSpPr/>
      </dsp:nvSpPr>
      <dsp:spPr>
        <a:xfrm>
          <a:off x="8482252" y="1058834"/>
          <a:ext cx="131145" cy="3505945"/>
        </a:xfrm>
        <a:custGeom>
          <a:avLst/>
          <a:gdLst/>
          <a:ahLst/>
          <a:cxnLst/>
          <a:rect l="0" t="0" r="0" b="0"/>
          <a:pathLst>
            <a:path>
              <a:moveTo>
                <a:pt x="0" y="0"/>
              </a:moveTo>
              <a:lnTo>
                <a:pt x="0" y="3505945"/>
              </a:lnTo>
              <a:lnTo>
                <a:pt x="131145" y="3505945"/>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E92BEB3-F109-43DC-83F3-10FD5D986DB2}">
      <dsp:nvSpPr>
        <dsp:cNvPr id="0" name=""/>
        <dsp:cNvSpPr/>
      </dsp:nvSpPr>
      <dsp:spPr>
        <a:xfrm>
          <a:off x="8482252" y="1058834"/>
          <a:ext cx="131145" cy="2885191"/>
        </a:xfrm>
        <a:custGeom>
          <a:avLst/>
          <a:gdLst/>
          <a:ahLst/>
          <a:cxnLst/>
          <a:rect l="0" t="0" r="0" b="0"/>
          <a:pathLst>
            <a:path>
              <a:moveTo>
                <a:pt x="0" y="0"/>
              </a:moveTo>
              <a:lnTo>
                <a:pt x="0" y="2885191"/>
              </a:lnTo>
              <a:lnTo>
                <a:pt x="131145" y="2885191"/>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FB49B0A-4449-41F5-80A2-B7D5E09D1471}">
      <dsp:nvSpPr>
        <dsp:cNvPr id="0" name=""/>
        <dsp:cNvSpPr/>
      </dsp:nvSpPr>
      <dsp:spPr>
        <a:xfrm>
          <a:off x="8482252" y="1058834"/>
          <a:ext cx="131145" cy="2264438"/>
        </a:xfrm>
        <a:custGeom>
          <a:avLst/>
          <a:gdLst/>
          <a:ahLst/>
          <a:cxnLst/>
          <a:rect l="0" t="0" r="0" b="0"/>
          <a:pathLst>
            <a:path>
              <a:moveTo>
                <a:pt x="0" y="0"/>
              </a:moveTo>
              <a:lnTo>
                <a:pt x="0" y="2264438"/>
              </a:lnTo>
              <a:lnTo>
                <a:pt x="131145" y="226443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9B2ADF3-1B2F-4327-8613-C9ED5502E71F}">
      <dsp:nvSpPr>
        <dsp:cNvPr id="0" name=""/>
        <dsp:cNvSpPr/>
      </dsp:nvSpPr>
      <dsp:spPr>
        <a:xfrm>
          <a:off x="8482252" y="1058834"/>
          <a:ext cx="131145" cy="1643684"/>
        </a:xfrm>
        <a:custGeom>
          <a:avLst/>
          <a:gdLst/>
          <a:ahLst/>
          <a:cxnLst/>
          <a:rect l="0" t="0" r="0" b="0"/>
          <a:pathLst>
            <a:path>
              <a:moveTo>
                <a:pt x="0" y="0"/>
              </a:moveTo>
              <a:lnTo>
                <a:pt x="0" y="1643684"/>
              </a:lnTo>
              <a:lnTo>
                <a:pt x="131145" y="1643684"/>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A77D9E4-3529-4B73-BE42-0E9E91CB0B98}">
      <dsp:nvSpPr>
        <dsp:cNvPr id="0" name=""/>
        <dsp:cNvSpPr/>
      </dsp:nvSpPr>
      <dsp:spPr>
        <a:xfrm>
          <a:off x="8482252" y="1058834"/>
          <a:ext cx="131145" cy="1022931"/>
        </a:xfrm>
        <a:custGeom>
          <a:avLst/>
          <a:gdLst/>
          <a:ahLst/>
          <a:cxnLst/>
          <a:rect l="0" t="0" r="0" b="0"/>
          <a:pathLst>
            <a:path>
              <a:moveTo>
                <a:pt x="0" y="0"/>
              </a:moveTo>
              <a:lnTo>
                <a:pt x="0" y="1022931"/>
              </a:lnTo>
              <a:lnTo>
                <a:pt x="131145" y="1022931"/>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B94E6C6-CEC5-43E0-819E-F3D55266F455}">
      <dsp:nvSpPr>
        <dsp:cNvPr id="0" name=""/>
        <dsp:cNvSpPr/>
      </dsp:nvSpPr>
      <dsp:spPr>
        <a:xfrm>
          <a:off x="8482252" y="1058834"/>
          <a:ext cx="131145" cy="402178"/>
        </a:xfrm>
        <a:custGeom>
          <a:avLst/>
          <a:gdLst/>
          <a:ahLst/>
          <a:cxnLst/>
          <a:rect l="0" t="0" r="0" b="0"/>
          <a:pathLst>
            <a:path>
              <a:moveTo>
                <a:pt x="0" y="0"/>
              </a:moveTo>
              <a:lnTo>
                <a:pt x="0" y="402178"/>
              </a:lnTo>
              <a:lnTo>
                <a:pt x="131145" y="40217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C85AD36-6E01-42D2-AEF1-FBA82827BB61}">
      <dsp:nvSpPr>
        <dsp:cNvPr id="0" name=""/>
        <dsp:cNvSpPr/>
      </dsp:nvSpPr>
      <dsp:spPr>
        <a:xfrm>
          <a:off x="6187213" y="438080"/>
          <a:ext cx="2644759" cy="183603"/>
        </a:xfrm>
        <a:custGeom>
          <a:avLst/>
          <a:gdLst/>
          <a:ahLst/>
          <a:cxnLst/>
          <a:rect l="0" t="0" r="0" b="0"/>
          <a:pathLst>
            <a:path>
              <a:moveTo>
                <a:pt x="0" y="0"/>
              </a:moveTo>
              <a:lnTo>
                <a:pt x="0" y="91801"/>
              </a:lnTo>
              <a:lnTo>
                <a:pt x="2644759" y="91801"/>
              </a:lnTo>
              <a:lnTo>
                <a:pt x="2644759" y="183603"/>
              </a:lnTo>
            </a:path>
          </a:pathLst>
        </a:custGeom>
        <a:noFill/>
        <a:ln w="19050" cap="flat" cmpd="sng" algn="ctr">
          <a:solidFill>
            <a:schemeClr val="dk2">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4EAE663-022F-4A11-A437-6C2B3DB14EFD}">
      <dsp:nvSpPr>
        <dsp:cNvPr id="0" name=""/>
        <dsp:cNvSpPr/>
      </dsp:nvSpPr>
      <dsp:spPr>
        <a:xfrm>
          <a:off x="7424348" y="1058834"/>
          <a:ext cx="131145" cy="2264438"/>
        </a:xfrm>
        <a:custGeom>
          <a:avLst/>
          <a:gdLst/>
          <a:ahLst/>
          <a:cxnLst/>
          <a:rect l="0" t="0" r="0" b="0"/>
          <a:pathLst>
            <a:path>
              <a:moveTo>
                <a:pt x="0" y="0"/>
              </a:moveTo>
              <a:lnTo>
                <a:pt x="0" y="2264438"/>
              </a:lnTo>
              <a:lnTo>
                <a:pt x="131145" y="226443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649EFA2-9D0B-4272-9EF0-92B1B7C98729}">
      <dsp:nvSpPr>
        <dsp:cNvPr id="0" name=""/>
        <dsp:cNvSpPr/>
      </dsp:nvSpPr>
      <dsp:spPr>
        <a:xfrm>
          <a:off x="7424348" y="1058834"/>
          <a:ext cx="131145" cy="1643684"/>
        </a:xfrm>
        <a:custGeom>
          <a:avLst/>
          <a:gdLst/>
          <a:ahLst/>
          <a:cxnLst/>
          <a:rect l="0" t="0" r="0" b="0"/>
          <a:pathLst>
            <a:path>
              <a:moveTo>
                <a:pt x="0" y="0"/>
              </a:moveTo>
              <a:lnTo>
                <a:pt x="0" y="1643684"/>
              </a:lnTo>
              <a:lnTo>
                <a:pt x="131145" y="1643684"/>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F7E98A2-8D00-4B12-B20F-08E58E3E7B05}">
      <dsp:nvSpPr>
        <dsp:cNvPr id="0" name=""/>
        <dsp:cNvSpPr/>
      </dsp:nvSpPr>
      <dsp:spPr>
        <a:xfrm>
          <a:off x="7424348" y="1058834"/>
          <a:ext cx="131145" cy="1022931"/>
        </a:xfrm>
        <a:custGeom>
          <a:avLst/>
          <a:gdLst/>
          <a:ahLst/>
          <a:cxnLst/>
          <a:rect l="0" t="0" r="0" b="0"/>
          <a:pathLst>
            <a:path>
              <a:moveTo>
                <a:pt x="0" y="0"/>
              </a:moveTo>
              <a:lnTo>
                <a:pt x="0" y="1022931"/>
              </a:lnTo>
              <a:lnTo>
                <a:pt x="131145" y="1022931"/>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CCE842B-986D-4696-B96D-D77443E82BA5}">
      <dsp:nvSpPr>
        <dsp:cNvPr id="0" name=""/>
        <dsp:cNvSpPr/>
      </dsp:nvSpPr>
      <dsp:spPr>
        <a:xfrm>
          <a:off x="7424348" y="1058834"/>
          <a:ext cx="131145" cy="402178"/>
        </a:xfrm>
        <a:custGeom>
          <a:avLst/>
          <a:gdLst/>
          <a:ahLst/>
          <a:cxnLst/>
          <a:rect l="0" t="0" r="0" b="0"/>
          <a:pathLst>
            <a:path>
              <a:moveTo>
                <a:pt x="0" y="0"/>
              </a:moveTo>
              <a:lnTo>
                <a:pt x="0" y="402178"/>
              </a:lnTo>
              <a:lnTo>
                <a:pt x="131145" y="40217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2033779-5943-41A3-8436-F5F77270BD2D}">
      <dsp:nvSpPr>
        <dsp:cNvPr id="0" name=""/>
        <dsp:cNvSpPr/>
      </dsp:nvSpPr>
      <dsp:spPr>
        <a:xfrm>
          <a:off x="6187213" y="438080"/>
          <a:ext cx="1586855" cy="183603"/>
        </a:xfrm>
        <a:custGeom>
          <a:avLst/>
          <a:gdLst/>
          <a:ahLst/>
          <a:cxnLst/>
          <a:rect l="0" t="0" r="0" b="0"/>
          <a:pathLst>
            <a:path>
              <a:moveTo>
                <a:pt x="0" y="0"/>
              </a:moveTo>
              <a:lnTo>
                <a:pt x="0" y="91801"/>
              </a:lnTo>
              <a:lnTo>
                <a:pt x="1586855" y="91801"/>
              </a:lnTo>
              <a:lnTo>
                <a:pt x="1586855" y="183603"/>
              </a:lnTo>
            </a:path>
          </a:pathLst>
        </a:custGeom>
        <a:noFill/>
        <a:ln w="19050" cap="flat" cmpd="sng" algn="ctr">
          <a:solidFill>
            <a:schemeClr val="dk2">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FF16F2D-7095-4275-B411-F96F5DB641D3}">
      <dsp:nvSpPr>
        <dsp:cNvPr id="0" name=""/>
        <dsp:cNvSpPr/>
      </dsp:nvSpPr>
      <dsp:spPr>
        <a:xfrm>
          <a:off x="6366445" y="1058834"/>
          <a:ext cx="131145" cy="2264438"/>
        </a:xfrm>
        <a:custGeom>
          <a:avLst/>
          <a:gdLst/>
          <a:ahLst/>
          <a:cxnLst/>
          <a:rect l="0" t="0" r="0" b="0"/>
          <a:pathLst>
            <a:path>
              <a:moveTo>
                <a:pt x="0" y="0"/>
              </a:moveTo>
              <a:lnTo>
                <a:pt x="0" y="2264438"/>
              </a:lnTo>
              <a:lnTo>
                <a:pt x="131145" y="226443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FAC5AED-201C-4715-B717-F2E77E0B16B4}">
      <dsp:nvSpPr>
        <dsp:cNvPr id="0" name=""/>
        <dsp:cNvSpPr/>
      </dsp:nvSpPr>
      <dsp:spPr>
        <a:xfrm>
          <a:off x="6366445" y="1058834"/>
          <a:ext cx="131145" cy="1643684"/>
        </a:xfrm>
        <a:custGeom>
          <a:avLst/>
          <a:gdLst/>
          <a:ahLst/>
          <a:cxnLst/>
          <a:rect l="0" t="0" r="0" b="0"/>
          <a:pathLst>
            <a:path>
              <a:moveTo>
                <a:pt x="0" y="0"/>
              </a:moveTo>
              <a:lnTo>
                <a:pt x="0" y="1643684"/>
              </a:lnTo>
              <a:lnTo>
                <a:pt x="131145" y="1643684"/>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AE75985-07AE-4C85-8314-EEFDD0CC2000}">
      <dsp:nvSpPr>
        <dsp:cNvPr id="0" name=""/>
        <dsp:cNvSpPr/>
      </dsp:nvSpPr>
      <dsp:spPr>
        <a:xfrm>
          <a:off x="6366445" y="1058834"/>
          <a:ext cx="131145" cy="1022931"/>
        </a:xfrm>
        <a:custGeom>
          <a:avLst/>
          <a:gdLst/>
          <a:ahLst/>
          <a:cxnLst/>
          <a:rect l="0" t="0" r="0" b="0"/>
          <a:pathLst>
            <a:path>
              <a:moveTo>
                <a:pt x="0" y="0"/>
              </a:moveTo>
              <a:lnTo>
                <a:pt x="0" y="1022931"/>
              </a:lnTo>
              <a:lnTo>
                <a:pt x="131145" y="1022931"/>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1E018DF-82DA-4E7A-9CC1-D71D4F60EA5A}">
      <dsp:nvSpPr>
        <dsp:cNvPr id="0" name=""/>
        <dsp:cNvSpPr/>
      </dsp:nvSpPr>
      <dsp:spPr>
        <a:xfrm>
          <a:off x="6366445" y="1058834"/>
          <a:ext cx="131145" cy="402178"/>
        </a:xfrm>
        <a:custGeom>
          <a:avLst/>
          <a:gdLst/>
          <a:ahLst/>
          <a:cxnLst/>
          <a:rect l="0" t="0" r="0" b="0"/>
          <a:pathLst>
            <a:path>
              <a:moveTo>
                <a:pt x="0" y="0"/>
              </a:moveTo>
              <a:lnTo>
                <a:pt x="0" y="402178"/>
              </a:lnTo>
              <a:lnTo>
                <a:pt x="131145" y="40217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D0B1CCB-99D3-4A6B-8BA2-5BD6CADF0810}">
      <dsp:nvSpPr>
        <dsp:cNvPr id="0" name=""/>
        <dsp:cNvSpPr/>
      </dsp:nvSpPr>
      <dsp:spPr>
        <a:xfrm>
          <a:off x="6187213" y="438080"/>
          <a:ext cx="528951" cy="183603"/>
        </a:xfrm>
        <a:custGeom>
          <a:avLst/>
          <a:gdLst/>
          <a:ahLst/>
          <a:cxnLst/>
          <a:rect l="0" t="0" r="0" b="0"/>
          <a:pathLst>
            <a:path>
              <a:moveTo>
                <a:pt x="0" y="0"/>
              </a:moveTo>
              <a:lnTo>
                <a:pt x="0" y="91801"/>
              </a:lnTo>
              <a:lnTo>
                <a:pt x="528951" y="91801"/>
              </a:lnTo>
              <a:lnTo>
                <a:pt x="528951" y="183603"/>
              </a:lnTo>
            </a:path>
          </a:pathLst>
        </a:custGeom>
        <a:noFill/>
        <a:ln w="19050" cap="flat" cmpd="sng" algn="ctr">
          <a:solidFill>
            <a:schemeClr val="dk2">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350F37-4DF1-4D99-853A-B90C475A5A62}">
      <dsp:nvSpPr>
        <dsp:cNvPr id="0" name=""/>
        <dsp:cNvSpPr/>
      </dsp:nvSpPr>
      <dsp:spPr>
        <a:xfrm>
          <a:off x="5308541" y="1058834"/>
          <a:ext cx="131145" cy="5368205"/>
        </a:xfrm>
        <a:custGeom>
          <a:avLst/>
          <a:gdLst/>
          <a:ahLst/>
          <a:cxnLst/>
          <a:rect l="0" t="0" r="0" b="0"/>
          <a:pathLst>
            <a:path>
              <a:moveTo>
                <a:pt x="0" y="0"/>
              </a:moveTo>
              <a:lnTo>
                <a:pt x="0" y="5368205"/>
              </a:lnTo>
              <a:lnTo>
                <a:pt x="131145" y="5368205"/>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1E1A621-0028-4D26-B0C6-907045E8B780}">
      <dsp:nvSpPr>
        <dsp:cNvPr id="0" name=""/>
        <dsp:cNvSpPr/>
      </dsp:nvSpPr>
      <dsp:spPr>
        <a:xfrm>
          <a:off x="5308541" y="1058834"/>
          <a:ext cx="131145" cy="4747451"/>
        </a:xfrm>
        <a:custGeom>
          <a:avLst/>
          <a:gdLst/>
          <a:ahLst/>
          <a:cxnLst/>
          <a:rect l="0" t="0" r="0" b="0"/>
          <a:pathLst>
            <a:path>
              <a:moveTo>
                <a:pt x="0" y="0"/>
              </a:moveTo>
              <a:lnTo>
                <a:pt x="0" y="4747451"/>
              </a:lnTo>
              <a:lnTo>
                <a:pt x="131145" y="4747451"/>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10D2814-AD29-4F1E-B562-E1CCF3001A41}">
      <dsp:nvSpPr>
        <dsp:cNvPr id="0" name=""/>
        <dsp:cNvSpPr/>
      </dsp:nvSpPr>
      <dsp:spPr>
        <a:xfrm>
          <a:off x="5308541" y="1058834"/>
          <a:ext cx="131145" cy="4126698"/>
        </a:xfrm>
        <a:custGeom>
          <a:avLst/>
          <a:gdLst/>
          <a:ahLst/>
          <a:cxnLst/>
          <a:rect l="0" t="0" r="0" b="0"/>
          <a:pathLst>
            <a:path>
              <a:moveTo>
                <a:pt x="0" y="0"/>
              </a:moveTo>
              <a:lnTo>
                <a:pt x="0" y="4126698"/>
              </a:lnTo>
              <a:lnTo>
                <a:pt x="131145" y="412669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A46CE33-7194-42B8-89C0-9C34439CB738}">
      <dsp:nvSpPr>
        <dsp:cNvPr id="0" name=""/>
        <dsp:cNvSpPr/>
      </dsp:nvSpPr>
      <dsp:spPr>
        <a:xfrm>
          <a:off x="5308541" y="1058834"/>
          <a:ext cx="131145" cy="3505945"/>
        </a:xfrm>
        <a:custGeom>
          <a:avLst/>
          <a:gdLst/>
          <a:ahLst/>
          <a:cxnLst/>
          <a:rect l="0" t="0" r="0" b="0"/>
          <a:pathLst>
            <a:path>
              <a:moveTo>
                <a:pt x="0" y="0"/>
              </a:moveTo>
              <a:lnTo>
                <a:pt x="0" y="3505945"/>
              </a:lnTo>
              <a:lnTo>
                <a:pt x="131145" y="3505945"/>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BE5711E-5B7C-4569-B103-B690A45CAFF5}">
      <dsp:nvSpPr>
        <dsp:cNvPr id="0" name=""/>
        <dsp:cNvSpPr/>
      </dsp:nvSpPr>
      <dsp:spPr>
        <a:xfrm>
          <a:off x="5308541" y="1058834"/>
          <a:ext cx="131145" cy="2885191"/>
        </a:xfrm>
        <a:custGeom>
          <a:avLst/>
          <a:gdLst/>
          <a:ahLst/>
          <a:cxnLst/>
          <a:rect l="0" t="0" r="0" b="0"/>
          <a:pathLst>
            <a:path>
              <a:moveTo>
                <a:pt x="0" y="0"/>
              </a:moveTo>
              <a:lnTo>
                <a:pt x="0" y="2885191"/>
              </a:lnTo>
              <a:lnTo>
                <a:pt x="131145" y="2885191"/>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FC70FEF-F97F-42C7-A8E4-59980C94878F}">
      <dsp:nvSpPr>
        <dsp:cNvPr id="0" name=""/>
        <dsp:cNvSpPr/>
      </dsp:nvSpPr>
      <dsp:spPr>
        <a:xfrm>
          <a:off x="5308541" y="1058834"/>
          <a:ext cx="131145" cy="2264438"/>
        </a:xfrm>
        <a:custGeom>
          <a:avLst/>
          <a:gdLst/>
          <a:ahLst/>
          <a:cxnLst/>
          <a:rect l="0" t="0" r="0" b="0"/>
          <a:pathLst>
            <a:path>
              <a:moveTo>
                <a:pt x="0" y="0"/>
              </a:moveTo>
              <a:lnTo>
                <a:pt x="0" y="2264438"/>
              </a:lnTo>
              <a:lnTo>
                <a:pt x="131145" y="226443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DCB6E4D-CE21-478E-B21E-566DD61538F8}">
      <dsp:nvSpPr>
        <dsp:cNvPr id="0" name=""/>
        <dsp:cNvSpPr/>
      </dsp:nvSpPr>
      <dsp:spPr>
        <a:xfrm>
          <a:off x="5308541" y="1058834"/>
          <a:ext cx="131145" cy="1643684"/>
        </a:xfrm>
        <a:custGeom>
          <a:avLst/>
          <a:gdLst/>
          <a:ahLst/>
          <a:cxnLst/>
          <a:rect l="0" t="0" r="0" b="0"/>
          <a:pathLst>
            <a:path>
              <a:moveTo>
                <a:pt x="0" y="0"/>
              </a:moveTo>
              <a:lnTo>
                <a:pt x="0" y="1643684"/>
              </a:lnTo>
              <a:lnTo>
                <a:pt x="131145" y="1643684"/>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89BE0B8-DACA-4272-926F-5D8EC8D95D93}">
      <dsp:nvSpPr>
        <dsp:cNvPr id="0" name=""/>
        <dsp:cNvSpPr/>
      </dsp:nvSpPr>
      <dsp:spPr>
        <a:xfrm>
          <a:off x="5308541" y="1058834"/>
          <a:ext cx="131145" cy="1022931"/>
        </a:xfrm>
        <a:custGeom>
          <a:avLst/>
          <a:gdLst/>
          <a:ahLst/>
          <a:cxnLst/>
          <a:rect l="0" t="0" r="0" b="0"/>
          <a:pathLst>
            <a:path>
              <a:moveTo>
                <a:pt x="0" y="0"/>
              </a:moveTo>
              <a:lnTo>
                <a:pt x="0" y="1022931"/>
              </a:lnTo>
              <a:lnTo>
                <a:pt x="131145" y="1022931"/>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E17D57F-C4C5-4D8D-8004-A19EECB5FEB3}">
      <dsp:nvSpPr>
        <dsp:cNvPr id="0" name=""/>
        <dsp:cNvSpPr/>
      </dsp:nvSpPr>
      <dsp:spPr>
        <a:xfrm>
          <a:off x="5308541" y="1058834"/>
          <a:ext cx="131145" cy="402178"/>
        </a:xfrm>
        <a:custGeom>
          <a:avLst/>
          <a:gdLst/>
          <a:ahLst/>
          <a:cxnLst/>
          <a:rect l="0" t="0" r="0" b="0"/>
          <a:pathLst>
            <a:path>
              <a:moveTo>
                <a:pt x="0" y="0"/>
              </a:moveTo>
              <a:lnTo>
                <a:pt x="0" y="402178"/>
              </a:lnTo>
              <a:lnTo>
                <a:pt x="131145" y="40217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C7E4CF4-BBDD-460A-8BE0-A666196F7903}">
      <dsp:nvSpPr>
        <dsp:cNvPr id="0" name=""/>
        <dsp:cNvSpPr/>
      </dsp:nvSpPr>
      <dsp:spPr>
        <a:xfrm>
          <a:off x="5658261" y="438080"/>
          <a:ext cx="528951" cy="183603"/>
        </a:xfrm>
        <a:custGeom>
          <a:avLst/>
          <a:gdLst/>
          <a:ahLst/>
          <a:cxnLst/>
          <a:rect l="0" t="0" r="0" b="0"/>
          <a:pathLst>
            <a:path>
              <a:moveTo>
                <a:pt x="528951" y="0"/>
              </a:moveTo>
              <a:lnTo>
                <a:pt x="528951" y="91801"/>
              </a:lnTo>
              <a:lnTo>
                <a:pt x="0" y="91801"/>
              </a:lnTo>
              <a:lnTo>
                <a:pt x="0" y="183603"/>
              </a:lnTo>
            </a:path>
          </a:pathLst>
        </a:custGeom>
        <a:noFill/>
        <a:ln w="19050" cap="flat" cmpd="sng" algn="ctr">
          <a:solidFill>
            <a:schemeClr val="dk2">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5203116-2124-4DE6-A10C-5C330E3EA739}">
      <dsp:nvSpPr>
        <dsp:cNvPr id="0" name=""/>
        <dsp:cNvSpPr/>
      </dsp:nvSpPr>
      <dsp:spPr>
        <a:xfrm>
          <a:off x="4250637" y="1058834"/>
          <a:ext cx="131145" cy="3505945"/>
        </a:xfrm>
        <a:custGeom>
          <a:avLst/>
          <a:gdLst/>
          <a:ahLst/>
          <a:cxnLst/>
          <a:rect l="0" t="0" r="0" b="0"/>
          <a:pathLst>
            <a:path>
              <a:moveTo>
                <a:pt x="0" y="0"/>
              </a:moveTo>
              <a:lnTo>
                <a:pt x="0" y="3505945"/>
              </a:lnTo>
              <a:lnTo>
                <a:pt x="131145" y="3505945"/>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37CD491-A43F-4503-8A3E-7060D45B17F6}">
      <dsp:nvSpPr>
        <dsp:cNvPr id="0" name=""/>
        <dsp:cNvSpPr/>
      </dsp:nvSpPr>
      <dsp:spPr>
        <a:xfrm>
          <a:off x="4250637" y="1058834"/>
          <a:ext cx="131145" cy="2885191"/>
        </a:xfrm>
        <a:custGeom>
          <a:avLst/>
          <a:gdLst/>
          <a:ahLst/>
          <a:cxnLst/>
          <a:rect l="0" t="0" r="0" b="0"/>
          <a:pathLst>
            <a:path>
              <a:moveTo>
                <a:pt x="0" y="0"/>
              </a:moveTo>
              <a:lnTo>
                <a:pt x="0" y="2885191"/>
              </a:lnTo>
              <a:lnTo>
                <a:pt x="131145" y="2885191"/>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A70330A-BAE4-4AC1-BFE5-9A6FB73AEB64}">
      <dsp:nvSpPr>
        <dsp:cNvPr id="0" name=""/>
        <dsp:cNvSpPr/>
      </dsp:nvSpPr>
      <dsp:spPr>
        <a:xfrm>
          <a:off x="4250637" y="1058834"/>
          <a:ext cx="131145" cy="2264438"/>
        </a:xfrm>
        <a:custGeom>
          <a:avLst/>
          <a:gdLst/>
          <a:ahLst/>
          <a:cxnLst/>
          <a:rect l="0" t="0" r="0" b="0"/>
          <a:pathLst>
            <a:path>
              <a:moveTo>
                <a:pt x="0" y="0"/>
              </a:moveTo>
              <a:lnTo>
                <a:pt x="0" y="2264438"/>
              </a:lnTo>
              <a:lnTo>
                <a:pt x="131145" y="226443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B6930EC-198A-47B1-9108-6BDFCF5B18C9}">
      <dsp:nvSpPr>
        <dsp:cNvPr id="0" name=""/>
        <dsp:cNvSpPr/>
      </dsp:nvSpPr>
      <dsp:spPr>
        <a:xfrm>
          <a:off x="4250637" y="1058834"/>
          <a:ext cx="131145" cy="1643684"/>
        </a:xfrm>
        <a:custGeom>
          <a:avLst/>
          <a:gdLst/>
          <a:ahLst/>
          <a:cxnLst/>
          <a:rect l="0" t="0" r="0" b="0"/>
          <a:pathLst>
            <a:path>
              <a:moveTo>
                <a:pt x="0" y="0"/>
              </a:moveTo>
              <a:lnTo>
                <a:pt x="0" y="1643684"/>
              </a:lnTo>
              <a:lnTo>
                <a:pt x="131145" y="1643684"/>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A8958B2-10F2-49E3-9F94-C826CA7B012D}">
      <dsp:nvSpPr>
        <dsp:cNvPr id="0" name=""/>
        <dsp:cNvSpPr/>
      </dsp:nvSpPr>
      <dsp:spPr>
        <a:xfrm>
          <a:off x="4250637" y="1058834"/>
          <a:ext cx="131145" cy="1022931"/>
        </a:xfrm>
        <a:custGeom>
          <a:avLst/>
          <a:gdLst/>
          <a:ahLst/>
          <a:cxnLst/>
          <a:rect l="0" t="0" r="0" b="0"/>
          <a:pathLst>
            <a:path>
              <a:moveTo>
                <a:pt x="0" y="0"/>
              </a:moveTo>
              <a:lnTo>
                <a:pt x="0" y="1022931"/>
              </a:lnTo>
              <a:lnTo>
                <a:pt x="131145" y="1022931"/>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66965DE-FD53-4B89-B61D-56F93C6B65A1}">
      <dsp:nvSpPr>
        <dsp:cNvPr id="0" name=""/>
        <dsp:cNvSpPr/>
      </dsp:nvSpPr>
      <dsp:spPr>
        <a:xfrm>
          <a:off x="4250637" y="1058834"/>
          <a:ext cx="131145" cy="402178"/>
        </a:xfrm>
        <a:custGeom>
          <a:avLst/>
          <a:gdLst/>
          <a:ahLst/>
          <a:cxnLst/>
          <a:rect l="0" t="0" r="0" b="0"/>
          <a:pathLst>
            <a:path>
              <a:moveTo>
                <a:pt x="0" y="0"/>
              </a:moveTo>
              <a:lnTo>
                <a:pt x="0" y="402178"/>
              </a:lnTo>
              <a:lnTo>
                <a:pt x="131145" y="40217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A02B6BA-3270-47ED-9ED7-05F949F8C5A2}">
      <dsp:nvSpPr>
        <dsp:cNvPr id="0" name=""/>
        <dsp:cNvSpPr/>
      </dsp:nvSpPr>
      <dsp:spPr>
        <a:xfrm>
          <a:off x="4600357" y="438080"/>
          <a:ext cx="1586855" cy="183603"/>
        </a:xfrm>
        <a:custGeom>
          <a:avLst/>
          <a:gdLst/>
          <a:ahLst/>
          <a:cxnLst/>
          <a:rect l="0" t="0" r="0" b="0"/>
          <a:pathLst>
            <a:path>
              <a:moveTo>
                <a:pt x="1586855" y="0"/>
              </a:moveTo>
              <a:lnTo>
                <a:pt x="1586855" y="91801"/>
              </a:lnTo>
              <a:lnTo>
                <a:pt x="0" y="91801"/>
              </a:lnTo>
              <a:lnTo>
                <a:pt x="0" y="183603"/>
              </a:lnTo>
            </a:path>
          </a:pathLst>
        </a:custGeom>
        <a:noFill/>
        <a:ln w="19050" cap="flat" cmpd="sng" algn="ctr">
          <a:solidFill>
            <a:schemeClr val="dk2">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A3E5C0-CE0B-4842-80AD-EFAA9964CA72}">
      <dsp:nvSpPr>
        <dsp:cNvPr id="0" name=""/>
        <dsp:cNvSpPr/>
      </dsp:nvSpPr>
      <dsp:spPr>
        <a:xfrm>
          <a:off x="3192734" y="1058834"/>
          <a:ext cx="131145" cy="2885191"/>
        </a:xfrm>
        <a:custGeom>
          <a:avLst/>
          <a:gdLst/>
          <a:ahLst/>
          <a:cxnLst/>
          <a:rect l="0" t="0" r="0" b="0"/>
          <a:pathLst>
            <a:path>
              <a:moveTo>
                <a:pt x="0" y="0"/>
              </a:moveTo>
              <a:lnTo>
                <a:pt x="0" y="2885191"/>
              </a:lnTo>
              <a:lnTo>
                <a:pt x="131145" y="2885191"/>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6383242-D765-4539-B43C-27776DAD5E16}">
      <dsp:nvSpPr>
        <dsp:cNvPr id="0" name=""/>
        <dsp:cNvSpPr/>
      </dsp:nvSpPr>
      <dsp:spPr>
        <a:xfrm>
          <a:off x="3192734" y="1058834"/>
          <a:ext cx="131145" cy="2264438"/>
        </a:xfrm>
        <a:custGeom>
          <a:avLst/>
          <a:gdLst/>
          <a:ahLst/>
          <a:cxnLst/>
          <a:rect l="0" t="0" r="0" b="0"/>
          <a:pathLst>
            <a:path>
              <a:moveTo>
                <a:pt x="0" y="0"/>
              </a:moveTo>
              <a:lnTo>
                <a:pt x="0" y="2264438"/>
              </a:lnTo>
              <a:lnTo>
                <a:pt x="131145" y="226443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32CD2A3-C9A7-47EE-8003-E4557C7F7F56}">
      <dsp:nvSpPr>
        <dsp:cNvPr id="0" name=""/>
        <dsp:cNvSpPr/>
      </dsp:nvSpPr>
      <dsp:spPr>
        <a:xfrm>
          <a:off x="3192734" y="1058834"/>
          <a:ext cx="131145" cy="1643684"/>
        </a:xfrm>
        <a:custGeom>
          <a:avLst/>
          <a:gdLst/>
          <a:ahLst/>
          <a:cxnLst/>
          <a:rect l="0" t="0" r="0" b="0"/>
          <a:pathLst>
            <a:path>
              <a:moveTo>
                <a:pt x="0" y="0"/>
              </a:moveTo>
              <a:lnTo>
                <a:pt x="0" y="1643684"/>
              </a:lnTo>
              <a:lnTo>
                <a:pt x="131145" y="1643684"/>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D330CE-FE5B-49AC-834A-7423445371AA}">
      <dsp:nvSpPr>
        <dsp:cNvPr id="0" name=""/>
        <dsp:cNvSpPr/>
      </dsp:nvSpPr>
      <dsp:spPr>
        <a:xfrm>
          <a:off x="3192734" y="1058834"/>
          <a:ext cx="131145" cy="1022931"/>
        </a:xfrm>
        <a:custGeom>
          <a:avLst/>
          <a:gdLst/>
          <a:ahLst/>
          <a:cxnLst/>
          <a:rect l="0" t="0" r="0" b="0"/>
          <a:pathLst>
            <a:path>
              <a:moveTo>
                <a:pt x="0" y="0"/>
              </a:moveTo>
              <a:lnTo>
                <a:pt x="0" y="1022931"/>
              </a:lnTo>
              <a:lnTo>
                <a:pt x="131145" y="1022931"/>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933206-E4A8-448F-B685-FC24EFC47C40}">
      <dsp:nvSpPr>
        <dsp:cNvPr id="0" name=""/>
        <dsp:cNvSpPr/>
      </dsp:nvSpPr>
      <dsp:spPr>
        <a:xfrm>
          <a:off x="3192734" y="1058834"/>
          <a:ext cx="131145" cy="402178"/>
        </a:xfrm>
        <a:custGeom>
          <a:avLst/>
          <a:gdLst/>
          <a:ahLst/>
          <a:cxnLst/>
          <a:rect l="0" t="0" r="0" b="0"/>
          <a:pathLst>
            <a:path>
              <a:moveTo>
                <a:pt x="0" y="0"/>
              </a:moveTo>
              <a:lnTo>
                <a:pt x="0" y="402178"/>
              </a:lnTo>
              <a:lnTo>
                <a:pt x="131145" y="402178"/>
              </a:lnTo>
            </a:path>
          </a:pathLst>
        </a:custGeom>
        <a:noFill/>
        <a:ln w="19050" cap="flat" cmpd="sng" algn="ctr">
          <a:solidFill>
            <a:schemeClr val="dk2">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299F963-3C16-4666-BB9E-125D9BB871DD}">
      <dsp:nvSpPr>
        <dsp:cNvPr id="0" name=""/>
        <dsp:cNvSpPr/>
      </dsp:nvSpPr>
      <dsp:spPr>
        <a:xfrm>
          <a:off x="3542454" y="438080"/>
          <a:ext cx="2644759" cy="183603"/>
        </a:xfrm>
        <a:custGeom>
          <a:avLst/>
          <a:gdLst/>
          <a:ahLst/>
          <a:cxnLst/>
          <a:rect l="0" t="0" r="0" b="0"/>
          <a:pathLst>
            <a:path>
              <a:moveTo>
                <a:pt x="2644759" y="0"/>
              </a:moveTo>
              <a:lnTo>
                <a:pt x="2644759" y="91801"/>
              </a:lnTo>
              <a:lnTo>
                <a:pt x="0" y="91801"/>
              </a:lnTo>
              <a:lnTo>
                <a:pt x="0" y="183603"/>
              </a:lnTo>
            </a:path>
          </a:pathLst>
        </a:custGeom>
        <a:noFill/>
        <a:ln w="19050" cap="flat" cmpd="sng" algn="ctr">
          <a:solidFill>
            <a:schemeClr val="dk2">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AB36BBD-235C-442D-88EC-CE24B04E3B37}">
      <dsp:nvSpPr>
        <dsp:cNvPr id="0" name=""/>
        <dsp:cNvSpPr/>
      </dsp:nvSpPr>
      <dsp:spPr>
        <a:xfrm>
          <a:off x="5750063" y="930"/>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CEO</a:t>
          </a:r>
        </a:p>
      </dsp:txBody>
      <dsp:txXfrm>
        <a:off x="5750063" y="930"/>
        <a:ext cx="874300" cy="437150"/>
      </dsp:txXfrm>
    </dsp:sp>
    <dsp:sp modelId="{4289ED10-D532-4CBB-90F7-576D89D8AEA4}">
      <dsp:nvSpPr>
        <dsp:cNvPr id="0" name=""/>
        <dsp:cNvSpPr/>
      </dsp:nvSpPr>
      <dsp:spPr>
        <a:xfrm>
          <a:off x="3105304" y="621683"/>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Chief Scientific Officer</a:t>
          </a:r>
        </a:p>
      </dsp:txBody>
      <dsp:txXfrm>
        <a:off x="3105304" y="621683"/>
        <a:ext cx="874300" cy="437150"/>
      </dsp:txXfrm>
    </dsp:sp>
    <dsp:sp modelId="{E5829E68-5D8B-458A-92E8-7848830E459E}">
      <dsp:nvSpPr>
        <dsp:cNvPr id="0" name=""/>
        <dsp:cNvSpPr/>
      </dsp:nvSpPr>
      <dsp:spPr>
        <a:xfrm>
          <a:off x="3323879" y="124243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Discovery Lead</a:t>
          </a:r>
        </a:p>
      </dsp:txBody>
      <dsp:txXfrm>
        <a:off x="3323879" y="1242437"/>
        <a:ext cx="874300" cy="437150"/>
      </dsp:txXfrm>
    </dsp:sp>
    <dsp:sp modelId="{4966AC99-89C7-4FAE-B9FA-CA929B1A782F}">
      <dsp:nvSpPr>
        <dsp:cNvPr id="0" name=""/>
        <dsp:cNvSpPr/>
      </dsp:nvSpPr>
      <dsp:spPr>
        <a:xfrm>
          <a:off x="3323879" y="1863190"/>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Preclinical lead</a:t>
          </a:r>
        </a:p>
      </dsp:txBody>
      <dsp:txXfrm>
        <a:off x="3323879" y="1863190"/>
        <a:ext cx="874300" cy="437150"/>
      </dsp:txXfrm>
    </dsp:sp>
    <dsp:sp modelId="{3B12B1D4-729B-4F0C-A3CF-07AB9C27949E}">
      <dsp:nvSpPr>
        <dsp:cNvPr id="0" name=""/>
        <dsp:cNvSpPr/>
      </dsp:nvSpPr>
      <dsp:spPr>
        <a:xfrm>
          <a:off x="3323879" y="2483943"/>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Bioinformatics Lead</a:t>
          </a:r>
        </a:p>
      </dsp:txBody>
      <dsp:txXfrm>
        <a:off x="3323879" y="2483943"/>
        <a:ext cx="874300" cy="437150"/>
      </dsp:txXfrm>
    </dsp:sp>
    <dsp:sp modelId="{F0927E3E-95EF-4322-BD0D-17469DF445C5}">
      <dsp:nvSpPr>
        <dsp:cNvPr id="0" name=""/>
        <dsp:cNvSpPr/>
      </dsp:nvSpPr>
      <dsp:spPr>
        <a:xfrm>
          <a:off x="3323879" y="310469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Translational Lead</a:t>
          </a:r>
        </a:p>
      </dsp:txBody>
      <dsp:txXfrm>
        <a:off x="3323879" y="3104697"/>
        <a:ext cx="874300" cy="437150"/>
      </dsp:txXfrm>
    </dsp:sp>
    <dsp:sp modelId="{403DC6E8-F467-489B-B770-8AA6E50D19C7}">
      <dsp:nvSpPr>
        <dsp:cNvPr id="0" name=""/>
        <dsp:cNvSpPr/>
      </dsp:nvSpPr>
      <dsp:spPr>
        <a:xfrm>
          <a:off x="3323879" y="3725450"/>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Clinical Science Lead</a:t>
          </a:r>
        </a:p>
      </dsp:txBody>
      <dsp:txXfrm>
        <a:off x="3323879" y="3725450"/>
        <a:ext cx="874300" cy="437150"/>
      </dsp:txXfrm>
    </dsp:sp>
    <dsp:sp modelId="{389115BD-94B0-46F8-849E-CCCC34BFCBA4}">
      <dsp:nvSpPr>
        <dsp:cNvPr id="0" name=""/>
        <dsp:cNvSpPr/>
      </dsp:nvSpPr>
      <dsp:spPr>
        <a:xfrm>
          <a:off x="4163207" y="621683"/>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Chief Technology Officer</a:t>
          </a:r>
        </a:p>
      </dsp:txBody>
      <dsp:txXfrm>
        <a:off x="4163207" y="621683"/>
        <a:ext cx="874300" cy="437150"/>
      </dsp:txXfrm>
    </dsp:sp>
    <dsp:sp modelId="{927D676A-C170-4F7A-8A1C-3A9CB81BD3E7}">
      <dsp:nvSpPr>
        <dsp:cNvPr id="0" name=""/>
        <dsp:cNvSpPr/>
      </dsp:nvSpPr>
      <dsp:spPr>
        <a:xfrm>
          <a:off x="4381782" y="124243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Process Dev &amp; MSAT Lead</a:t>
          </a:r>
        </a:p>
      </dsp:txBody>
      <dsp:txXfrm>
        <a:off x="4381782" y="1242437"/>
        <a:ext cx="874300" cy="437150"/>
      </dsp:txXfrm>
    </dsp:sp>
    <dsp:sp modelId="{6C723801-F8A2-4673-BF7C-D12FF21BC78A}">
      <dsp:nvSpPr>
        <dsp:cNvPr id="0" name=""/>
        <dsp:cNvSpPr/>
      </dsp:nvSpPr>
      <dsp:spPr>
        <a:xfrm>
          <a:off x="4381782" y="1863190"/>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Analytical Lead</a:t>
          </a:r>
        </a:p>
      </dsp:txBody>
      <dsp:txXfrm>
        <a:off x="4381782" y="1863190"/>
        <a:ext cx="874300" cy="437150"/>
      </dsp:txXfrm>
    </dsp:sp>
    <dsp:sp modelId="{8538DAE9-701E-4C27-B752-B5C145935897}">
      <dsp:nvSpPr>
        <dsp:cNvPr id="0" name=""/>
        <dsp:cNvSpPr/>
      </dsp:nvSpPr>
      <dsp:spPr>
        <a:xfrm>
          <a:off x="4381782" y="2483943"/>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QC Lead</a:t>
          </a:r>
        </a:p>
      </dsp:txBody>
      <dsp:txXfrm>
        <a:off x="4381782" y="2483943"/>
        <a:ext cx="874300" cy="437150"/>
      </dsp:txXfrm>
    </dsp:sp>
    <dsp:sp modelId="{8111E419-CABB-4497-8DDC-2205B080A7E4}">
      <dsp:nvSpPr>
        <dsp:cNvPr id="0" name=""/>
        <dsp:cNvSpPr/>
      </dsp:nvSpPr>
      <dsp:spPr>
        <a:xfrm>
          <a:off x="4381782" y="310469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Mfg  Lead</a:t>
          </a:r>
        </a:p>
      </dsp:txBody>
      <dsp:txXfrm>
        <a:off x="4381782" y="3104697"/>
        <a:ext cx="874300" cy="437150"/>
      </dsp:txXfrm>
    </dsp:sp>
    <dsp:sp modelId="{3AE11E72-8AA3-48FC-B896-4DBFEE6BED94}">
      <dsp:nvSpPr>
        <dsp:cNvPr id="0" name=""/>
        <dsp:cNvSpPr/>
      </dsp:nvSpPr>
      <dsp:spPr>
        <a:xfrm>
          <a:off x="4381782" y="3725450"/>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Formulation Lead</a:t>
          </a:r>
        </a:p>
      </dsp:txBody>
      <dsp:txXfrm>
        <a:off x="4381782" y="3725450"/>
        <a:ext cx="874300" cy="437150"/>
      </dsp:txXfrm>
    </dsp:sp>
    <dsp:sp modelId="{B9610464-9D06-4F22-AB2F-718925F91850}">
      <dsp:nvSpPr>
        <dsp:cNvPr id="0" name=""/>
        <dsp:cNvSpPr/>
      </dsp:nvSpPr>
      <dsp:spPr>
        <a:xfrm>
          <a:off x="4381782" y="4346204"/>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Supply Chain Lead</a:t>
          </a:r>
        </a:p>
      </dsp:txBody>
      <dsp:txXfrm>
        <a:off x="4381782" y="4346204"/>
        <a:ext cx="874300" cy="437150"/>
      </dsp:txXfrm>
    </dsp:sp>
    <dsp:sp modelId="{1CEC0B8E-4B5A-462C-8E2D-ED30AA6EC29F}">
      <dsp:nvSpPr>
        <dsp:cNvPr id="0" name=""/>
        <dsp:cNvSpPr/>
      </dsp:nvSpPr>
      <dsp:spPr>
        <a:xfrm>
          <a:off x="5221111" y="621683"/>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Chief Medical Officer</a:t>
          </a:r>
        </a:p>
      </dsp:txBody>
      <dsp:txXfrm>
        <a:off x="5221111" y="621683"/>
        <a:ext cx="874300" cy="437150"/>
      </dsp:txXfrm>
    </dsp:sp>
    <dsp:sp modelId="{35C706A5-ECE5-4267-AC1E-EE9B957827DA}">
      <dsp:nvSpPr>
        <dsp:cNvPr id="0" name=""/>
        <dsp:cNvSpPr/>
      </dsp:nvSpPr>
      <dsp:spPr>
        <a:xfrm>
          <a:off x="5439686" y="124243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Clinical Development</a:t>
          </a:r>
        </a:p>
      </dsp:txBody>
      <dsp:txXfrm>
        <a:off x="5439686" y="1242437"/>
        <a:ext cx="874300" cy="437150"/>
      </dsp:txXfrm>
    </dsp:sp>
    <dsp:sp modelId="{AB1A889F-4494-4CDA-90B5-8980182CC989}">
      <dsp:nvSpPr>
        <dsp:cNvPr id="0" name=""/>
        <dsp:cNvSpPr/>
      </dsp:nvSpPr>
      <dsp:spPr>
        <a:xfrm>
          <a:off x="5439686" y="1863190"/>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PV &amp; Drug Safety</a:t>
          </a:r>
        </a:p>
      </dsp:txBody>
      <dsp:txXfrm>
        <a:off x="5439686" y="1863190"/>
        <a:ext cx="874300" cy="437150"/>
      </dsp:txXfrm>
    </dsp:sp>
    <dsp:sp modelId="{180DC21C-9F7B-4EBF-9AB7-42A63E9BD9FD}">
      <dsp:nvSpPr>
        <dsp:cNvPr id="0" name=""/>
        <dsp:cNvSpPr/>
      </dsp:nvSpPr>
      <dsp:spPr>
        <a:xfrm>
          <a:off x="5439686" y="2483943"/>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Medical Writing</a:t>
          </a:r>
        </a:p>
      </dsp:txBody>
      <dsp:txXfrm>
        <a:off x="5439686" y="2483943"/>
        <a:ext cx="874300" cy="437150"/>
      </dsp:txXfrm>
    </dsp:sp>
    <dsp:sp modelId="{2C47E363-E35F-4FB2-93D0-10631FE25DF1}">
      <dsp:nvSpPr>
        <dsp:cNvPr id="0" name=""/>
        <dsp:cNvSpPr/>
      </dsp:nvSpPr>
      <dsp:spPr>
        <a:xfrm>
          <a:off x="5439686" y="310469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Medical Affairs</a:t>
          </a:r>
        </a:p>
      </dsp:txBody>
      <dsp:txXfrm>
        <a:off x="5439686" y="3104697"/>
        <a:ext cx="874300" cy="437150"/>
      </dsp:txXfrm>
    </dsp:sp>
    <dsp:sp modelId="{575FF7DE-3820-47E8-A173-200E60CD7846}">
      <dsp:nvSpPr>
        <dsp:cNvPr id="0" name=""/>
        <dsp:cNvSpPr/>
      </dsp:nvSpPr>
      <dsp:spPr>
        <a:xfrm>
          <a:off x="5439686" y="3725450"/>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Regulatory Lead</a:t>
          </a:r>
        </a:p>
      </dsp:txBody>
      <dsp:txXfrm>
        <a:off x="5439686" y="3725450"/>
        <a:ext cx="874300" cy="437150"/>
      </dsp:txXfrm>
    </dsp:sp>
    <dsp:sp modelId="{68DE9AA1-46DE-4DA1-B25A-A2BEB3C531C4}">
      <dsp:nvSpPr>
        <dsp:cNvPr id="0" name=""/>
        <dsp:cNvSpPr/>
      </dsp:nvSpPr>
      <dsp:spPr>
        <a:xfrm>
          <a:off x="5439686" y="4346204"/>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Clin Ops Lead</a:t>
          </a:r>
        </a:p>
      </dsp:txBody>
      <dsp:txXfrm>
        <a:off x="5439686" y="4346204"/>
        <a:ext cx="874300" cy="437150"/>
      </dsp:txXfrm>
    </dsp:sp>
    <dsp:sp modelId="{CC0C9599-CE33-40C8-A22C-C745D51D761B}">
      <dsp:nvSpPr>
        <dsp:cNvPr id="0" name=""/>
        <dsp:cNvSpPr/>
      </dsp:nvSpPr>
      <dsp:spPr>
        <a:xfrm>
          <a:off x="5439686" y="496695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Biometrics Lead</a:t>
          </a:r>
        </a:p>
      </dsp:txBody>
      <dsp:txXfrm>
        <a:off x="5439686" y="4966957"/>
        <a:ext cx="874300" cy="437150"/>
      </dsp:txXfrm>
    </dsp:sp>
    <dsp:sp modelId="{1D6441FD-0992-4589-B4F5-84BB329409A8}">
      <dsp:nvSpPr>
        <dsp:cNvPr id="0" name=""/>
        <dsp:cNvSpPr/>
      </dsp:nvSpPr>
      <dsp:spPr>
        <a:xfrm>
          <a:off x="5439686" y="5587710"/>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Quality Assurance Lead</a:t>
          </a:r>
        </a:p>
      </dsp:txBody>
      <dsp:txXfrm>
        <a:off x="5439686" y="5587710"/>
        <a:ext cx="874300" cy="437150"/>
      </dsp:txXfrm>
    </dsp:sp>
    <dsp:sp modelId="{BC749CF6-3604-41E4-B6CD-382D32257F0C}">
      <dsp:nvSpPr>
        <dsp:cNvPr id="0" name=""/>
        <dsp:cNvSpPr/>
      </dsp:nvSpPr>
      <dsp:spPr>
        <a:xfrm>
          <a:off x="5439686" y="6208464"/>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Program&amp; Alliance Management</a:t>
          </a:r>
        </a:p>
      </dsp:txBody>
      <dsp:txXfrm>
        <a:off x="5439686" y="6208464"/>
        <a:ext cx="874300" cy="437150"/>
      </dsp:txXfrm>
    </dsp:sp>
    <dsp:sp modelId="{1A1ABD2D-D74D-4398-B732-96203E27ADBA}">
      <dsp:nvSpPr>
        <dsp:cNvPr id="0" name=""/>
        <dsp:cNvSpPr/>
      </dsp:nvSpPr>
      <dsp:spPr>
        <a:xfrm>
          <a:off x="6279014" y="621683"/>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Head of Commercial</a:t>
          </a:r>
        </a:p>
      </dsp:txBody>
      <dsp:txXfrm>
        <a:off x="6279014" y="621683"/>
        <a:ext cx="874300" cy="437150"/>
      </dsp:txXfrm>
    </dsp:sp>
    <dsp:sp modelId="{B108941A-7E53-46F8-8BCF-0A255B256CB7}">
      <dsp:nvSpPr>
        <dsp:cNvPr id="0" name=""/>
        <dsp:cNvSpPr/>
      </dsp:nvSpPr>
      <dsp:spPr>
        <a:xfrm>
          <a:off x="6497590" y="124243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HEOR</a:t>
          </a:r>
        </a:p>
      </dsp:txBody>
      <dsp:txXfrm>
        <a:off x="6497590" y="1242437"/>
        <a:ext cx="874300" cy="437150"/>
      </dsp:txXfrm>
    </dsp:sp>
    <dsp:sp modelId="{DE6F8113-9807-4774-ACEF-24F5AA0EEBF3}">
      <dsp:nvSpPr>
        <dsp:cNvPr id="0" name=""/>
        <dsp:cNvSpPr/>
      </dsp:nvSpPr>
      <dsp:spPr>
        <a:xfrm>
          <a:off x="6497590" y="1863190"/>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Commercial Ops</a:t>
          </a:r>
        </a:p>
      </dsp:txBody>
      <dsp:txXfrm>
        <a:off x="6497590" y="1863190"/>
        <a:ext cx="874300" cy="437150"/>
      </dsp:txXfrm>
    </dsp:sp>
    <dsp:sp modelId="{A89325FC-B92D-4BAC-9B6C-B1136EC8FC4F}">
      <dsp:nvSpPr>
        <dsp:cNvPr id="0" name=""/>
        <dsp:cNvSpPr/>
      </dsp:nvSpPr>
      <dsp:spPr>
        <a:xfrm>
          <a:off x="6497590" y="2483943"/>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Sales</a:t>
          </a:r>
        </a:p>
      </dsp:txBody>
      <dsp:txXfrm>
        <a:off x="6497590" y="2483943"/>
        <a:ext cx="874300" cy="437150"/>
      </dsp:txXfrm>
    </dsp:sp>
    <dsp:sp modelId="{4A58AED8-1E5D-44B2-A060-A3F8BDA8CD20}">
      <dsp:nvSpPr>
        <dsp:cNvPr id="0" name=""/>
        <dsp:cNvSpPr/>
      </dsp:nvSpPr>
      <dsp:spPr>
        <a:xfrm>
          <a:off x="6497590" y="310469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Marketing</a:t>
          </a:r>
        </a:p>
      </dsp:txBody>
      <dsp:txXfrm>
        <a:off x="6497590" y="3104697"/>
        <a:ext cx="874300" cy="437150"/>
      </dsp:txXfrm>
    </dsp:sp>
    <dsp:sp modelId="{16E63AC0-9876-486D-8DE1-7483FE3B4FF4}">
      <dsp:nvSpPr>
        <dsp:cNvPr id="0" name=""/>
        <dsp:cNvSpPr/>
      </dsp:nvSpPr>
      <dsp:spPr>
        <a:xfrm>
          <a:off x="7336918" y="621683"/>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Chief People Officer</a:t>
          </a:r>
        </a:p>
      </dsp:txBody>
      <dsp:txXfrm>
        <a:off x="7336918" y="621683"/>
        <a:ext cx="874300" cy="437150"/>
      </dsp:txXfrm>
    </dsp:sp>
    <dsp:sp modelId="{BC658298-E3E6-4FD4-A9C8-55840589A9E3}">
      <dsp:nvSpPr>
        <dsp:cNvPr id="0" name=""/>
        <dsp:cNvSpPr/>
      </dsp:nvSpPr>
      <dsp:spPr>
        <a:xfrm>
          <a:off x="7555493" y="124243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Head of Talent</a:t>
          </a:r>
        </a:p>
      </dsp:txBody>
      <dsp:txXfrm>
        <a:off x="7555493" y="1242437"/>
        <a:ext cx="874300" cy="437150"/>
      </dsp:txXfrm>
    </dsp:sp>
    <dsp:sp modelId="{3BB2151E-A3AF-4FEB-993A-C66D8995922F}">
      <dsp:nvSpPr>
        <dsp:cNvPr id="0" name=""/>
        <dsp:cNvSpPr/>
      </dsp:nvSpPr>
      <dsp:spPr>
        <a:xfrm>
          <a:off x="7555493" y="1863190"/>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Head of Human Resources </a:t>
          </a:r>
        </a:p>
      </dsp:txBody>
      <dsp:txXfrm>
        <a:off x="7555493" y="1863190"/>
        <a:ext cx="874300" cy="437150"/>
      </dsp:txXfrm>
    </dsp:sp>
    <dsp:sp modelId="{094B9F1E-449C-4914-A511-A3E20874152B}">
      <dsp:nvSpPr>
        <dsp:cNvPr id="0" name=""/>
        <dsp:cNvSpPr/>
      </dsp:nvSpPr>
      <dsp:spPr>
        <a:xfrm>
          <a:off x="7555493" y="2483943"/>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Head of Operational Excellence </a:t>
          </a:r>
        </a:p>
      </dsp:txBody>
      <dsp:txXfrm>
        <a:off x="7555493" y="2483943"/>
        <a:ext cx="874300" cy="437150"/>
      </dsp:txXfrm>
    </dsp:sp>
    <dsp:sp modelId="{1AA56AC2-D12A-416C-BF86-EE1A5AAE9322}">
      <dsp:nvSpPr>
        <dsp:cNvPr id="0" name=""/>
        <dsp:cNvSpPr/>
      </dsp:nvSpPr>
      <dsp:spPr>
        <a:xfrm>
          <a:off x="7555493" y="310469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Head of Technology &amp; Infrastructure</a:t>
          </a:r>
        </a:p>
      </dsp:txBody>
      <dsp:txXfrm>
        <a:off x="7555493" y="3104697"/>
        <a:ext cx="874300" cy="437150"/>
      </dsp:txXfrm>
    </dsp:sp>
    <dsp:sp modelId="{BD05DB09-F367-4DD0-B867-ED53300CEBA3}">
      <dsp:nvSpPr>
        <dsp:cNvPr id="0" name=""/>
        <dsp:cNvSpPr/>
      </dsp:nvSpPr>
      <dsp:spPr>
        <a:xfrm>
          <a:off x="8394822" y="621683"/>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Chief Business Officer</a:t>
          </a:r>
        </a:p>
      </dsp:txBody>
      <dsp:txXfrm>
        <a:off x="8394822" y="621683"/>
        <a:ext cx="874300" cy="437150"/>
      </dsp:txXfrm>
    </dsp:sp>
    <dsp:sp modelId="{0A39DB86-8D91-4B29-AEAE-64783F7F2497}">
      <dsp:nvSpPr>
        <dsp:cNvPr id="0" name=""/>
        <dsp:cNvSpPr/>
      </dsp:nvSpPr>
      <dsp:spPr>
        <a:xfrm>
          <a:off x="8613397" y="124243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Head of FP&amp;A</a:t>
          </a:r>
        </a:p>
      </dsp:txBody>
      <dsp:txXfrm>
        <a:off x="8613397" y="1242437"/>
        <a:ext cx="874300" cy="437150"/>
      </dsp:txXfrm>
    </dsp:sp>
    <dsp:sp modelId="{8107A7A6-E98E-4034-81ED-255AFFCF34A8}">
      <dsp:nvSpPr>
        <dsp:cNvPr id="0" name=""/>
        <dsp:cNvSpPr/>
      </dsp:nvSpPr>
      <dsp:spPr>
        <a:xfrm>
          <a:off x="8613397" y="1863190"/>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Head of Payroll &amp; Compensation</a:t>
          </a:r>
        </a:p>
      </dsp:txBody>
      <dsp:txXfrm>
        <a:off x="8613397" y="1863190"/>
        <a:ext cx="874300" cy="437150"/>
      </dsp:txXfrm>
    </dsp:sp>
    <dsp:sp modelId="{C67DDF91-A1A6-4148-AC2E-ADE238D988A5}">
      <dsp:nvSpPr>
        <dsp:cNvPr id="0" name=""/>
        <dsp:cNvSpPr/>
      </dsp:nvSpPr>
      <dsp:spPr>
        <a:xfrm>
          <a:off x="8613397" y="2483943"/>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Head of Investor Relations</a:t>
          </a:r>
        </a:p>
      </dsp:txBody>
      <dsp:txXfrm>
        <a:off x="8613397" y="2483943"/>
        <a:ext cx="874300" cy="437150"/>
      </dsp:txXfrm>
    </dsp:sp>
    <dsp:sp modelId="{9B8FCAAF-C899-4E91-A43A-2792529FE583}">
      <dsp:nvSpPr>
        <dsp:cNvPr id="0" name=""/>
        <dsp:cNvSpPr/>
      </dsp:nvSpPr>
      <dsp:spPr>
        <a:xfrm>
          <a:off x="8613397" y="3104697"/>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General Counsel</a:t>
          </a:r>
        </a:p>
      </dsp:txBody>
      <dsp:txXfrm>
        <a:off x="8613397" y="3104697"/>
        <a:ext cx="874300" cy="437150"/>
      </dsp:txXfrm>
    </dsp:sp>
    <dsp:sp modelId="{33D162A6-8742-4FE5-83D7-BF93A0F46865}">
      <dsp:nvSpPr>
        <dsp:cNvPr id="0" name=""/>
        <dsp:cNvSpPr/>
      </dsp:nvSpPr>
      <dsp:spPr>
        <a:xfrm>
          <a:off x="8613397" y="3725450"/>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Head of Search &amp; Evaluation</a:t>
          </a:r>
        </a:p>
      </dsp:txBody>
      <dsp:txXfrm>
        <a:off x="8613397" y="3725450"/>
        <a:ext cx="874300" cy="437150"/>
      </dsp:txXfrm>
    </dsp:sp>
    <dsp:sp modelId="{E910B8D5-5D26-4841-9F41-CD804D9DBFC6}">
      <dsp:nvSpPr>
        <dsp:cNvPr id="0" name=""/>
        <dsp:cNvSpPr/>
      </dsp:nvSpPr>
      <dsp:spPr>
        <a:xfrm>
          <a:off x="8613397" y="4346204"/>
          <a:ext cx="874300" cy="437150"/>
        </a:xfrm>
        <a:prstGeom prst="rect">
          <a:avLst/>
        </a:prstGeom>
        <a:solidFill>
          <a:schemeClr val="dk2">
            <a:hueOff val="0"/>
            <a:satOff val="0"/>
            <a:lumOff val="0"/>
            <a:alphaOff val="0"/>
          </a:schemeClr>
        </a:solidFill>
        <a:ln w="19050" cap="flat" cmpd="sng" algn="ctr">
          <a:solidFill>
            <a:schemeClr val="l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a:t>Head of Business Development</a:t>
          </a:r>
        </a:p>
      </dsp:txBody>
      <dsp:txXfrm>
        <a:off x="8613397" y="4346204"/>
        <a:ext cx="874300" cy="437150"/>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editAs="oneCell">
    <xdr:from>
      <xdr:col>4</xdr:col>
      <xdr:colOff>119062</xdr:colOff>
      <xdr:row>4</xdr:row>
      <xdr:rowOff>171449</xdr:rowOff>
    </xdr:from>
    <xdr:to>
      <xdr:col>13</xdr:col>
      <xdr:colOff>562275</xdr:colOff>
      <xdr:row>23</xdr:row>
      <xdr:rowOff>172193</xdr:rowOff>
    </xdr:to>
    <xdr:pic>
      <xdr:nvPicPr>
        <xdr:cNvPr id="2" name="Picture 1">
          <a:extLst>
            <a:ext uri="{FF2B5EF4-FFF2-40B4-BE49-F238E27FC236}">
              <a16:creationId xmlns:a16="http://schemas.microsoft.com/office/drawing/2014/main" id="{8051D658-531A-31C2-F6B0-A9B3FCBD105A}"/>
            </a:ext>
          </a:extLst>
        </xdr:cNvPr>
        <xdr:cNvPicPr>
          <a:picLocks noChangeAspect="1"/>
        </xdr:cNvPicPr>
      </xdr:nvPicPr>
      <xdr:blipFill>
        <a:blip xmlns:r="http://schemas.openxmlformats.org/officeDocument/2006/relationships" r:embed="rId1"/>
        <a:stretch>
          <a:fillRect/>
        </a:stretch>
      </xdr:blipFill>
      <xdr:spPr>
        <a:xfrm>
          <a:off x="7739062" y="895349"/>
          <a:ext cx="6272513" cy="34916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28575</xdr:rowOff>
    </xdr:from>
    <xdr:to>
      <xdr:col>19</xdr:col>
      <xdr:colOff>286702</xdr:colOff>
      <xdr:row>38</xdr:row>
      <xdr:rowOff>160020</xdr:rowOff>
    </xdr:to>
    <xdr:graphicFrame macro="">
      <xdr:nvGraphicFramePr>
        <xdr:cNvPr id="98" name="Diagram 97">
          <a:extLst>
            <a:ext uri="{FF2B5EF4-FFF2-40B4-BE49-F238E27FC236}">
              <a16:creationId xmlns:a16="http://schemas.microsoft.com/office/drawing/2014/main" id="{F657FF97-2B05-4106-A92D-7533F10B236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704EA7-EF59-4692-80CF-771094D488E7}" name="Table9" displayName="Table9" ref="A1:H31" totalsRowShown="0" dataDxfId="8">
  <autoFilter ref="A1:H31" xr:uid="{318A0201-39D4-492F-BE86-848EC91C9431}"/>
  <sortState xmlns:xlrd2="http://schemas.microsoft.com/office/spreadsheetml/2017/richdata2" ref="A2:H29">
    <sortCondition descending="1" ref="G1:G29"/>
  </sortState>
  <tableColumns count="8">
    <tableColumn id="1" xr3:uid="{1B87B39B-9B47-44F1-8A7A-5811A11E6E86}" name="CLIENT" dataDxfId="7"/>
    <tableColumn id="2" xr3:uid="{DFD5017E-E27C-4B8B-8112-A0567E7BAE31}" name="SAM $" dataDxfId="6"/>
    <tableColumn id="3" xr3:uid="{EA8329DC-4495-4C5E-8DD8-ABB949E836B4}" name="SAM SCORE" dataDxfId="5"/>
    <tableColumn id="4" xr3:uid="{EEE8A2E9-8B21-49D7-A54C-7F0D0C1D2C12}" name="CONFIDENCE" dataDxfId="4"/>
    <tableColumn id="5" xr3:uid="{CE10D7D7-550B-4C55-96EF-ADC76E515D98}" name="Confidence Score" dataDxfId="3" dataCellStyle="Percent">
      <calculatedColumnFormula>_xlfn.XLOOKUP(D2,$L$7:$P$7,$L$6:$P$6)</calculatedColumnFormula>
    </tableColumn>
    <tableColumn id="6" xr3:uid="{3309F560-7E7A-46E6-864E-9E8E6D681C0F}" name="EFFORT" dataDxfId="2"/>
    <tableColumn id="7" xr3:uid="{758A2F49-2179-429C-97C4-878AF788C10D}" name="TOTAL" dataDxfId="1">
      <calculatedColumnFormula>SUM(C2*E2/F2)</calculatedColumnFormula>
    </tableColumn>
    <tableColumn id="8" xr3:uid="{871A4785-168A-4421-9E28-F96A22F55360}" name="Score" dataDxfId="0">
      <calculatedColumnFormula>IF(AND(G2&gt;K$18, G2&lt;=L$18), M$18,
 IF(AND(G2&gt;K$19, G2&lt;=L$19), M$19,
 IF(AND(G2&gt;K$20, G2&lt;=L$20), M$20,
 IF(AND(G2&gt;K$21, G2&lt;=L$21), M$21,
 IF(G2&gt;K$22, M$22, "N/A")))))</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5FB2-7F2E-42CC-9417-F70FD6ED8C88}">
  <dimension ref="A1:H41"/>
  <sheetViews>
    <sheetView zoomScale="85" zoomScaleNormal="85" workbookViewId="0">
      <selection activeCell="D4" sqref="D4:D8"/>
    </sheetView>
  </sheetViews>
  <sheetFormatPr defaultRowHeight="14.25"/>
  <cols>
    <col min="1" max="1" width="38.5703125" customWidth="1"/>
    <col min="2" max="2" width="14.28515625" customWidth="1"/>
    <col min="3" max="3" width="14" customWidth="1"/>
    <col min="4" max="4" width="126.5703125" customWidth="1"/>
  </cols>
  <sheetData>
    <row r="1" spans="1:4">
      <c r="A1" t="s">
        <v>0</v>
      </c>
      <c r="D1" s="1"/>
    </row>
    <row r="2" spans="1:4" ht="14.65" thickBot="1">
      <c r="A2" s="51" t="s">
        <v>1</v>
      </c>
      <c r="B2" s="51"/>
      <c r="C2" s="51"/>
    </row>
    <row r="3" spans="1:4" ht="14.65" thickBot="1">
      <c r="A3" s="2" t="s">
        <v>2</v>
      </c>
      <c r="B3" s="3" t="s">
        <v>3</v>
      </c>
      <c r="C3" s="3" t="s">
        <v>4</v>
      </c>
      <c r="D3" s="4" t="s">
        <v>5</v>
      </c>
    </row>
    <row r="4" spans="1:4" ht="87" customHeight="1">
      <c r="A4" s="5" t="s">
        <v>6</v>
      </c>
      <c r="B4" s="6" t="s">
        <v>7</v>
      </c>
      <c r="C4" s="6">
        <v>10</v>
      </c>
      <c r="D4" s="52" t="s">
        <v>8</v>
      </c>
    </row>
    <row r="5" spans="1:4" ht="28.5">
      <c r="A5" s="7" t="s">
        <v>9</v>
      </c>
      <c r="B5" s="8" t="s">
        <v>10</v>
      </c>
      <c r="C5" s="8">
        <v>7</v>
      </c>
      <c r="D5" s="53"/>
    </row>
    <row r="6" spans="1:4">
      <c r="A6" s="7"/>
      <c r="B6" s="8" t="s">
        <v>11</v>
      </c>
      <c r="C6" s="8">
        <v>5</v>
      </c>
      <c r="D6" s="53"/>
    </row>
    <row r="7" spans="1:4">
      <c r="A7" s="7"/>
      <c r="B7" s="8" t="s">
        <v>12</v>
      </c>
      <c r="C7" s="8">
        <v>2</v>
      </c>
      <c r="D7" s="53"/>
    </row>
    <row r="8" spans="1:4" ht="14.65" thickBot="1">
      <c r="A8" s="9"/>
      <c r="B8" s="10" t="s">
        <v>13</v>
      </c>
      <c r="C8" s="10">
        <v>0.5</v>
      </c>
      <c r="D8" s="54"/>
    </row>
    <row r="9" spans="1:4" ht="44.1" customHeight="1">
      <c r="A9" s="5" t="s">
        <v>14</v>
      </c>
      <c r="B9" s="6" t="s">
        <v>10</v>
      </c>
      <c r="C9" s="6">
        <v>3</v>
      </c>
      <c r="D9" s="52" t="s">
        <v>15</v>
      </c>
    </row>
    <row r="10" spans="1:4" ht="28.5">
      <c r="A10" s="7" t="s">
        <v>16</v>
      </c>
      <c r="B10" s="8" t="s">
        <v>11</v>
      </c>
      <c r="C10" s="8">
        <v>1</v>
      </c>
      <c r="D10" s="53"/>
    </row>
    <row r="11" spans="1:4" ht="14.65" thickBot="1">
      <c r="A11" s="9"/>
      <c r="B11" s="10" t="s">
        <v>12</v>
      </c>
      <c r="C11" s="10">
        <v>0.5</v>
      </c>
      <c r="D11" s="54"/>
    </row>
    <row r="12" spans="1:4" ht="89.1" customHeight="1">
      <c r="A12" s="11" t="s">
        <v>17</v>
      </c>
      <c r="B12" s="6" t="s">
        <v>7</v>
      </c>
      <c r="C12" s="6">
        <v>5</v>
      </c>
      <c r="D12" s="52" t="s">
        <v>18</v>
      </c>
    </row>
    <row r="13" spans="1:4">
      <c r="A13" s="11" t="s">
        <v>19</v>
      </c>
      <c r="B13" s="8" t="s">
        <v>10</v>
      </c>
      <c r="C13" s="8">
        <v>4</v>
      </c>
      <c r="D13" s="53"/>
    </row>
    <row r="14" spans="1:4">
      <c r="A14" s="11"/>
      <c r="B14" s="8" t="s">
        <v>11</v>
      </c>
      <c r="C14" s="8">
        <v>3</v>
      </c>
      <c r="D14" s="53"/>
    </row>
    <row r="15" spans="1:4" ht="39.950000000000003" customHeight="1">
      <c r="A15" s="11"/>
      <c r="B15" s="8" t="s">
        <v>12</v>
      </c>
      <c r="C15" s="8">
        <v>2</v>
      </c>
      <c r="D15" s="53"/>
    </row>
    <row r="16" spans="1:4" ht="35.450000000000003" customHeight="1" thickBot="1">
      <c r="A16" s="9"/>
      <c r="B16" s="10" t="s">
        <v>13</v>
      </c>
      <c r="C16" s="10">
        <v>1</v>
      </c>
      <c r="D16" s="54"/>
    </row>
    <row r="17" spans="1:8">
      <c r="D17" s="1"/>
    </row>
    <row r="18" spans="1:8">
      <c r="D18" s="1"/>
      <c r="H18" s="1"/>
    </row>
    <row r="19" spans="1:8">
      <c r="A19" s="51" t="s">
        <v>20</v>
      </c>
      <c r="B19" s="51"/>
      <c r="C19" s="51"/>
      <c r="D19" s="1"/>
    </row>
    <row r="20" spans="1:8" ht="14.65" thickBot="1">
      <c r="A20" s="12" t="s">
        <v>2</v>
      </c>
      <c r="B20" s="12" t="s">
        <v>3</v>
      </c>
      <c r="C20" s="12" t="s">
        <v>4</v>
      </c>
      <c r="D20" s="13" t="s">
        <v>5</v>
      </c>
    </row>
    <row r="21" spans="1:8">
      <c r="A21" s="11" t="s">
        <v>21</v>
      </c>
      <c r="B21" s="6" t="s">
        <v>10</v>
      </c>
      <c r="C21" s="6">
        <v>6</v>
      </c>
      <c r="D21" s="14" t="s">
        <v>22</v>
      </c>
    </row>
    <row r="22" spans="1:8">
      <c r="A22" s="11" t="s">
        <v>19</v>
      </c>
      <c r="B22" s="8" t="s">
        <v>11</v>
      </c>
      <c r="C22" s="8">
        <v>3</v>
      </c>
      <c r="D22" s="15" t="s">
        <v>23</v>
      </c>
    </row>
    <row r="23" spans="1:8" ht="14.65" thickBot="1">
      <c r="A23" s="1" t="s">
        <v>24</v>
      </c>
      <c r="B23" s="8" t="s">
        <v>12</v>
      </c>
      <c r="C23" s="8">
        <v>1</v>
      </c>
      <c r="D23" s="15" t="s">
        <v>25</v>
      </c>
    </row>
    <row r="24" spans="1:8">
      <c r="A24" s="5" t="s">
        <v>26</v>
      </c>
      <c r="B24" s="6" t="s">
        <v>10</v>
      </c>
      <c r="C24" s="6">
        <v>4</v>
      </c>
      <c r="D24" s="16" t="s">
        <v>27</v>
      </c>
    </row>
    <row r="25" spans="1:8">
      <c r="A25" s="11" t="s">
        <v>19</v>
      </c>
      <c r="B25" s="8" t="s">
        <v>11</v>
      </c>
      <c r="C25" s="8">
        <v>2</v>
      </c>
      <c r="D25" s="17" t="s">
        <v>11</v>
      </c>
    </row>
    <row r="26" spans="1:8" ht="43.15" thickBot="1">
      <c r="A26" s="18" t="s">
        <v>28</v>
      </c>
      <c r="B26" s="10" t="s">
        <v>12</v>
      </c>
      <c r="C26" s="10">
        <v>1</v>
      </c>
      <c r="D26" s="19" t="s">
        <v>12</v>
      </c>
    </row>
    <row r="27" spans="1:8">
      <c r="A27" s="5" t="s">
        <v>29</v>
      </c>
      <c r="B27" s="6" t="s">
        <v>10</v>
      </c>
      <c r="C27" s="20">
        <v>1</v>
      </c>
      <c r="D27" s="16" t="s">
        <v>30</v>
      </c>
    </row>
    <row r="28" spans="1:8">
      <c r="A28" s="11" t="s">
        <v>19</v>
      </c>
      <c r="B28" s="8" t="s">
        <v>11</v>
      </c>
      <c r="C28" s="21">
        <v>0.8</v>
      </c>
      <c r="D28" s="17" t="s">
        <v>31</v>
      </c>
    </row>
    <row r="29" spans="1:8" ht="14.65" thickBot="1">
      <c r="A29" s="9" t="s">
        <v>32</v>
      </c>
      <c r="B29" s="10" t="s">
        <v>12</v>
      </c>
      <c r="C29" s="22">
        <v>0.5</v>
      </c>
      <c r="D29" s="19" t="s">
        <v>33</v>
      </c>
    </row>
    <row r="31" spans="1:8">
      <c r="A31" s="51" t="s">
        <v>34</v>
      </c>
      <c r="B31" s="51"/>
      <c r="C31" s="51"/>
    </row>
    <row r="32" spans="1:8" ht="14.65" thickBot="1">
      <c r="A32" s="12" t="s">
        <v>2</v>
      </c>
      <c r="B32" s="12" t="s">
        <v>3</v>
      </c>
      <c r="C32" s="12" t="s">
        <v>4</v>
      </c>
      <c r="D32" s="13" t="s">
        <v>5</v>
      </c>
    </row>
    <row r="33" spans="1:4">
      <c r="A33" s="11" t="s">
        <v>35</v>
      </c>
      <c r="B33" s="6" t="s">
        <v>10</v>
      </c>
      <c r="C33" s="6">
        <v>3</v>
      </c>
      <c r="D33" s="16" t="s">
        <v>10</v>
      </c>
    </row>
    <row r="34" spans="1:4">
      <c r="A34" s="11" t="s">
        <v>19</v>
      </c>
      <c r="B34" s="8" t="s">
        <v>11</v>
      </c>
      <c r="C34" s="8">
        <v>2</v>
      </c>
      <c r="D34" s="17" t="s">
        <v>11</v>
      </c>
    </row>
    <row r="35" spans="1:4" ht="14.65" thickBot="1">
      <c r="A35" s="9"/>
      <c r="B35" s="10" t="s">
        <v>12</v>
      </c>
      <c r="C35" s="10">
        <v>1</v>
      </c>
      <c r="D35" s="19" t="s">
        <v>12</v>
      </c>
    </row>
    <row r="36" spans="1:4">
      <c r="A36" s="11" t="s">
        <v>36</v>
      </c>
      <c r="B36" s="6" t="s">
        <v>10</v>
      </c>
      <c r="C36" s="6">
        <v>3</v>
      </c>
      <c r="D36" s="16" t="s">
        <v>10</v>
      </c>
    </row>
    <row r="37" spans="1:4">
      <c r="A37" s="11" t="s">
        <v>19</v>
      </c>
      <c r="B37" s="8" t="s">
        <v>11</v>
      </c>
      <c r="C37" s="8">
        <v>2</v>
      </c>
      <c r="D37" s="17" t="s">
        <v>11</v>
      </c>
    </row>
    <row r="38" spans="1:4" ht="14.65" thickBot="1">
      <c r="A38" s="9"/>
      <c r="B38" s="10" t="s">
        <v>12</v>
      </c>
      <c r="C38" s="10">
        <v>1</v>
      </c>
      <c r="D38" s="19" t="s">
        <v>12</v>
      </c>
    </row>
    <row r="39" spans="1:4">
      <c r="A39" s="11" t="s">
        <v>37</v>
      </c>
      <c r="B39" s="6" t="s">
        <v>10</v>
      </c>
      <c r="C39" s="6">
        <v>3</v>
      </c>
      <c r="D39" s="23" t="s">
        <v>38</v>
      </c>
    </row>
    <row r="40" spans="1:4">
      <c r="A40" s="11" t="s">
        <v>19</v>
      </c>
      <c r="B40" s="8" t="s">
        <v>11</v>
      </c>
      <c r="C40" s="8">
        <v>2</v>
      </c>
      <c r="D40" s="24" t="s">
        <v>11</v>
      </c>
    </row>
    <row r="41" spans="1:4" ht="14.65" thickBot="1">
      <c r="A41" s="25" t="s">
        <v>39</v>
      </c>
      <c r="B41" s="10" t="s">
        <v>12</v>
      </c>
      <c r="C41" s="10">
        <v>1</v>
      </c>
      <c r="D41" s="26" t="s">
        <v>40</v>
      </c>
    </row>
  </sheetData>
  <mergeCells count="6">
    <mergeCell ref="A31:C31"/>
    <mergeCell ref="A2:C2"/>
    <mergeCell ref="D4:D8"/>
    <mergeCell ref="D9:D11"/>
    <mergeCell ref="D12:D16"/>
    <mergeCell ref="A19:C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7C71-7BA8-49CF-9460-1F9E3E8EE7DA}">
  <dimension ref="A1:AJ49"/>
  <sheetViews>
    <sheetView tabSelected="1" zoomScaleNormal="100" workbookViewId="0">
      <selection activeCell="D3" sqref="D3"/>
    </sheetView>
  </sheetViews>
  <sheetFormatPr defaultRowHeight="14.25"/>
  <cols>
    <col min="1" max="1" width="65.7109375" customWidth="1"/>
    <col min="2" max="2" width="23.140625" customWidth="1"/>
    <col min="3" max="3" width="15.5703125" bestFit="1" customWidth="1"/>
    <col min="4" max="4" width="16.85546875" bestFit="1" customWidth="1"/>
    <col min="5" max="5" width="19" customWidth="1"/>
    <col min="6" max="6" width="11.140625" customWidth="1"/>
    <col min="7" max="7" width="9.28515625" bestFit="1" customWidth="1"/>
    <col min="8" max="8" width="11.85546875" customWidth="1"/>
    <col min="11" max="11" width="11.5703125" customWidth="1"/>
    <col min="12" max="12" width="15.85546875" bestFit="1" customWidth="1"/>
    <col min="13" max="13" width="13.28515625" bestFit="1" customWidth="1"/>
    <col min="14" max="14" width="14.7109375" bestFit="1" customWidth="1"/>
    <col min="15" max="15" width="15.7109375" bestFit="1" customWidth="1"/>
    <col min="16" max="16" width="14" bestFit="1" customWidth="1"/>
    <col min="17" max="17" width="13.28515625" customWidth="1"/>
  </cols>
  <sheetData>
    <row r="1" spans="1:36">
      <c r="A1" t="s">
        <v>41</v>
      </c>
      <c r="B1" t="s">
        <v>42</v>
      </c>
      <c r="C1" s="8" t="s">
        <v>43</v>
      </c>
      <c r="D1" t="s">
        <v>44</v>
      </c>
      <c r="E1" t="s">
        <v>45</v>
      </c>
      <c r="F1" t="s">
        <v>46</v>
      </c>
      <c r="G1" t="s">
        <v>47</v>
      </c>
      <c r="H1" t="s">
        <v>48</v>
      </c>
      <c r="K1" s="55" t="s">
        <v>49</v>
      </c>
      <c r="L1" s="55"/>
      <c r="M1" s="55"/>
      <c r="N1" s="48" t="s">
        <v>50</v>
      </c>
      <c r="O1" s="49" t="s">
        <v>51</v>
      </c>
    </row>
    <row r="2" spans="1:36" ht="15.75">
      <c r="A2" s="44" t="s">
        <v>52</v>
      </c>
      <c r="B2" s="37">
        <v>1000000</v>
      </c>
      <c r="C2" s="38">
        <v>7</v>
      </c>
      <c r="D2" s="38" t="s">
        <v>53</v>
      </c>
      <c r="E2" s="39">
        <f>_xlfn.XLOOKUP(D2,$L$7:$P$7,$L$6:$P$6)</f>
        <v>0.8</v>
      </c>
      <c r="F2" s="38">
        <v>2</v>
      </c>
      <c r="G2" s="38">
        <f t="shared" ref="G2:G29" si="0">SUM(C2*E2/F2)</f>
        <v>2.8000000000000003</v>
      </c>
      <c r="H2" s="40" t="str">
        <f t="shared" ref="H2:H29" si="1">IF(AND(G2&gt;K$18, G2&lt;=L$18), M$18,
 IF(AND(G2&gt;K$19, G2&lt;=L$19), M$19,
 IF(AND(G2&gt;K$20, G2&lt;=L$20), M$20,
 IF(AND(G2&gt;K$21, G2&lt;=L$21), M$21,
 IF(G2&gt;K$22, M$22, "N/A")))))</f>
        <v>High</v>
      </c>
      <c r="I2" s="40"/>
      <c r="J2" s="40"/>
      <c r="K2" s="40" t="s">
        <v>54</v>
      </c>
      <c r="L2" s="38">
        <v>0.5</v>
      </c>
      <c r="M2" s="38">
        <v>1</v>
      </c>
      <c r="N2" s="38">
        <v>3</v>
      </c>
      <c r="O2" s="38">
        <v>5</v>
      </c>
      <c r="P2" s="38">
        <v>7</v>
      </c>
      <c r="Q2" s="45"/>
      <c r="R2" s="40"/>
      <c r="S2" s="40"/>
      <c r="T2" s="40"/>
      <c r="U2" s="40"/>
      <c r="V2" s="40"/>
      <c r="W2" s="40"/>
      <c r="X2" s="40"/>
      <c r="Y2" s="40"/>
      <c r="Z2" s="40"/>
      <c r="AA2" s="40"/>
      <c r="AB2" s="40"/>
      <c r="AC2" s="40"/>
      <c r="AD2" s="40"/>
      <c r="AE2" s="40"/>
      <c r="AF2" s="40"/>
      <c r="AG2" s="40"/>
      <c r="AH2" s="40"/>
      <c r="AI2" s="40"/>
      <c r="AJ2" s="40"/>
    </row>
    <row r="3" spans="1:36" ht="15.75">
      <c r="A3" s="44" t="s">
        <v>55</v>
      </c>
      <c r="B3" s="37">
        <v>1000000</v>
      </c>
      <c r="C3" s="38">
        <v>5</v>
      </c>
      <c r="D3" s="38" t="s">
        <v>56</v>
      </c>
      <c r="E3" s="39">
        <f>_xlfn.XLOOKUP(D3,$L$7:$P$7,$L$6:$P$6)</f>
        <v>0.1</v>
      </c>
      <c r="F3" s="38">
        <v>2</v>
      </c>
      <c r="G3" s="38">
        <f t="shared" si="0"/>
        <v>0.25</v>
      </c>
      <c r="H3" s="40" t="str">
        <f t="shared" si="1"/>
        <v>Medium</v>
      </c>
      <c r="I3" s="40"/>
      <c r="J3" s="40"/>
      <c r="K3" s="40" t="s">
        <v>57</v>
      </c>
      <c r="L3" s="41">
        <v>100000</v>
      </c>
      <c r="M3" s="41">
        <v>250000</v>
      </c>
      <c r="N3" s="41">
        <v>500000</v>
      </c>
      <c r="O3" s="41">
        <v>750000</v>
      </c>
      <c r="P3" s="41" t="s">
        <v>58</v>
      </c>
      <c r="Q3" s="45"/>
      <c r="R3" s="40"/>
      <c r="S3" s="40"/>
      <c r="T3" s="40"/>
      <c r="U3" s="40"/>
      <c r="V3" s="40"/>
      <c r="W3" s="40"/>
      <c r="X3" s="40"/>
      <c r="Y3" s="40"/>
      <c r="Z3" s="40"/>
      <c r="AA3" s="40"/>
      <c r="AB3" s="40"/>
      <c r="AC3" s="40"/>
      <c r="AD3" s="40"/>
      <c r="AE3" s="40"/>
      <c r="AF3" s="40"/>
      <c r="AG3" s="40"/>
      <c r="AH3" s="40"/>
      <c r="AI3" s="40"/>
      <c r="AJ3" s="40"/>
    </row>
    <row r="4" spans="1:36" ht="15.75">
      <c r="A4" s="44" t="s">
        <v>59</v>
      </c>
      <c r="B4" s="37">
        <v>1000000</v>
      </c>
      <c r="C4" s="38">
        <v>5</v>
      </c>
      <c r="D4" s="38" t="s">
        <v>60</v>
      </c>
      <c r="E4" s="39">
        <f>_xlfn.XLOOKUP(D4,$L$7:$P$7,$L$6:$P$6)</f>
        <v>0.2</v>
      </c>
      <c r="F4" s="38">
        <v>2</v>
      </c>
      <c r="G4" s="38">
        <f t="shared" si="0"/>
        <v>0.5</v>
      </c>
      <c r="H4" s="40" t="str">
        <f t="shared" si="1"/>
        <v>High</v>
      </c>
      <c r="I4" s="40"/>
      <c r="J4" s="40"/>
      <c r="K4" s="40"/>
      <c r="L4" s="40"/>
      <c r="M4" s="40"/>
      <c r="N4" s="40"/>
      <c r="O4" s="40"/>
      <c r="P4" s="40"/>
      <c r="Q4" s="45"/>
      <c r="R4" s="40"/>
      <c r="S4" s="40"/>
      <c r="T4" s="40"/>
      <c r="U4" s="40"/>
      <c r="V4" s="40"/>
      <c r="W4" s="40"/>
      <c r="X4" s="40"/>
      <c r="Y4" s="40"/>
      <c r="Z4" s="40"/>
      <c r="AA4" s="40"/>
      <c r="AB4" s="40"/>
      <c r="AC4" s="40"/>
      <c r="AD4" s="40"/>
      <c r="AE4" s="40"/>
      <c r="AF4" s="40"/>
      <c r="AG4" s="40"/>
      <c r="AH4" s="40"/>
      <c r="AI4" s="40"/>
      <c r="AJ4" s="40"/>
    </row>
    <row r="5" spans="1:36" ht="17.100000000000001" customHeight="1">
      <c r="A5" s="44" t="s">
        <v>61</v>
      </c>
      <c r="B5" s="37">
        <v>1000000</v>
      </c>
      <c r="C5" s="38">
        <v>5</v>
      </c>
      <c r="D5" s="38" t="s">
        <v>60</v>
      </c>
      <c r="E5" s="39">
        <f>_xlfn.XLOOKUP(D5,$L$7:$P$7,$L$6:$P$6)</f>
        <v>0.2</v>
      </c>
      <c r="F5" s="38">
        <v>2</v>
      </c>
      <c r="G5" s="38">
        <f t="shared" si="0"/>
        <v>0.5</v>
      </c>
      <c r="H5" s="40" t="str">
        <f t="shared" si="1"/>
        <v>High</v>
      </c>
      <c r="I5" s="40"/>
      <c r="J5" s="40"/>
      <c r="K5" s="56" t="s">
        <v>62</v>
      </c>
      <c r="L5" s="56"/>
      <c r="M5" s="56"/>
      <c r="N5" s="50" t="s">
        <v>50</v>
      </c>
      <c r="O5" s="49" t="s">
        <v>63</v>
      </c>
      <c r="P5" s="40"/>
      <c r="S5" s="40"/>
      <c r="T5" s="40"/>
      <c r="U5" s="40"/>
      <c r="V5" s="40"/>
      <c r="W5" s="40"/>
      <c r="X5" s="40"/>
      <c r="Y5" s="40"/>
      <c r="Z5" s="40"/>
      <c r="AA5" s="40"/>
      <c r="AB5" s="40"/>
      <c r="AC5" s="40"/>
      <c r="AD5" s="40"/>
      <c r="AE5" s="40"/>
      <c r="AF5" s="40"/>
      <c r="AG5" s="40"/>
      <c r="AH5" s="40"/>
      <c r="AI5" s="40"/>
      <c r="AJ5" s="40"/>
    </row>
    <row r="6" spans="1:36" ht="17.100000000000001" customHeight="1">
      <c r="A6" s="44" t="s">
        <v>64</v>
      </c>
      <c r="B6" s="37">
        <v>1000000</v>
      </c>
      <c r="C6" s="38">
        <v>7</v>
      </c>
      <c r="D6" s="38" t="s">
        <v>60</v>
      </c>
      <c r="E6" s="39">
        <f>_xlfn.XLOOKUP(D6,$L$7:$P$7,$L$6:$P$6)</f>
        <v>0.2</v>
      </c>
      <c r="F6" s="38">
        <v>3</v>
      </c>
      <c r="G6" s="38">
        <f t="shared" si="0"/>
        <v>0.46666666666666673</v>
      </c>
      <c r="H6" s="40" t="str">
        <f t="shared" si="1"/>
        <v>High</v>
      </c>
      <c r="I6" s="40"/>
      <c r="J6" s="40"/>
      <c r="K6" s="40" t="s">
        <v>54</v>
      </c>
      <c r="L6" s="42">
        <v>0.05</v>
      </c>
      <c r="M6" s="42">
        <v>0.1</v>
      </c>
      <c r="N6" s="42">
        <v>0.2</v>
      </c>
      <c r="O6" s="42">
        <v>0.4</v>
      </c>
      <c r="P6" s="42">
        <v>0.8</v>
      </c>
      <c r="Q6" s="45"/>
      <c r="R6" s="1"/>
      <c r="S6" s="40"/>
      <c r="T6" s="40"/>
      <c r="U6" s="40"/>
      <c r="V6" s="40"/>
      <c r="W6" s="40"/>
      <c r="X6" s="40"/>
      <c r="Y6" s="40"/>
      <c r="Z6" s="40"/>
      <c r="AA6" s="40"/>
      <c r="AB6" s="40"/>
      <c r="AC6" s="40"/>
      <c r="AD6" s="40"/>
      <c r="AE6" s="40"/>
      <c r="AF6" s="40"/>
      <c r="AG6" s="40"/>
      <c r="AH6" s="40"/>
      <c r="AI6" s="40"/>
      <c r="AJ6" s="40"/>
    </row>
    <row r="7" spans="1:36" ht="17.100000000000001" customHeight="1">
      <c r="A7" s="44" t="s">
        <v>65</v>
      </c>
      <c r="B7" s="37">
        <v>1000000</v>
      </c>
      <c r="C7" s="38">
        <v>5</v>
      </c>
      <c r="D7" s="38" t="s">
        <v>60</v>
      </c>
      <c r="E7" s="39">
        <f>_xlfn.XLOOKUP(D7,$L$7:$P$7,$L$6:$P$6)</f>
        <v>0.2</v>
      </c>
      <c r="F7" s="38">
        <v>3</v>
      </c>
      <c r="G7" s="38">
        <f t="shared" si="0"/>
        <v>0.33333333333333331</v>
      </c>
      <c r="H7" s="40" t="str">
        <f t="shared" si="1"/>
        <v>Medium</v>
      </c>
      <c r="I7" s="40"/>
      <c r="J7" s="40"/>
      <c r="K7" s="40" t="s">
        <v>66</v>
      </c>
      <c r="L7" s="42" t="s">
        <v>67</v>
      </c>
      <c r="M7" s="38" t="s">
        <v>56</v>
      </c>
      <c r="N7" s="38" t="s">
        <v>60</v>
      </c>
      <c r="O7" s="40" t="s">
        <v>31</v>
      </c>
      <c r="P7" s="40" t="s">
        <v>53</v>
      </c>
      <c r="Q7" s="45"/>
      <c r="R7" s="1"/>
      <c r="S7" s="40"/>
      <c r="T7" s="40"/>
      <c r="U7" s="40"/>
      <c r="V7" s="40"/>
      <c r="W7" s="40"/>
      <c r="X7" s="40"/>
      <c r="Y7" s="40"/>
      <c r="Z7" s="40"/>
      <c r="AA7" s="40"/>
      <c r="AB7" s="40"/>
      <c r="AC7" s="40"/>
      <c r="AD7" s="40"/>
      <c r="AE7" s="40"/>
      <c r="AF7" s="40"/>
      <c r="AG7" s="40"/>
      <c r="AH7" s="40"/>
      <c r="AI7" s="40"/>
      <c r="AJ7" s="40"/>
    </row>
    <row r="8" spans="1:36" ht="17.100000000000001" customHeight="1">
      <c r="A8" s="44" t="s">
        <v>68</v>
      </c>
      <c r="B8" s="37">
        <v>1000000</v>
      </c>
      <c r="C8" s="38">
        <v>5</v>
      </c>
      <c r="D8" s="38" t="s">
        <v>60</v>
      </c>
      <c r="E8" s="39">
        <f>_xlfn.XLOOKUP(D8,$L$7:$P$7,$L$6:$P$6)</f>
        <v>0.2</v>
      </c>
      <c r="F8" s="38">
        <v>3</v>
      </c>
      <c r="G8" s="38">
        <f t="shared" si="0"/>
        <v>0.33333333333333331</v>
      </c>
      <c r="H8" s="40" t="str">
        <f t="shared" si="1"/>
        <v>Medium</v>
      </c>
      <c r="I8" s="40"/>
      <c r="J8" s="40"/>
      <c r="Q8" s="45"/>
      <c r="R8" s="40"/>
      <c r="S8" s="40"/>
      <c r="T8" s="40"/>
      <c r="U8" s="40"/>
      <c r="V8" s="40"/>
      <c r="W8" s="40"/>
      <c r="X8" s="40"/>
      <c r="Y8" s="40"/>
      <c r="Z8" s="40"/>
      <c r="AA8" s="40"/>
      <c r="AB8" s="40"/>
      <c r="AC8" s="40"/>
      <c r="AD8" s="40"/>
      <c r="AE8" s="40"/>
      <c r="AF8" s="40"/>
      <c r="AG8" s="40"/>
      <c r="AH8" s="40"/>
      <c r="AI8" s="40"/>
      <c r="AJ8" s="40"/>
    </row>
    <row r="9" spans="1:36" ht="17.100000000000001" customHeight="1">
      <c r="A9" s="44" t="s">
        <v>69</v>
      </c>
      <c r="B9" s="37">
        <v>1000000</v>
      </c>
      <c r="C9" s="38">
        <v>5</v>
      </c>
      <c r="D9" s="38" t="s">
        <v>60</v>
      </c>
      <c r="E9" s="39">
        <f>_xlfn.XLOOKUP(D9,$L$7:$P$7,$L$6:$P$6)</f>
        <v>0.2</v>
      </c>
      <c r="F9" s="38">
        <v>3</v>
      </c>
      <c r="G9" s="38">
        <f t="shared" si="0"/>
        <v>0.33333333333333331</v>
      </c>
      <c r="H9" s="40" t="str">
        <f t="shared" si="1"/>
        <v>Medium</v>
      </c>
      <c r="I9" s="40"/>
      <c r="J9" s="40"/>
      <c r="K9" s="56" t="s">
        <v>46</v>
      </c>
      <c r="L9" s="56"/>
      <c r="M9" s="56"/>
      <c r="N9" s="50" t="s">
        <v>50</v>
      </c>
      <c r="O9" s="49" t="s">
        <v>70</v>
      </c>
      <c r="P9" s="40"/>
      <c r="R9" s="1"/>
      <c r="S9" s="40"/>
      <c r="T9" s="40"/>
      <c r="U9" s="40"/>
      <c r="V9" s="40"/>
      <c r="W9" s="40"/>
      <c r="X9" s="40"/>
      <c r="Y9" s="40"/>
      <c r="Z9" s="40"/>
      <c r="AA9" s="40"/>
      <c r="AB9" s="40"/>
      <c r="AC9" s="40"/>
      <c r="AD9" s="40"/>
      <c r="AE9" s="40"/>
      <c r="AF9" s="40"/>
      <c r="AG9" s="40"/>
      <c r="AH9" s="40"/>
      <c r="AI9" s="40"/>
      <c r="AJ9" s="40"/>
    </row>
    <row r="10" spans="1:36" ht="17.100000000000001" customHeight="1">
      <c r="A10" s="44" t="s">
        <v>71</v>
      </c>
      <c r="B10" s="37">
        <v>1000000</v>
      </c>
      <c r="C10" s="38">
        <v>1</v>
      </c>
      <c r="D10" s="38" t="s">
        <v>31</v>
      </c>
      <c r="E10" s="39">
        <f>_xlfn.XLOOKUP(D10,$L$7:$P$7,$L$6:$P$6)</f>
        <v>0.4</v>
      </c>
      <c r="F10" s="38">
        <v>4</v>
      </c>
      <c r="G10" s="38">
        <f t="shared" si="0"/>
        <v>0.1</v>
      </c>
      <c r="H10" s="40" t="str">
        <f t="shared" si="1"/>
        <v>Low</v>
      </c>
      <c r="I10" s="40"/>
      <c r="J10" s="40"/>
      <c r="K10" s="40" t="s">
        <v>54</v>
      </c>
      <c r="L10" s="38">
        <v>1</v>
      </c>
      <c r="M10" s="38">
        <v>2</v>
      </c>
      <c r="N10" s="38">
        <v>3</v>
      </c>
      <c r="O10" s="38">
        <v>4</v>
      </c>
      <c r="P10" s="38">
        <v>5</v>
      </c>
      <c r="Q10" s="40"/>
      <c r="R10" s="40"/>
      <c r="S10" s="40"/>
      <c r="T10" s="40"/>
      <c r="U10" s="40"/>
      <c r="V10" s="40"/>
      <c r="W10" s="40"/>
      <c r="X10" s="40"/>
      <c r="Y10" s="40"/>
      <c r="Z10" s="40"/>
      <c r="AA10" s="40"/>
      <c r="AB10" s="40"/>
      <c r="AC10" s="40"/>
      <c r="AD10" s="40"/>
      <c r="AE10" s="40"/>
      <c r="AF10" s="40"/>
      <c r="AG10" s="40"/>
      <c r="AH10" s="40"/>
      <c r="AI10" s="40"/>
      <c r="AJ10" s="40"/>
    </row>
    <row r="11" spans="1:36" ht="17.100000000000001" customHeight="1">
      <c r="A11" s="44" t="s">
        <v>72</v>
      </c>
      <c r="B11" s="37">
        <v>1000000</v>
      </c>
      <c r="C11" s="38">
        <v>5</v>
      </c>
      <c r="D11" s="38" t="s">
        <v>56</v>
      </c>
      <c r="E11" s="39">
        <f>_xlfn.XLOOKUP(D11,$L$7:$P$7,$L$6:$P$6)</f>
        <v>0.1</v>
      </c>
      <c r="F11" s="38">
        <v>3</v>
      </c>
      <c r="G11" s="38">
        <f t="shared" si="0"/>
        <v>0.16666666666666666</v>
      </c>
      <c r="H11" s="40" t="str">
        <f t="shared" si="1"/>
        <v>Medium</v>
      </c>
      <c r="I11" s="40"/>
      <c r="J11" s="40"/>
      <c r="K11" s="40"/>
      <c r="L11" s="38" t="s">
        <v>73</v>
      </c>
      <c r="M11" s="38"/>
      <c r="N11" s="38"/>
      <c r="O11" s="38"/>
      <c r="P11" s="38" t="s">
        <v>74</v>
      </c>
      <c r="Q11" s="40"/>
      <c r="R11" s="40"/>
      <c r="S11" s="40"/>
      <c r="T11" s="40"/>
      <c r="U11" s="40"/>
      <c r="V11" s="40"/>
      <c r="W11" s="40"/>
      <c r="X11" s="40"/>
      <c r="Y11" s="40"/>
      <c r="Z11" s="40"/>
      <c r="AA11" s="40"/>
      <c r="AB11" s="40"/>
      <c r="AC11" s="40"/>
      <c r="AD11" s="40"/>
      <c r="AE11" s="40"/>
      <c r="AF11" s="40"/>
      <c r="AG11" s="40"/>
      <c r="AH11" s="40"/>
      <c r="AI11" s="40"/>
      <c r="AJ11" s="40"/>
    </row>
    <row r="12" spans="1:36" ht="17.100000000000001" customHeight="1">
      <c r="A12" s="44" t="s">
        <v>75</v>
      </c>
      <c r="B12" s="37">
        <v>1000000</v>
      </c>
      <c r="C12" s="38">
        <v>3</v>
      </c>
      <c r="D12" s="38" t="s">
        <v>56</v>
      </c>
      <c r="E12" s="39">
        <f>_xlfn.XLOOKUP(D12,$L$7:$P$7,$L$6:$P$6)</f>
        <v>0.1</v>
      </c>
      <c r="F12" s="38">
        <v>2</v>
      </c>
      <c r="G12" s="38">
        <f t="shared" si="0"/>
        <v>0.15000000000000002</v>
      </c>
      <c r="H12" s="40" t="str">
        <f t="shared" si="1"/>
        <v>Medium</v>
      </c>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row>
    <row r="13" spans="1:36" ht="17.100000000000001" customHeight="1">
      <c r="A13" s="44" t="s">
        <v>76</v>
      </c>
      <c r="B13" s="37">
        <v>1000000</v>
      </c>
      <c r="C13" s="38">
        <v>3</v>
      </c>
      <c r="D13" s="38" t="s">
        <v>56</v>
      </c>
      <c r="E13" s="39">
        <f>_xlfn.XLOOKUP(D13,$L$7:$P$7,$L$6:$P$6)</f>
        <v>0.1</v>
      </c>
      <c r="F13" s="38">
        <v>2</v>
      </c>
      <c r="G13" s="38">
        <f t="shared" si="0"/>
        <v>0.15000000000000002</v>
      </c>
      <c r="H13" s="40" t="str">
        <f t="shared" si="1"/>
        <v>Medium</v>
      </c>
      <c r="I13" s="40"/>
      <c r="J13" s="40"/>
      <c r="K13" s="56" t="s">
        <v>77</v>
      </c>
      <c r="L13" s="56"/>
      <c r="M13" s="56"/>
      <c r="N13" s="50" t="s">
        <v>50</v>
      </c>
      <c r="O13" s="40"/>
      <c r="P13" s="40"/>
      <c r="Q13" s="40"/>
      <c r="R13" s="40"/>
      <c r="S13" s="40"/>
      <c r="T13" s="40"/>
      <c r="U13" s="40"/>
      <c r="V13" s="40"/>
      <c r="W13" s="40"/>
      <c r="X13" s="40"/>
      <c r="Y13" s="40"/>
      <c r="Z13" s="40"/>
      <c r="AA13" s="40"/>
      <c r="AB13" s="40"/>
      <c r="AC13" s="40"/>
      <c r="AD13" s="40"/>
      <c r="AE13" s="40"/>
      <c r="AF13" s="40"/>
      <c r="AG13" s="40"/>
      <c r="AH13" s="40"/>
      <c r="AI13" s="40"/>
      <c r="AJ13" s="40"/>
    </row>
    <row r="14" spans="1:36" ht="17.100000000000001" customHeight="1">
      <c r="A14" s="44" t="s">
        <v>78</v>
      </c>
      <c r="B14" s="37">
        <v>1000000</v>
      </c>
      <c r="C14" s="38">
        <v>5</v>
      </c>
      <c r="D14" s="38" t="s">
        <v>56</v>
      </c>
      <c r="E14" s="39">
        <f>_xlfn.XLOOKUP(D14,$L$7:$P$7,$L$6:$P$6)</f>
        <v>0.1</v>
      </c>
      <c r="F14" s="38">
        <v>4</v>
      </c>
      <c r="G14" s="38">
        <f t="shared" si="0"/>
        <v>0.125</v>
      </c>
      <c r="H14" s="40" t="str">
        <f t="shared" si="1"/>
        <v>Medium</v>
      </c>
      <c r="I14" s="40"/>
      <c r="J14" s="40"/>
      <c r="K14" s="40" t="s">
        <v>54</v>
      </c>
      <c r="L14" s="40">
        <v>1</v>
      </c>
      <c r="M14" s="40">
        <v>2</v>
      </c>
      <c r="N14" s="40">
        <v>3</v>
      </c>
      <c r="O14" s="40">
        <v>4</v>
      </c>
      <c r="P14" s="40">
        <v>5</v>
      </c>
      <c r="Q14" s="40"/>
      <c r="R14" s="40"/>
      <c r="S14" s="40"/>
      <c r="T14" s="40"/>
      <c r="U14" s="40"/>
      <c r="V14" s="40"/>
      <c r="W14" s="40"/>
      <c r="X14" s="40"/>
      <c r="Y14" s="40"/>
      <c r="Z14" s="40"/>
      <c r="AA14" s="40"/>
      <c r="AB14" s="40"/>
      <c r="AC14" s="40"/>
      <c r="AD14" s="40"/>
      <c r="AE14" s="40"/>
      <c r="AF14" s="40"/>
      <c r="AG14" s="40"/>
      <c r="AH14" s="40"/>
      <c r="AI14" s="40"/>
      <c r="AJ14" s="40"/>
    </row>
    <row r="15" spans="1:36" ht="15.75">
      <c r="A15" s="44" t="s">
        <v>79</v>
      </c>
      <c r="B15" s="37">
        <v>1000000</v>
      </c>
      <c r="C15" s="38">
        <v>5</v>
      </c>
      <c r="D15" s="38" t="s">
        <v>56</v>
      </c>
      <c r="E15" s="39">
        <f>_xlfn.XLOOKUP(D15,$L$7:$P$7,$L$6:$P$6)</f>
        <v>0.1</v>
      </c>
      <c r="F15" s="38">
        <v>4</v>
      </c>
      <c r="G15" s="38">
        <f t="shared" si="0"/>
        <v>0.125</v>
      </c>
      <c r="H15" s="40" t="str">
        <f t="shared" si="1"/>
        <v>Medium</v>
      </c>
      <c r="I15" s="40"/>
      <c r="J15" s="40"/>
      <c r="K15" s="40"/>
      <c r="L15" s="40" t="s">
        <v>13</v>
      </c>
      <c r="M15" s="40"/>
      <c r="N15" s="40"/>
      <c r="O15" s="40"/>
      <c r="P15" s="40" t="s">
        <v>7</v>
      </c>
      <c r="Q15" s="40"/>
      <c r="R15" s="40"/>
      <c r="S15" s="40"/>
      <c r="T15" s="40"/>
      <c r="U15" s="40"/>
      <c r="V15" s="40"/>
      <c r="W15" s="40"/>
      <c r="X15" s="40"/>
      <c r="Y15" s="40"/>
      <c r="Z15" s="40"/>
      <c r="AA15" s="40"/>
      <c r="AB15" s="40"/>
      <c r="AC15" s="40"/>
      <c r="AD15" s="40"/>
      <c r="AE15" s="40"/>
      <c r="AF15" s="40"/>
      <c r="AG15" s="40"/>
      <c r="AH15" s="40"/>
      <c r="AI15" s="40"/>
      <c r="AJ15" s="40"/>
    </row>
    <row r="16" spans="1:36" ht="15.75">
      <c r="A16" s="44" t="s">
        <v>80</v>
      </c>
      <c r="B16" s="37">
        <v>1000000</v>
      </c>
      <c r="C16" s="38">
        <v>7</v>
      </c>
      <c r="D16" s="38" t="s">
        <v>31</v>
      </c>
      <c r="E16" s="39">
        <f>_xlfn.XLOOKUP(D16,$L$7:$P$7,$L$6:$P$6)</f>
        <v>0.4</v>
      </c>
      <c r="F16" s="38">
        <v>3</v>
      </c>
      <c r="G16" s="38">
        <f t="shared" si="0"/>
        <v>0.93333333333333346</v>
      </c>
      <c r="H16" s="40" t="str">
        <f t="shared" si="1"/>
        <v>High</v>
      </c>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row>
    <row r="17" spans="1:36" ht="15.75">
      <c r="A17" s="44" t="s">
        <v>81</v>
      </c>
      <c r="B17" s="37">
        <v>1000000</v>
      </c>
      <c r="C17" s="38">
        <v>3</v>
      </c>
      <c r="D17" s="38" t="s">
        <v>56</v>
      </c>
      <c r="E17" s="39">
        <f>_xlfn.XLOOKUP(D17,$L$7:$P$7,$L$6:$P$6)</f>
        <v>0.1</v>
      </c>
      <c r="F17" s="38">
        <v>3</v>
      </c>
      <c r="G17" s="38">
        <f t="shared" si="0"/>
        <v>0.10000000000000002</v>
      </c>
      <c r="H17" s="40" t="str">
        <f t="shared" si="1"/>
        <v>Low</v>
      </c>
      <c r="I17" s="40"/>
      <c r="J17" s="40"/>
      <c r="K17" s="40" t="s">
        <v>82</v>
      </c>
      <c r="L17" s="40" t="s">
        <v>83</v>
      </c>
      <c r="M17" s="40"/>
      <c r="N17" s="40"/>
      <c r="O17" s="40"/>
      <c r="P17" s="40"/>
      <c r="Q17" s="40"/>
      <c r="R17" s="40"/>
      <c r="S17" s="40"/>
      <c r="T17" s="40"/>
      <c r="U17" s="40"/>
      <c r="V17" s="40"/>
      <c r="W17" s="40"/>
      <c r="X17" s="40"/>
      <c r="Y17" s="40"/>
      <c r="Z17" s="40"/>
      <c r="AA17" s="40"/>
      <c r="AB17" s="40"/>
      <c r="AC17" s="40"/>
      <c r="AD17" s="40"/>
      <c r="AE17" s="40"/>
      <c r="AF17" s="40"/>
      <c r="AG17" s="40"/>
      <c r="AH17" s="40"/>
      <c r="AI17" s="40"/>
      <c r="AJ17" s="40"/>
    </row>
    <row r="18" spans="1:36" ht="15.75">
      <c r="A18" s="44" t="s">
        <v>84</v>
      </c>
      <c r="B18" s="37">
        <v>1000000</v>
      </c>
      <c r="C18" s="38">
        <v>1</v>
      </c>
      <c r="D18" s="38" t="s">
        <v>60</v>
      </c>
      <c r="E18" s="39">
        <f>_xlfn.XLOOKUP(D18,$L$7:$P$7,$L$6:$P$6)</f>
        <v>0.2</v>
      </c>
      <c r="F18" s="38">
        <v>2</v>
      </c>
      <c r="G18" s="38">
        <f t="shared" si="0"/>
        <v>0.1</v>
      </c>
      <c r="H18" s="40" t="str">
        <f t="shared" si="1"/>
        <v>Low</v>
      </c>
      <c r="I18" s="40"/>
      <c r="J18" s="40"/>
      <c r="K18" s="40">
        <v>0</v>
      </c>
      <c r="L18" s="40">
        <v>0.03</v>
      </c>
      <c r="M18" s="40" t="s">
        <v>13</v>
      </c>
      <c r="N18" s="40"/>
      <c r="O18" s="40"/>
      <c r="P18" s="40"/>
      <c r="Q18" s="40"/>
      <c r="R18" s="40"/>
      <c r="S18" s="40"/>
      <c r="T18" s="40"/>
      <c r="U18" s="40"/>
      <c r="V18" s="40"/>
      <c r="W18" s="40"/>
      <c r="X18" s="40"/>
      <c r="Y18" s="40"/>
      <c r="Z18" s="40"/>
      <c r="AA18" s="40"/>
      <c r="AB18" s="40"/>
      <c r="AC18" s="40"/>
      <c r="AD18" s="40"/>
      <c r="AE18" s="40"/>
      <c r="AF18" s="40"/>
      <c r="AG18" s="40"/>
      <c r="AH18" s="40"/>
      <c r="AI18" s="40"/>
      <c r="AJ18" s="40"/>
    </row>
    <row r="19" spans="1:36" ht="15.75">
      <c r="A19" s="44" t="s">
        <v>85</v>
      </c>
      <c r="B19" s="37">
        <v>1000000</v>
      </c>
      <c r="C19" s="38">
        <v>3</v>
      </c>
      <c r="D19" s="38" t="s">
        <v>56</v>
      </c>
      <c r="E19" s="39">
        <f>_xlfn.XLOOKUP(D19,$L$7:$P$7,$L$6:$P$6)</f>
        <v>0.1</v>
      </c>
      <c r="F19" s="38">
        <v>4</v>
      </c>
      <c r="G19" s="38">
        <f t="shared" si="0"/>
        <v>7.5000000000000011E-2</v>
      </c>
      <c r="H19" s="40" t="str">
        <f t="shared" si="1"/>
        <v>Low</v>
      </c>
      <c r="I19" s="40"/>
      <c r="J19" s="40"/>
      <c r="K19" s="40">
        <v>0.03</v>
      </c>
      <c r="L19" s="40">
        <v>0.1</v>
      </c>
      <c r="M19" s="40" t="s">
        <v>12</v>
      </c>
      <c r="N19" s="40"/>
      <c r="O19" s="40"/>
      <c r="P19" s="40"/>
      <c r="Q19" s="40"/>
      <c r="R19" s="40"/>
      <c r="S19" s="40"/>
      <c r="T19" s="40"/>
      <c r="U19" s="40"/>
      <c r="V19" s="40"/>
      <c r="W19" s="40"/>
      <c r="X19" s="40"/>
      <c r="Y19" s="40"/>
      <c r="Z19" s="40"/>
      <c r="AA19" s="40"/>
      <c r="AB19" s="40"/>
      <c r="AC19" s="40"/>
      <c r="AD19" s="40"/>
      <c r="AE19" s="40"/>
      <c r="AF19" s="40"/>
      <c r="AG19" s="40"/>
      <c r="AH19" s="40"/>
      <c r="AI19" s="40"/>
      <c r="AJ19" s="40"/>
    </row>
    <row r="20" spans="1:36" ht="15.75">
      <c r="A20" s="44" t="s">
        <v>86</v>
      </c>
      <c r="B20" s="37">
        <v>1000000</v>
      </c>
      <c r="C20" s="38">
        <v>3</v>
      </c>
      <c r="D20" s="38" t="s">
        <v>56</v>
      </c>
      <c r="E20" s="39">
        <f>_xlfn.XLOOKUP(D20,$L$7:$P$7,$L$6:$P$6)</f>
        <v>0.1</v>
      </c>
      <c r="F20" s="38">
        <v>4</v>
      </c>
      <c r="G20" s="38">
        <f t="shared" si="0"/>
        <v>7.5000000000000011E-2</v>
      </c>
      <c r="H20" s="40" t="str">
        <f t="shared" si="1"/>
        <v>Low</v>
      </c>
      <c r="I20" s="40"/>
      <c r="J20" s="40"/>
      <c r="K20" s="40">
        <v>0.1</v>
      </c>
      <c r="L20" s="40">
        <v>0.4</v>
      </c>
      <c r="M20" s="40" t="s">
        <v>11</v>
      </c>
      <c r="N20" s="40"/>
      <c r="O20" s="40"/>
      <c r="P20" s="40"/>
      <c r="Q20" s="40"/>
      <c r="R20" s="40"/>
      <c r="S20" s="40"/>
      <c r="T20" s="40"/>
      <c r="U20" s="40"/>
      <c r="V20" s="40"/>
      <c r="W20" s="40"/>
      <c r="X20" s="40"/>
      <c r="Y20" s="40"/>
      <c r="Z20" s="40"/>
      <c r="AA20" s="40"/>
      <c r="AB20" s="40"/>
      <c r="AC20" s="40"/>
      <c r="AD20" s="40"/>
      <c r="AE20" s="40"/>
      <c r="AF20" s="40"/>
      <c r="AG20" s="40"/>
      <c r="AH20" s="40"/>
      <c r="AI20" s="40"/>
      <c r="AJ20" s="40"/>
    </row>
    <row r="21" spans="1:36" ht="15.75">
      <c r="A21" s="44" t="s">
        <v>87</v>
      </c>
      <c r="B21" s="37">
        <v>1000000</v>
      </c>
      <c r="C21" s="38">
        <v>1</v>
      </c>
      <c r="D21" s="38" t="s">
        <v>60</v>
      </c>
      <c r="E21" s="39">
        <f>_xlfn.XLOOKUP(D21,$L$7:$P$7,$L$6:$P$6)</f>
        <v>0.2</v>
      </c>
      <c r="F21" s="38">
        <v>3</v>
      </c>
      <c r="G21" s="38">
        <f t="shared" si="0"/>
        <v>6.6666666666666666E-2</v>
      </c>
      <c r="H21" s="40" t="str">
        <f t="shared" si="1"/>
        <v>Low</v>
      </c>
      <c r="I21" s="40"/>
      <c r="J21" s="40"/>
      <c r="K21" s="40">
        <v>0.4</v>
      </c>
      <c r="L21" s="40">
        <v>10</v>
      </c>
      <c r="M21" s="40" t="s">
        <v>10</v>
      </c>
      <c r="N21" s="40"/>
      <c r="O21" s="40"/>
      <c r="P21" s="40"/>
      <c r="Q21" s="40"/>
      <c r="R21" s="40"/>
      <c r="S21" s="40"/>
      <c r="T21" s="40"/>
      <c r="U21" s="40"/>
      <c r="V21" s="40"/>
      <c r="W21" s="40"/>
      <c r="X21" s="40"/>
      <c r="Y21" s="40"/>
      <c r="Z21" s="40"/>
      <c r="AA21" s="40"/>
      <c r="AB21" s="40"/>
      <c r="AC21" s="40"/>
      <c r="AD21" s="40"/>
      <c r="AE21" s="40"/>
      <c r="AF21" s="40"/>
      <c r="AG21" s="40"/>
      <c r="AH21" s="40"/>
      <c r="AI21" s="40"/>
      <c r="AJ21" s="40"/>
    </row>
    <row r="22" spans="1:36" ht="15.75">
      <c r="A22" s="44" t="s">
        <v>88</v>
      </c>
      <c r="B22" s="37">
        <v>1000000</v>
      </c>
      <c r="C22" s="38">
        <v>1</v>
      </c>
      <c r="D22" s="38" t="s">
        <v>60</v>
      </c>
      <c r="E22" s="39">
        <f>_xlfn.XLOOKUP(D22,$L$7:$P$7,$L$6:$P$6)</f>
        <v>0.2</v>
      </c>
      <c r="F22" s="38">
        <v>3</v>
      </c>
      <c r="G22" s="38">
        <f t="shared" si="0"/>
        <v>6.6666666666666666E-2</v>
      </c>
      <c r="H22" s="40" t="str">
        <f t="shared" si="1"/>
        <v>Low</v>
      </c>
      <c r="I22" s="40"/>
      <c r="J22" s="40"/>
      <c r="K22" s="40">
        <v>10</v>
      </c>
      <c r="L22" s="40">
        <v>30</v>
      </c>
      <c r="M22" s="40" t="s">
        <v>7</v>
      </c>
      <c r="N22" s="40"/>
      <c r="O22" s="40"/>
      <c r="P22" s="40"/>
      <c r="Q22" s="40"/>
      <c r="R22" s="40"/>
      <c r="S22" s="40"/>
      <c r="T22" s="40"/>
      <c r="U22" s="40"/>
      <c r="V22" s="40"/>
      <c r="W22" s="40"/>
      <c r="X22" s="40"/>
      <c r="Y22" s="40"/>
      <c r="Z22" s="40"/>
      <c r="AA22" s="40"/>
      <c r="AB22" s="40"/>
      <c r="AC22" s="40"/>
      <c r="AD22" s="40"/>
      <c r="AE22" s="40"/>
      <c r="AF22" s="40"/>
      <c r="AG22" s="40"/>
      <c r="AH22" s="40"/>
      <c r="AI22" s="40"/>
      <c r="AJ22" s="40"/>
    </row>
    <row r="23" spans="1:36" ht="15.75">
      <c r="A23" s="44" t="s">
        <v>89</v>
      </c>
      <c r="B23" s="37">
        <v>1000000</v>
      </c>
      <c r="C23" s="38">
        <v>1</v>
      </c>
      <c r="D23" s="38" t="s">
        <v>60</v>
      </c>
      <c r="E23" s="39">
        <f>_xlfn.XLOOKUP(D23,$L$7:$P$7,$L$6:$P$6)</f>
        <v>0.2</v>
      </c>
      <c r="F23" s="38">
        <v>3</v>
      </c>
      <c r="G23" s="38">
        <f t="shared" si="0"/>
        <v>6.6666666666666666E-2</v>
      </c>
      <c r="H23" s="40" t="str">
        <f t="shared" si="1"/>
        <v>Low</v>
      </c>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row>
    <row r="24" spans="1:36" ht="15.75">
      <c r="A24" s="44" t="s">
        <v>90</v>
      </c>
      <c r="B24" s="37">
        <v>1000000</v>
      </c>
      <c r="C24" s="38">
        <v>1</v>
      </c>
      <c r="D24" s="38" t="s">
        <v>60</v>
      </c>
      <c r="E24" s="39">
        <f>_xlfn.XLOOKUP(D24,$L$7:$P$7,$L$6:$P$6)</f>
        <v>0.2</v>
      </c>
      <c r="F24" s="38">
        <v>3</v>
      </c>
      <c r="G24" s="38">
        <f t="shared" si="0"/>
        <v>6.6666666666666666E-2</v>
      </c>
      <c r="H24" s="40" t="str">
        <f t="shared" si="1"/>
        <v>Low</v>
      </c>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row>
    <row r="25" spans="1:36" ht="15.75">
      <c r="A25" s="44" t="s">
        <v>91</v>
      </c>
      <c r="B25" s="37">
        <v>1000000</v>
      </c>
      <c r="C25" s="38">
        <v>1</v>
      </c>
      <c r="D25" s="38" t="s">
        <v>60</v>
      </c>
      <c r="E25" s="39">
        <f>_xlfn.XLOOKUP(D25,$L$7:$P$7,$L$6:$P$6)</f>
        <v>0.2</v>
      </c>
      <c r="F25" s="38">
        <v>3</v>
      </c>
      <c r="G25" s="38">
        <f t="shared" si="0"/>
        <v>6.6666666666666666E-2</v>
      </c>
      <c r="H25" s="40" t="str">
        <f t="shared" si="1"/>
        <v>Low</v>
      </c>
      <c r="I25" s="40"/>
      <c r="J25" s="40"/>
      <c r="K25" s="40" t="s">
        <v>92</v>
      </c>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row>
    <row r="26" spans="1:36" ht="15.75">
      <c r="A26" s="44" t="s">
        <v>93</v>
      </c>
      <c r="B26" s="37">
        <v>1000000</v>
      </c>
      <c r="C26" s="38">
        <v>1</v>
      </c>
      <c r="D26" s="38" t="s">
        <v>60</v>
      </c>
      <c r="E26" s="39">
        <f>_xlfn.XLOOKUP(D26,$L$7:$P$7,$L$6:$P$6)</f>
        <v>0.2</v>
      </c>
      <c r="F26" s="38">
        <v>4</v>
      </c>
      <c r="G26" s="38">
        <f t="shared" si="0"/>
        <v>0.05</v>
      </c>
      <c r="H26" s="40" t="str">
        <f t="shared" si="1"/>
        <v>Low</v>
      </c>
      <c r="I26" s="40"/>
      <c r="J26" s="40"/>
      <c r="K26" s="40" t="s">
        <v>94</v>
      </c>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row>
    <row r="27" spans="1:36" ht="15.75">
      <c r="A27" s="44" t="s">
        <v>95</v>
      </c>
      <c r="B27" s="37">
        <v>1000000</v>
      </c>
      <c r="C27" s="38">
        <v>1</v>
      </c>
      <c r="D27" s="38" t="s">
        <v>56</v>
      </c>
      <c r="E27" s="39">
        <f>_xlfn.XLOOKUP(D27,$L$7:$P$7,$L$6:$P$6)</f>
        <v>0.1</v>
      </c>
      <c r="F27" s="38">
        <v>2</v>
      </c>
      <c r="G27" s="38">
        <f t="shared" si="0"/>
        <v>0.05</v>
      </c>
      <c r="H27" s="40" t="str">
        <f t="shared" si="1"/>
        <v>Low</v>
      </c>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row>
    <row r="28" spans="1:36" ht="15.75">
      <c r="A28" s="44" t="s">
        <v>96</v>
      </c>
      <c r="B28" s="37">
        <v>1000000</v>
      </c>
      <c r="C28" s="38">
        <v>1</v>
      </c>
      <c r="D28" s="38" t="s">
        <v>56</v>
      </c>
      <c r="E28" s="39">
        <f>_xlfn.XLOOKUP(D28,$L$7:$P$7,$L$6:$P$6)</f>
        <v>0.1</v>
      </c>
      <c r="F28" s="38">
        <v>3</v>
      </c>
      <c r="G28" s="38">
        <f t="shared" si="0"/>
        <v>3.3333333333333333E-2</v>
      </c>
      <c r="H28" s="40" t="str">
        <f t="shared" si="1"/>
        <v>Low</v>
      </c>
      <c r="I28" s="40"/>
      <c r="J28" s="40"/>
      <c r="K28" s="40" t="s">
        <v>97</v>
      </c>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row>
    <row r="29" spans="1:36" ht="15.75" customHeight="1">
      <c r="A29" s="44" t="s">
        <v>98</v>
      </c>
      <c r="B29" s="37">
        <v>1000000</v>
      </c>
      <c r="C29" s="38">
        <v>1</v>
      </c>
      <c r="D29" s="38" t="s">
        <v>56</v>
      </c>
      <c r="E29" s="39">
        <f>_xlfn.XLOOKUP(D29,$L$7:$P$7,$L$6:$P$6)</f>
        <v>0.1</v>
      </c>
      <c r="F29" s="38">
        <v>3</v>
      </c>
      <c r="G29" s="38">
        <f t="shared" si="0"/>
        <v>3.3333333333333333E-2</v>
      </c>
      <c r="H29" s="40" t="str">
        <f t="shared" si="1"/>
        <v>Low</v>
      </c>
      <c r="I29" s="40"/>
      <c r="J29" s="40"/>
      <c r="K29" s="40" t="s">
        <v>99</v>
      </c>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row>
    <row r="30" spans="1:36" ht="15.75">
      <c r="A30" s="44" t="s">
        <v>100</v>
      </c>
      <c r="B30" s="37">
        <v>1000000</v>
      </c>
      <c r="C30" s="38">
        <v>1</v>
      </c>
      <c r="D30" s="38" t="s">
        <v>56</v>
      </c>
      <c r="E30" s="39">
        <f>_xlfn.XLOOKUP(D30,$L$7:$P$7,$L$6:$P$6)</f>
        <v>0.1</v>
      </c>
      <c r="F30" s="38">
        <v>3</v>
      </c>
      <c r="G30" s="38">
        <f t="shared" ref="G30:G31" si="2">SUM(C30*E30/F30)</f>
        <v>3.3333333333333333E-2</v>
      </c>
      <c r="H30" s="40" t="str">
        <f t="shared" ref="H30:H31" si="3">IF(AND(G30&gt;K$18, G30&lt;=L$18), M$18,
 IF(AND(G30&gt;K$19, G30&lt;=L$19), M$19,
 IF(AND(G30&gt;K$20, G30&lt;=L$20), M$20,
 IF(AND(G30&gt;K$21, G30&lt;=L$21), M$21,
 IF(G30&gt;K$22, M$22, "N/A")))))</f>
        <v>Low</v>
      </c>
      <c r="I30" s="40"/>
      <c r="J30" s="40"/>
      <c r="K30" s="40" t="s">
        <v>101</v>
      </c>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row>
    <row r="31" spans="1:36" ht="15.75">
      <c r="A31" s="44" t="s">
        <v>102</v>
      </c>
      <c r="B31" s="37">
        <v>1000000</v>
      </c>
      <c r="C31" s="38">
        <v>1</v>
      </c>
      <c r="D31" s="38" t="s">
        <v>56</v>
      </c>
      <c r="E31" s="39">
        <f>_xlfn.XLOOKUP(D31,$L$7:$P$7,$L$6:$P$6)</f>
        <v>0.1</v>
      </c>
      <c r="F31" s="38">
        <v>3</v>
      </c>
      <c r="G31" s="38">
        <f t="shared" si="2"/>
        <v>3.3333333333333333E-2</v>
      </c>
      <c r="H31" s="40" t="str">
        <f t="shared" si="3"/>
        <v>Low</v>
      </c>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row>
    <row r="32" spans="1:36" ht="15.75">
      <c r="A32" s="40"/>
      <c r="B32" s="40"/>
      <c r="C32" s="40"/>
      <c r="D32" s="40"/>
      <c r="E32" s="40"/>
      <c r="F32" s="40"/>
      <c r="G32" s="40"/>
      <c r="H32" s="40"/>
      <c r="I32" s="40"/>
      <c r="J32" s="40"/>
      <c r="K32" s="40" t="s">
        <v>103</v>
      </c>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row>
    <row r="33" spans="1:36" ht="15.75">
      <c r="A33" s="40"/>
      <c r="B33" s="40"/>
      <c r="C33" s="40"/>
      <c r="D33" s="40"/>
      <c r="E33" s="40"/>
      <c r="F33" s="40"/>
      <c r="G33" s="40"/>
      <c r="H33" s="40"/>
      <c r="I33" s="40"/>
      <c r="J33" s="40"/>
      <c r="K33" s="40" t="s">
        <v>104</v>
      </c>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row>
    <row r="34" spans="1:36" ht="15.75">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row>
    <row r="35" spans="1:36" ht="15.75">
      <c r="A35" s="40"/>
      <c r="B35" s="40"/>
      <c r="C35" s="40"/>
      <c r="D35" s="40"/>
      <c r="E35" s="40"/>
      <c r="F35" s="40"/>
      <c r="G35" s="40"/>
      <c r="H35" s="40"/>
      <c r="I35" s="40"/>
      <c r="J35" s="40"/>
      <c r="K35" s="40" t="s">
        <v>105</v>
      </c>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row>
    <row r="36" spans="1:36" ht="15.75">
      <c r="A36" s="40"/>
      <c r="B36" s="40"/>
      <c r="C36" s="40"/>
      <c r="D36" s="40"/>
      <c r="E36" s="40"/>
      <c r="F36" s="40"/>
      <c r="G36" s="40"/>
      <c r="H36" s="40"/>
      <c r="I36" s="40"/>
      <c r="J36" s="40"/>
      <c r="K36" s="43" t="s">
        <v>106</v>
      </c>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row>
    <row r="37" spans="1:36" ht="15.75">
      <c r="A37" s="40"/>
      <c r="B37" s="40"/>
      <c r="C37" s="40"/>
      <c r="D37" s="40"/>
      <c r="E37" s="40"/>
      <c r="F37" s="40"/>
      <c r="G37" s="40"/>
      <c r="H37" s="40"/>
      <c r="I37" s="40"/>
      <c r="J37" s="40"/>
      <c r="K37" s="43" t="s">
        <v>107</v>
      </c>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row>
    <row r="38" spans="1:36" ht="15.7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row>
    <row r="49" spans="3:3">
      <c r="C49">
        <v>1</v>
      </c>
    </row>
  </sheetData>
  <mergeCells count="4">
    <mergeCell ref="K1:M1"/>
    <mergeCell ref="K5:M5"/>
    <mergeCell ref="K9:M9"/>
    <mergeCell ref="K13:M13"/>
  </mergeCells>
  <dataValidations count="3">
    <dataValidation type="list" allowBlank="1" showInputMessage="1" showErrorMessage="1" sqref="C2:C49" xr:uid="{192ABFF1-D791-476B-A646-6829C18370AA}">
      <formula1>$L$2:$P$2</formula1>
    </dataValidation>
    <dataValidation type="list" allowBlank="1" showInputMessage="1" showErrorMessage="1" sqref="F2:F48" xr:uid="{EED8DD9F-6D16-445F-B4C6-A36CB558E5C9}">
      <formula1>$L$10:$P$10</formula1>
    </dataValidation>
    <dataValidation type="list" allowBlank="1" showInputMessage="1" showErrorMessage="1" sqref="D32:D48 D2:D31" xr:uid="{EB75BC41-1BFB-4AE3-B216-BB1AEC73B977}">
      <formula1>$L$7:$P$7</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CCEF2-BA44-4531-949C-9B79F6DB5FC4}">
  <dimension ref="A1:D51"/>
  <sheetViews>
    <sheetView topLeftCell="A6" workbookViewId="0">
      <selection activeCell="A44" sqref="A44:B44"/>
    </sheetView>
  </sheetViews>
  <sheetFormatPr defaultRowHeight="14.25"/>
  <cols>
    <col min="1" max="1" width="21" bestFit="1" customWidth="1"/>
    <col min="2" max="2" width="15.5703125" customWidth="1"/>
    <col min="3" max="3" width="26.140625" bestFit="1" customWidth="1"/>
    <col min="4" max="4" width="43.85546875" customWidth="1"/>
  </cols>
  <sheetData>
    <row r="1" spans="1:4">
      <c r="A1" s="27" t="s">
        <v>108</v>
      </c>
      <c r="B1" t="s">
        <v>109</v>
      </c>
    </row>
    <row r="2" spans="1:4">
      <c r="A2" s="27" t="s">
        <v>110</v>
      </c>
      <c r="B2" t="s">
        <v>111</v>
      </c>
    </row>
    <row r="3" spans="1:4">
      <c r="A3" s="27" t="s">
        <v>112</v>
      </c>
      <c r="B3" t="s">
        <v>113</v>
      </c>
    </row>
    <row r="4" spans="1:4">
      <c r="A4" s="27" t="s">
        <v>114</v>
      </c>
      <c r="B4" t="s">
        <v>115</v>
      </c>
    </row>
    <row r="5" spans="1:4" ht="14.65" thickBot="1"/>
    <row r="6" spans="1:4" ht="15.75">
      <c r="A6" s="46" t="s">
        <v>116</v>
      </c>
      <c r="B6" s="47" t="s">
        <v>117</v>
      </c>
      <c r="C6" s="29"/>
      <c r="D6" s="23"/>
    </row>
    <row r="7" spans="1:4">
      <c r="A7" s="30" t="s">
        <v>118</v>
      </c>
      <c r="B7" s="28"/>
      <c r="C7" s="27" t="s">
        <v>119</v>
      </c>
      <c r="D7" s="34"/>
    </row>
    <row r="8" spans="1:4">
      <c r="A8" s="30" t="s">
        <v>120</v>
      </c>
      <c r="B8" s="28" t="s">
        <v>121</v>
      </c>
      <c r="C8" s="27" t="s">
        <v>122</v>
      </c>
      <c r="D8" s="34"/>
    </row>
    <row r="9" spans="1:4">
      <c r="A9" s="30" t="s">
        <v>123</v>
      </c>
      <c r="B9" s="28"/>
      <c r="C9" s="27" t="s">
        <v>124</v>
      </c>
      <c r="D9" s="34"/>
    </row>
    <row r="10" spans="1:4">
      <c r="A10" s="30" t="s">
        <v>125</v>
      </c>
      <c r="B10" s="28"/>
      <c r="C10" s="27" t="s">
        <v>126</v>
      </c>
      <c r="D10" s="34"/>
    </row>
    <row r="11" spans="1:4">
      <c r="A11" s="30" t="s">
        <v>127</v>
      </c>
      <c r="B11" s="28"/>
      <c r="C11" s="27" t="s">
        <v>128</v>
      </c>
      <c r="D11" s="34"/>
    </row>
    <row r="12" spans="1:4">
      <c r="A12" s="30" t="s">
        <v>129</v>
      </c>
      <c r="B12" s="28"/>
      <c r="C12" s="27" t="s">
        <v>130</v>
      </c>
      <c r="D12" s="34"/>
    </row>
    <row r="13" spans="1:4" ht="14.65" thickBot="1">
      <c r="A13" s="31" t="s">
        <v>131</v>
      </c>
      <c r="B13" s="32"/>
      <c r="C13" s="33"/>
      <c r="D13" s="26"/>
    </row>
    <row r="16" spans="1:4" ht="14.65" thickBot="1"/>
    <row r="17" spans="1:4" ht="15.75">
      <c r="A17" s="46" t="s">
        <v>132</v>
      </c>
      <c r="B17" s="47" t="s">
        <v>133</v>
      </c>
      <c r="C17" s="29"/>
      <c r="D17" s="23"/>
    </row>
    <row r="18" spans="1:4">
      <c r="A18" s="30" t="s">
        <v>118</v>
      </c>
      <c r="B18" s="28"/>
      <c r="C18" s="27" t="s">
        <v>119</v>
      </c>
      <c r="D18" s="34"/>
    </row>
    <row r="19" spans="1:4">
      <c r="A19" s="30" t="s">
        <v>120</v>
      </c>
      <c r="B19" s="28" t="s">
        <v>134</v>
      </c>
      <c r="C19" s="27" t="s">
        <v>122</v>
      </c>
      <c r="D19" s="34"/>
    </row>
    <row r="20" spans="1:4">
      <c r="A20" s="30" t="s">
        <v>123</v>
      </c>
      <c r="B20" s="28"/>
      <c r="C20" s="27" t="s">
        <v>124</v>
      </c>
      <c r="D20" s="34"/>
    </row>
    <row r="21" spans="1:4">
      <c r="A21" s="30" t="s">
        <v>125</v>
      </c>
      <c r="B21" s="28"/>
      <c r="C21" s="27" t="s">
        <v>126</v>
      </c>
      <c r="D21" s="34"/>
    </row>
    <row r="22" spans="1:4">
      <c r="A22" s="30" t="s">
        <v>127</v>
      </c>
      <c r="B22" s="28"/>
      <c r="C22" s="27" t="s">
        <v>128</v>
      </c>
      <c r="D22" s="34"/>
    </row>
    <row r="23" spans="1:4">
      <c r="A23" s="30" t="s">
        <v>129</v>
      </c>
      <c r="B23" s="28"/>
      <c r="C23" s="27" t="s">
        <v>130</v>
      </c>
      <c r="D23" s="34"/>
    </row>
    <row r="24" spans="1:4" ht="14.65" thickBot="1">
      <c r="A24" s="31" t="s">
        <v>131</v>
      </c>
      <c r="B24" s="32"/>
      <c r="C24" s="33"/>
      <c r="D24" s="26"/>
    </row>
    <row r="25" spans="1:4" ht="14.65" thickBot="1"/>
    <row r="26" spans="1:4" ht="15.75">
      <c r="A26" s="46" t="s">
        <v>135</v>
      </c>
      <c r="B26" s="47" t="s">
        <v>136</v>
      </c>
      <c r="C26" s="29"/>
      <c r="D26" s="23"/>
    </row>
    <row r="27" spans="1:4">
      <c r="A27" s="30" t="s">
        <v>118</v>
      </c>
      <c r="B27" s="28"/>
      <c r="C27" s="27" t="s">
        <v>119</v>
      </c>
      <c r="D27" s="34"/>
    </row>
    <row r="28" spans="1:4">
      <c r="A28" s="30" t="s">
        <v>120</v>
      </c>
      <c r="B28" s="28" t="s">
        <v>137</v>
      </c>
      <c r="C28" s="27" t="s">
        <v>122</v>
      </c>
      <c r="D28" s="34"/>
    </row>
    <row r="29" spans="1:4">
      <c r="A29" s="30" t="s">
        <v>123</v>
      </c>
      <c r="B29" s="28"/>
      <c r="C29" s="27" t="s">
        <v>124</v>
      </c>
      <c r="D29" s="34"/>
    </row>
    <row r="30" spans="1:4">
      <c r="A30" s="30" t="s">
        <v>125</v>
      </c>
      <c r="B30" s="28"/>
      <c r="C30" s="27" t="s">
        <v>126</v>
      </c>
      <c r="D30" s="34"/>
    </row>
    <row r="31" spans="1:4">
      <c r="A31" s="30" t="s">
        <v>127</v>
      </c>
      <c r="B31" s="28"/>
      <c r="C31" s="27" t="s">
        <v>128</v>
      </c>
      <c r="D31" s="34"/>
    </row>
    <row r="32" spans="1:4">
      <c r="A32" s="30" t="s">
        <v>129</v>
      </c>
      <c r="B32" s="28"/>
      <c r="C32" s="27" t="s">
        <v>130</v>
      </c>
      <c r="D32" s="34"/>
    </row>
    <row r="33" spans="1:4" ht="14.65" thickBot="1">
      <c r="A33" s="31" t="s">
        <v>131</v>
      </c>
      <c r="B33" s="32"/>
      <c r="C33" s="33"/>
      <c r="D33" s="35"/>
    </row>
    <row r="34" spans="1:4" ht="14.65" thickBot="1">
      <c r="B34" s="27"/>
    </row>
    <row r="35" spans="1:4" ht="15.75">
      <c r="A35" s="46" t="s">
        <v>138</v>
      </c>
      <c r="B35" s="47" t="s">
        <v>139</v>
      </c>
      <c r="C35" s="29"/>
      <c r="D35" s="23"/>
    </row>
    <row r="36" spans="1:4">
      <c r="A36" s="30" t="s">
        <v>118</v>
      </c>
      <c r="B36" s="28"/>
      <c r="C36" s="27" t="s">
        <v>119</v>
      </c>
      <c r="D36" s="34"/>
    </row>
    <row r="37" spans="1:4">
      <c r="A37" s="30" t="s">
        <v>120</v>
      </c>
      <c r="B37" s="28" t="s">
        <v>140</v>
      </c>
      <c r="C37" s="27" t="s">
        <v>122</v>
      </c>
      <c r="D37" s="34"/>
    </row>
    <row r="38" spans="1:4">
      <c r="A38" s="30" t="s">
        <v>123</v>
      </c>
      <c r="B38" s="28"/>
      <c r="C38" s="27" t="s">
        <v>124</v>
      </c>
      <c r="D38" s="34"/>
    </row>
    <row r="39" spans="1:4">
      <c r="A39" s="30" t="s">
        <v>125</v>
      </c>
      <c r="B39" s="28"/>
      <c r="C39" s="27" t="s">
        <v>126</v>
      </c>
      <c r="D39" s="34"/>
    </row>
    <row r="40" spans="1:4">
      <c r="A40" s="30" t="s">
        <v>127</v>
      </c>
      <c r="B40" s="28"/>
      <c r="C40" s="27" t="s">
        <v>128</v>
      </c>
      <c r="D40" s="34"/>
    </row>
    <row r="41" spans="1:4">
      <c r="A41" s="30" t="s">
        <v>129</v>
      </c>
      <c r="B41" s="28"/>
      <c r="C41" s="27" t="s">
        <v>130</v>
      </c>
      <c r="D41" s="34"/>
    </row>
    <row r="42" spans="1:4" ht="14.65" thickBot="1">
      <c r="A42" s="31" t="s">
        <v>131</v>
      </c>
      <c r="B42" s="32"/>
      <c r="C42" s="33"/>
      <c r="D42" s="26"/>
    </row>
    <row r="43" spans="1:4" ht="14.65" thickBot="1">
      <c r="B43" s="27"/>
    </row>
    <row r="44" spans="1:4" ht="15.75">
      <c r="A44" s="46" t="s">
        <v>141</v>
      </c>
      <c r="B44" s="47"/>
      <c r="C44" s="29"/>
      <c r="D44" s="36"/>
    </row>
    <row r="45" spans="1:4">
      <c r="A45" s="30" t="s">
        <v>118</v>
      </c>
      <c r="B45" s="28"/>
      <c r="C45" s="27" t="s">
        <v>119</v>
      </c>
      <c r="D45" s="34"/>
    </row>
    <row r="46" spans="1:4">
      <c r="A46" s="30" t="s">
        <v>120</v>
      </c>
      <c r="B46" s="28" t="s">
        <v>142</v>
      </c>
      <c r="C46" s="27" t="s">
        <v>122</v>
      </c>
      <c r="D46" s="34"/>
    </row>
    <row r="47" spans="1:4">
      <c r="A47" s="30" t="s">
        <v>123</v>
      </c>
      <c r="B47" s="28"/>
      <c r="C47" s="27" t="s">
        <v>124</v>
      </c>
      <c r="D47" s="34"/>
    </row>
    <row r="48" spans="1:4">
      <c r="A48" s="30" t="s">
        <v>125</v>
      </c>
      <c r="B48" s="28"/>
      <c r="C48" s="27" t="s">
        <v>126</v>
      </c>
      <c r="D48" s="34"/>
    </row>
    <row r="49" spans="1:4">
      <c r="A49" s="30" t="s">
        <v>127</v>
      </c>
      <c r="B49" s="28"/>
      <c r="C49" s="27" t="s">
        <v>128</v>
      </c>
      <c r="D49" s="34"/>
    </row>
    <row r="50" spans="1:4">
      <c r="A50" s="30" t="s">
        <v>129</v>
      </c>
      <c r="B50" s="28"/>
      <c r="C50" s="27" t="s">
        <v>130</v>
      </c>
      <c r="D50" s="34"/>
    </row>
    <row r="51" spans="1:4" ht="14.65" thickBot="1">
      <c r="A51" s="31" t="s">
        <v>131</v>
      </c>
      <c r="B51" s="32"/>
      <c r="C51" s="33"/>
      <c r="D51" s="3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09E50-B698-4EF2-BAC7-BB4BE8935AA8}">
  <dimension ref="A1"/>
  <sheetViews>
    <sheetView workbookViewId="0">
      <selection activeCell="I1" sqref="I1"/>
    </sheetView>
  </sheetViews>
  <sheetFormatPr defaultRowHeight="14.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58E63FC6DC6B64AA5D585AEE2335658" ma:contentTypeVersion="14" ma:contentTypeDescription="Create a new document." ma:contentTypeScope="" ma:versionID="895307bd0ce6cd9f54a56c760aef5ddc">
  <xsd:schema xmlns:xsd="http://www.w3.org/2001/XMLSchema" xmlns:xs="http://www.w3.org/2001/XMLSchema" xmlns:p="http://schemas.microsoft.com/office/2006/metadata/properties" xmlns:ns2="780cf30d-e019-48c0-90df-b634f89f09fe" xmlns:ns3="776b37fa-c094-46af-b209-fc8360ed7e60" targetNamespace="http://schemas.microsoft.com/office/2006/metadata/properties" ma:root="true" ma:fieldsID="226c8d9449e0ffcc9df9e9061bf7b795" ns2:_="" ns3:_="">
    <xsd:import namespace="780cf30d-e019-48c0-90df-b634f89f09fe"/>
    <xsd:import namespace="776b37fa-c094-46af-b209-fc8360ed7e6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cf30d-e019-48c0-90df-b634f89f09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deb1fa4-7ef6-4a59-8f4b-72776d1714d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76b37fa-c094-46af-b209-fc8360ed7e6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ac509d80-55f3-417c-b44b-95b77eba5f24}" ma:internalName="TaxCatchAll" ma:showField="CatchAllData" ma:web="776b37fa-c094-46af-b209-fc8360ed7e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80cf30d-e019-48c0-90df-b634f89f09fe">
      <Terms xmlns="http://schemas.microsoft.com/office/infopath/2007/PartnerControls"/>
    </lcf76f155ced4ddcb4097134ff3c332f>
    <TaxCatchAll xmlns="776b37fa-c094-46af-b209-fc8360ed7e60" xsi:nil="true"/>
  </documentManagement>
</p:properties>
</file>

<file path=customXml/itemProps1.xml><?xml version="1.0" encoding="utf-8"?>
<ds:datastoreItem xmlns:ds="http://schemas.openxmlformats.org/officeDocument/2006/customXml" ds:itemID="{02226EDF-AC5C-44E0-8C50-DD2F2AFC8E6E}"/>
</file>

<file path=customXml/itemProps2.xml><?xml version="1.0" encoding="utf-8"?>
<ds:datastoreItem xmlns:ds="http://schemas.openxmlformats.org/officeDocument/2006/customXml" ds:itemID="{35BCED43-2D49-4852-8970-8CA468CC6159}"/>
</file>

<file path=customXml/itemProps3.xml><?xml version="1.0" encoding="utf-8"?>
<ds:datastoreItem xmlns:ds="http://schemas.openxmlformats.org/officeDocument/2006/customXml" ds:itemID="{F47F8FB9-DC41-4C0C-8975-80E894CCDA7F}"/>
</file>

<file path=customXml/itemProps4.xml><?xml version="1.0" encoding="utf-8"?>
<ds:datastoreItem xmlns:ds="http://schemas.openxmlformats.org/officeDocument/2006/customXml" ds:itemID="{093F9C49-2F71-4C58-9729-3FF4FB39C1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Trevor Symons</dc:creator>
  <cp:keywords/>
  <dc:description/>
  <cp:lastModifiedBy>Bryan Blair</cp:lastModifiedBy>
  <cp:revision/>
  <dcterms:created xsi:type="dcterms:W3CDTF">2024-07-09T22:20:33Z</dcterms:created>
  <dcterms:modified xsi:type="dcterms:W3CDTF">2024-07-15T19:34:43Z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0x010100D58E63FC6DC6B64AA5D585AEE2335658</vt:lpwstr>
  </property>
</Properties>
</file>