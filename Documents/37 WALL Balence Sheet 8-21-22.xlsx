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22" documentId="8_{5978F5D4-143A-4D0E-AC77-3E51BC59F289}" xr6:coauthVersionLast="47" xr6:coauthVersionMax="47" xr10:uidLastSave="{43DDF22E-6C5E-4076-94A3-87791BF3DD4F}"/>
  <bookViews>
    <workbookView xWindow="-26700" yWindow="60" windowWidth="25125" windowHeight="11385" xr2:uid="{4AA22DF6-59BA-48AE-AE21-55B84734B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G4" i="1"/>
  <c r="H4" i="1"/>
  <c r="C19" i="1"/>
  <c r="B19" i="1"/>
  <c r="D16" i="1"/>
  <c r="D17" i="1"/>
  <c r="D15" i="1"/>
  <c r="D8" i="1"/>
  <c r="C8" i="1"/>
  <c r="B6" i="1"/>
  <c r="C3" i="1"/>
  <c r="C4" i="1"/>
  <c r="C2" i="1"/>
  <c r="E3" i="1" l="1"/>
  <c r="F3" i="1" s="1"/>
  <c r="I3" i="1" s="1"/>
  <c r="E16" i="1" s="1"/>
  <c r="F16" i="1" s="1"/>
  <c r="D6" i="1"/>
  <c r="E4" i="1"/>
  <c r="F4" i="1" s="1"/>
  <c r="I4" i="1" s="1"/>
  <c r="E17" i="1" s="1"/>
  <c r="F17" i="1" s="1"/>
  <c r="E2" i="1"/>
  <c r="F2" i="1" s="1"/>
  <c r="D19" i="1"/>
  <c r="C6" i="1"/>
  <c r="E8" i="1"/>
  <c r="E6" i="1" l="1"/>
  <c r="F8" i="1"/>
  <c r="I2" i="1"/>
  <c r="F6" i="1"/>
  <c r="I6" i="1" l="1"/>
  <c r="E15" i="1"/>
  <c r="I8" i="1"/>
  <c r="F15" i="1" l="1"/>
  <c r="F19" i="1" s="1"/>
  <c r="I21" i="1" s="1"/>
  <c r="E19" i="1"/>
  <c r="I22" i="1" l="1"/>
  <c r="I24" i="1"/>
</calcChain>
</file>

<file path=xl/sharedStrings.xml><?xml version="1.0" encoding="utf-8"?>
<sst xmlns="http://schemas.openxmlformats.org/spreadsheetml/2006/main" count="28" uniqueCount="25">
  <si>
    <t>Bryan</t>
  </si>
  <si>
    <t>JR</t>
  </si>
  <si>
    <t xml:space="preserve">Kevin </t>
  </si>
  <si>
    <t>Names</t>
  </si>
  <si>
    <t xml:space="preserve">Rent Monthly </t>
  </si>
  <si>
    <t>Total</t>
  </si>
  <si>
    <t xml:space="preserve">17 Full Rent Months </t>
  </si>
  <si>
    <t>Sep 20' Prorated</t>
  </si>
  <si>
    <t>Individual Totals Rent</t>
  </si>
  <si>
    <t xml:space="preserve">Actual Rent </t>
  </si>
  <si>
    <t xml:space="preserve">Names </t>
  </si>
  <si>
    <t>Click Pay Payments</t>
  </si>
  <si>
    <t xml:space="preserve">Check Payments </t>
  </si>
  <si>
    <t>Individual Rent Plus Security</t>
  </si>
  <si>
    <t>Total Payments</t>
  </si>
  <si>
    <t>Kevin</t>
  </si>
  <si>
    <t>Totals</t>
  </si>
  <si>
    <t>Rent/Security/Fees</t>
  </si>
  <si>
    <t xml:space="preserve">Need to pay september 1 </t>
  </si>
  <si>
    <t>L/O Balance</t>
  </si>
  <si>
    <t>Total divided by 3</t>
  </si>
  <si>
    <t xml:space="preserve">Owed </t>
  </si>
  <si>
    <t xml:space="preserve">Late Fees/Chargebacks 21 total </t>
  </si>
  <si>
    <t xml:space="preserve">Current Balance </t>
  </si>
  <si>
    <t xml:space="preserve">Attorney /Legal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</si>
</sst>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1" fillId="3" borderId="2" applyNumberFormat="0" applyFont="0" applyAlignment="0" applyProtection="0"/>
  </cellStyleXfs>
  <cellXfs count="10">
    <xf numFmtId="0" fontId="0" fillId="0" borderId="0" xfId="0"/>
    <xf numFmtId="44" fontId="0" fillId="0" borderId="0" xfId="0" applyNumberFormat="1"/>
    <xf numFmtId="44" fontId="5" fillId="0" borderId="0" xfId="0" applyNumberFormat="1" applyFont="1"/>
    <xf numFmtId="9" fontId="0" fillId="0" borderId="0" xfId="1" applyFont="1"/>
    <xf numFmtId="44" fontId="0" fillId="0" borderId="0" xfId="1" applyNumberFormat="1" applyFont="1"/>
    <xf numFmtId="44" fontId="3" fillId="2" borderId="1" xfId="3" applyNumberFormat="1"/>
    <xf numFmtId="0" fontId="2" fillId="0" borderId="0" xfId="2"/>
    <xf numFmtId="0" fontId="2" fillId="3" borderId="2" xfId="4" applyFont="1"/>
    <xf numFmtId="0" fontId="4" fillId="0" borderId="0" xfId="0" applyFont="1"/>
    <xf numFmtId="0" fontId="3" fillId="2" borderId="1" xfId="3"/>
  </cellXfs>
  <cellStyles count="5">
    <cellStyle name="Calculation" xfId="3" builtinId="22"/>
    <cellStyle name="Heading 4" xfId="2" builtinId="19"/>
    <cellStyle name="Normal" xfId="0" builtinId="0"/>
    <cellStyle name="Note" xfId="4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2FF7C-806E-446D-B32C-DBE889E72760}" name="Table2" displayName="Table2" ref="A14:I22" headerRowCount="0" totalsRowCount="1">
  <tableColumns count="9">
    <tableColumn id="1" xr3:uid="{9B406C6A-36A8-44EE-9172-7AA66DAD178E}" name="Column1" totalsRowLabel="Total"/>
    <tableColumn id="2" xr3:uid="{4F24665C-DB7C-41C1-BD3A-C8BD391372C7}" name="Column2"/>
    <tableColumn id="3" xr3:uid="{5E763747-5B6F-469C-938A-B353EBA1DFA2}" name="Column3"/>
    <tableColumn id="4" xr3:uid="{DCBC5AA0-8C70-4636-AF7C-0413C2D66D46}" name="Column4"/>
    <tableColumn id="5" xr3:uid="{39DB9CB5-8AD8-47E9-93A3-3E0F62FFBFE4}" name="Column5"/>
    <tableColumn id="6" xr3:uid="{6EE7492F-0C81-497F-A474-60FA022D337C}" name="Column6"/>
    <tableColumn id="7" xr3:uid="{3CD2CB7B-8236-4CB9-BE36-AA3C963BC0F6}" name="Column7"/>
    <tableColumn id="8" xr3:uid="{1E48C60A-EC17-40A6-A6DE-A74BC9703885}" name="Column8"/>
    <tableColumn id="9" xr3:uid="{AF395087-B9E4-492C-B5D2-66992A9429A2}" name="Column9" totalsRowFunction="sum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B10-E040-4150-8C2F-287A77E18713}">
  <dimension ref="A1:I25"/>
  <sheetViews>
    <sheetView tabSelected="1" zoomScale="106" zoomScaleNormal="106" workbookViewId="0">
      <selection activeCell="H2" sqref="H2"/>
    </sheetView>
  </sheetViews>
  <sheetFormatPr defaultRowHeight="15" x14ac:dyDescent="0.25"/>
  <cols>
    <col min="1" max="1" width="18" customWidth="1"/>
    <col min="2" max="2" width="21.140625" customWidth="1"/>
    <col min="3" max="3" width="19" customWidth="1"/>
    <col min="4" max="4" width="17.42578125" customWidth="1"/>
    <col min="5" max="5" width="20.85546875" customWidth="1"/>
    <col min="6" max="6" width="27.7109375" customWidth="1"/>
    <col min="7" max="8" width="21.42578125" customWidth="1"/>
    <col min="9" max="9" width="18.42578125" customWidth="1"/>
  </cols>
  <sheetData>
    <row r="1" spans="1:9" x14ac:dyDescent="0.25">
      <c r="A1" s="7" t="s">
        <v>3</v>
      </c>
      <c r="B1" s="7" t="s">
        <v>4</v>
      </c>
      <c r="C1" s="7" t="s">
        <v>6</v>
      </c>
      <c r="D1" s="7" t="s">
        <v>7</v>
      </c>
      <c r="E1" s="7" t="s">
        <v>8</v>
      </c>
      <c r="F1" s="7" t="s">
        <v>13</v>
      </c>
      <c r="G1" s="7" t="s">
        <v>22</v>
      </c>
      <c r="H1" s="7" t="s">
        <v>24</v>
      </c>
      <c r="I1" s="7" t="s">
        <v>17</v>
      </c>
    </row>
    <row r="2" spans="1:9" x14ac:dyDescent="0.25">
      <c r="A2" s="8" t="s">
        <v>0</v>
      </c>
      <c r="B2" s="1">
        <v>1690</v>
      </c>
      <c r="C2" s="1">
        <f>(B2*17)</f>
        <v>28730</v>
      </c>
      <c r="D2" s="1">
        <f>(B2*0.9333)</f>
        <v>1577.277</v>
      </c>
      <c r="E2" s="1">
        <f>SUM(C2:D2)</f>
        <v>30307.277000000002</v>
      </c>
      <c r="F2" s="1">
        <f>SUM(B2+E2)</f>
        <v>31997.277000000002</v>
      </c>
      <c r="G2" s="1">
        <v>30</v>
      </c>
      <c r="H2" s="1">
        <v>0</v>
      </c>
      <c r="I2" s="1">
        <f>SUM(F2+G2+H2)</f>
        <v>32027.277000000002</v>
      </c>
    </row>
    <row r="3" spans="1:9" x14ac:dyDescent="0.25">
      <c r="A3" s="8" t="s">
        <v>1</v>
      </c>
      <c r="B3" s="1">
        <v>2080</v>
      </c>
      <c r="C3" s="1">
        <f t="shared" ref="C3:C4" si="0">(B3*17)</f>
        <v>35360</v>
      </c>
      <c r="D3" s="1">
        <f>(B3*0.9333)</f>
        <v>1941.2640000000001</v>
      </c>
      <c r="E3" s="1">
        <f t="shared" ref="E3:E4" si="1">SUM(C3:D3)</f>
        <v>37301.264000000003</v>
      </c>
      <c r="F3" s="1">
        <f>SUM(E3+B3)</f>
        <v>39381.264000000003</v>
      </c>
      <c r="G3" s="1">
        <v>0</v>
      </c>
      <c r="H3" s="1">
        <v>0</v>
      </c>
      <c r="I3" s="1">
        <f>SUM(F3+G3+H3)</f>
        <v>39381.264000000003</v>
      </c>
    </row>
    <row r="4" spans="1:9" x14ac:dyDescent="0.25">
      <c r="A4" s="8" t="s">
        <v>2</v>
      </c>
      <c r="B4" s="1">
        <v>2030</v>
      </c>
      <c r="C4" s="1">
        <f t="shared" si="0"/>
        <v>34510</v>
      </c>
      <c r="D4" s="1">
        <f>(B4*0.9333)</f>
        <v>1894.5989999999999</v>
      </c>
      <c r="E4" s="1">
        <f t="shared" si="1"/>
        <v>36404.599000000002</v>
      </c>
      <c r="F4" s="1">
        <f t="shared" ref="F4" si="2">SUM(E4+B4)</f>
        <v>38434.599000000002</v>
      </c>
      <c r="G4" s="1">
        <f>(50*21)-(50*9)</f>
        <v>600</v>
      </c>
      <c r="H4" s="1">
        <f>(110+88+400+400+88+110+400+88+110)</f>
        <v>1794</v>
      </c>
      <c r="I4" s="1">
        <f>SUM(F4+G4+H4)</f>
        <v>40828.599000000002</v>
      </c>
    </row>
    <row r="5" spans="1:9" x14ac:dyDescent="0.25">
      <c r="G5" s="1"/>
    </row>
    <row r="6" spans="1:9" x14ac:dyDescent="0.25">
      <c r="A6" s="9" t="s">
        <v>5</v>
      </c>
      <c r="B6" s="5">
        <f>SUM(B2:B4)</f>
        <v>5800</v>
      </c>
      <c r="C6" s="5">
        <f>SUM(C2:C4)</f>
        <v>98600</v>
      </c>
      <c r="D6" s="5">
        <f>SUM(D2:D4)</f>
        <v>5413.14</v>
      </c>
      <c r="E6" s="5">
        <f>SUM(E2:E4)</f>
        <v>104013.14</v>
      </c>
      <c r="F6" s="5">
        <f>SUM(F2:F4)</f>
        <v>109813.14</v>
      </c>
      <c r="G6" s="5"/>
      <c r="H6" s="9"/>
      <c r="I6" s="5">
        <f>SUM(I2:I4)</f>
        <v>112237.14</v>
      </c>
    </row>
    <row r="7" spans="1:9" x14ac:dyDescent="0.25">
      <c r="G7" s="1"/>
    </row>
    <row r="8" spans="1:9" x14ac:dyDescent="0.25">
      <c r="A8" s="8" t="s">
        <v>9</v>
      </c>
      <c r="B8" s="1">
        <v>5800</v>
      </c>
      <c r="C8" s="1">
        <f>(B8*17)</f>
        <v>98600</v>
      </c>
      <c r="D8" s="1">
        <f>(B8*0.9334)</f>
        <v>5413.72</v>
      </c>
      <c r="E8" s="1">
        <f>SUM(C8+D8)</f>
        <v>104013.72</v>
      </c>
      <c r="F8" s="1">
        <f>SUM(B8+E8)</f>
        <v>109813.72</v>
      </c>
      <c r="G8" s="1"/>
      <c r="I8" s="1">
        <f>SUM(F8+G4+H4)</f>
        <v>112207.72</v>
      </c>
    </row>
    <row r="9" spans="1:9" x14ac:dyDescent="0.25">
      <c r="G9" s="1"/>
    </row>
    <row r="10" spans="1:9" x14ac:dyDescent="0.25">
      <c r="B10" s="1"/>
      <c r="C10" s="1"/>
      <c r="D10" s="1"/>
      <c r="E10" s="1"/>
      <c r="F10" s="1"/>
      <c r="G10" s="1"/>
      <c r="I10" s="1"/>
    </row>
    <row r="11" spans="1:9" x14ac:dyDescent="0.25">
      <c r="A11" s="9" t="s">
        <v>23</v>
      </c>
      <c r="B11" s="9"/>
      <c r="C11" s="9"/>
      <c r="D11" s="9"/>
      <c r="E11" s="9"/>
      <c r="F11" s="9"/>
      <c r="G11" s="9"/>
      <c r="H11" s="9"/>
      <c r="I11" s="5">
        <v>2731.34</v>
      </c>
    </row>
    <row r="14" spans="1:9" x14ac:dyDescent="0.25">
      <c r="A14" s="6" t="s">
        <v>10</v>
      </c>
      <c r="B14" s="6" t="s">
        <v>11</v>
      </c>
      <c r="C14" s="6" t="s">
        <v>12</v>
      </c>
      <c r="D14" s="6" t="s">
        <v>14</v>
      </c>
      <c r="E14" s="6" t="s">
        <v>21</v>
      </c>
      <c r="F14" s="6" t="s">
        <v>18</v>
      </c>
      <c r="G14" s="6"/>
      <c r="H14" s="6"/>
      <c r="I14" s="6"/>
    </row>
    <row r="15" spans="1:9" x14ac:dyDescent="0.25">
      <c r="A15" t="s">
        <v>0</v>
      </c>
      <c r="B15" s="2">
        <v>27250</v>
      </c>
      <c r="C15" s="2">
        <v>3480</v>
      </c>
      <c r="D15" s="1">
        <f>SUM(B15:C15)</f>
        <v>30730</v>
      </c>
      <c r="E15" s="1">
        <f>I2</f>
        <v>32027.277000000002</v>
      </c>
      <c r="F15" s="1">
        <f>SUM(E15-D15)</f>
        <v>1297.2770000000019</v>
      </c>
    </row>
    <row r="16" spans="1:9" x14ac:dyDescent="0.25">
      <c r="A16" t="s">
        <v>1</v>
      </c>
      <c r="B16" s="2">
        <v>35230</v>
      </c>
      <c r="C16" s="1">
        <v>4060</v>
      </c>
      <c r="D16" s="1">
        <f t="shared" ref="D16:D17" si="3">SUM(B16:C16)</f>
        <v>39290</v>
      </c>
      <c r="E16" s="1">
        <f>I3</f>
        <v>39381.264000000003</v>
      </c>
      <c r="F16" s="1">
        <f t="shared" ref="F16:F17" si="4">SUM(E16-D16)</f>
        <v>91.264000000002852</v>
      </c>
    </row>
    <row r="17" spans="1:9" x14ac:dyDescent="0.25">
      <c r="A17" t="s">
        <v>15</v>
      </c>
      <c r="B17" s="2">
        <v>35425</v>
      </c>
      <c r="C17" s="1">
        <v>4060</v>
      </c>
      <c r="D17" s="1">
        <f t="shared" si="3"/>
        <v>39485</v>
      </c>
      <c r="E17" s="1">
        <f>I4</f>
        <v>40828.599000000002</v>
      </c>
      <c r="F17" s="1">
        <f t="shared" si="4"/>
        <v>1343.599000000002</v>
      </c>
    </row>
    <row r="19" spans="1:9" x14ac:dyDescent="0.25">
      <c r="A19" t="s">
        <v>16</v>
      </c>
      <c r="B19" s="1">
        <f>SUM(B15:B17)</f>
        <v>97905</v>
      </c>
      <c r="C19" s="1">
        <f>SUM(C15:C17)</f>
        <v>11600</v>
      </c>
      <c r="D19" s="1">
        <f>SUM(D15:D17)</f>
        <v>109505</v>
      </c>
      <c r="E19" s="1">
        <f>SUM(E15:E17)</f>
        <v>112237.14</v>
      </c>
      <c r="F19" s="1">
        <f>SUM(F15:F17)</f>
        <v>2732.1400000000067</v>
      </c>
    </row>
    <row r="21" spans="1:9" x14ac:dyDescent="0.25">
      <c r="A21" t="s">
        <v>19</v>
      </c>
      <c r="I21" s="1">
        <f>SUM(I11-F19)</f>
        <v>-0.80000000000654836</v>
      </c>
    </row>
    <row r="22" spans="1:9" x14ac:dyDescent="0.25">
      <c r="A22" t="s">
        <v>5</v>
      </c>
      <c r="I22">
        <f>SUBTOTAL(109,Table2[Column9])</f>
        <v>-0.80000000000654836</v>
      </c>
    </row>
    <row r="23" spans="1:9" x14ac:dyDescent="0.25">
      <c r="F23" s="4"/>
      <c r="G23" s="3"/>
    </row>
    <row r="24" spans="1:9" x14ac:dyDescent="0.25">
      <c r="A24" s="9" t="s">
        <v>20</v>
      </c>
      <c r="B24" s="9"/>
      <c r="C24" s="9"/>
      <c r="D24" s="9"/>
      <c r="E24" s="9"/>
      <c r="F24" s="5"/>
      <c r="G24" s="9"/>
      <c r="H24" s="9"/>
      <c r="I24" s="5">
        <f>(I21/3)</f>
        <v>-0.26666666666884947</v>
      </c>
    </row>
    <row r="25" spans="1:9" x14ac:dyDescent="0.25">
      <c r="F25" s="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Blair</cp:lastModifiedBy>
  <dcterms:created xsi:type="dcterms:W3CDTF">2022-08-19T19:57:37Z</dcterms:created>
  <dcterms:modified xsi:type="dcterms:W3CDTF">2022-08-24T17:04:43Z</dcterms:modified>
</cp:coreProperties>
</file>