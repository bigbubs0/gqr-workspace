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codeName="ThisWorkbook" autoCompressPictures="0"/>
  <mc:AlternateContent xmlns:mc="http://schemas.openxmlformats.org/markup-compatibility/2006">
    <mc:Choice Requires="x15">
      <x15ac:absPath xmlns:x15ac="http://schemas.microsoft.com/office/spreadsheetml/2010/11/ac" url="https://d.docs.live.net/03f5a8b71d73844e/Documents/"/>
    </mc:Choice>
  </mc:AlternateContent>
  <xr:revisionPtr revIDLastSave="340" documentId="14_{74C3C311-71F7-4401-A98F-1F2F3995BE22}" xr6:coauthVersionLast="47" xr6:coauthVersionMax="47" xr10:uidLastSave="{DB470486-40AC-47E1-A0BA-99A1FE36FC12}"/>
  <bookViews>
    <workbookView xWindow="-120" yWindow="-120" windowWidth="29040" windowHeight="15840" activeTab="2" xr2:uid="{00000000-000D-0000-FFFF-FFFF00000000}"/>
  </bookViews>
  <sheets>
    <sheet name="Unpaid" sheetId="1" r:id="rId1"/>
    <sheet name="Paid" sheetId="3" r:id="rId2"/>
    <sheet name="Repayment and Income Forecast " sheetId="7" r:id="rId3"/>
    <sheet name="On the Herizon " sheetId="5" state="hidden" r:id="rId4"/>
    <sheet name="Sheet1" sheetId="4" state="hidden" r:id="rId5"/>
  </sheets>
  <definedNames>
    <definedName name="_xlnm.Print_Titles" localSheetId="3">'On the Herizon '!$4:$4</definedName>
    <definedName name="_xlnm.Print_Titles" localSheetId="1">Paid!$4:$4</definedName>
    <definedName name="_xlnm.Print_Titles" localSheetId="0">Unpaid!$4:$4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0" i="7" l="1"/>
  <c r="C12" i="7"/>
  <c r="F21" i="7"/>
  <c r="A5" i="7"/>
  <c r="B27" i="7"/>
  <c r="B3" i="5"/>
  <c r="B3" i="3"/>
  <c r="B3" i="1"/>
</calcChain>
</file>

<file path=xl/sharedStrings.xml><?xml version="1.0" encoding="utf-8"?>
<sst xmlns="http://schemas.openxmlformats.org/spreadsheetml/2006/main" count="110" uniqueCount="89">
  <si>
    <t xml:space="preserve"> Expenses Not Paid </t>
  </si>
  <si>
    <t>Total</t>
  </si>
  <si>
    <t>Item</t>
  </si>
  <si>
    <t>Cost</t>
  </si>
  <si>
    <t>Gym 1/3</t>
  </si>
  <si>
    <t xml:space="preserve">Got a call from there billing department today asking about the status of my payment. </t>
  </si>
  <si>
    <t>Subway 1/3</t>
  </si>
  <si>
    <t xml:space="preserve">This money gets taken out of my pretax income each month now. I need to submit the bill in order to access the funds. </t>
  </si>
  <si>
    <t>Electricity 1/2</t>
  </si>
  <si>
    <t xml:space="preserve">Thank god its winter and the bill about half of what it is during the summer. </t>
  </si>
  <si>
    <t>Cigna Co-Pay Concerta</t>
  </si>
  <si>
    <t>Until I hit my $6k deductible this is the monthly cost for my meds. I will get reimbursed this money because I have $300 per month taken out of my check now to go into my Health Flex Spending Account - Unfortunately, I need to submit the bill for the Meds.</t>
  </si>
  <si>
    <t xml:space="preserve">Cigna Co-Pay Doctors </t>
  </si>
  <si>
    <t>Until I hit my $6k deductible this is the monthly cost for myI will get reimbursed this month because I have $300 per month taken out of my check now to go into my Health Flex Spending Account - Unfortunately, I need to submit the bill for the Appointment first.</t>
  </si>
  <si>
    <t>Groceries and Meat through 1/30</t>
  </si>
  <si>
    <t xml:space="preserve">This includes Grocieries, Butcher, Tolietries and Household Goods ( Paper towels, Laundry Deturgent, trash bags etc). I spend roughly $1550 a month based off my Mint Mobile App which tracks spending and catorgorizies it. </t>
  </si>
  <si>
    <t>Haircut 1/7</t>
  </si>
  <si>
    <t xml:space="preserve">Last Haircut was on 12/23 </t>
  </si>
  <si>
    <t>Haircut 1/20</t>
  </si>
  <si>
    <t xml:space="preserve">Second Haircut of the month </t>
  </si>
  <si>
    <t>Youtube Premium 1/3</t>
  </si>
  <si>
    <t xml:space="preserve">I can't live without this. Youtube is to value of a resource for me. </t>
  </si>
  <si>
    <t>Amazon Prime 1/4</t>
  </si>
  <si>
    <t xml:space="preserve">We live in a world that requires prime. Hopefully ill recoupe the $15 in savings from free shipping. </t>
  </si>
  <si>
    <t>Cable 1/3</t>
  </si>
  <si>
    <t>Kindle Unlimited 1/4</t>
  </si>
  <si>
    <t>Audible (Audio Book App) 1/4</t>
  </si>
  <si>
    <t>Alani's B day Present Kenny Chesney Tickets  1/14</t>
  </si>
  <si>
    <t xml:space="preserve"> Kenny Chesney is her favorite artist and she has never been to an outdoor country concert before so this is like the perfect gift. The concert isn't until August but I fully expect we will still be together. If not she can have both tickets. These are absolute nose bleeds seats and the cheapest ones I could find after taxes and fees. The price of the tickets keeps going up and tickets are becoming less available I'm concerned if I don't act soon this will screw up the idea. I know it's a little expensive but she spent easily $350 on me for Christmas and I did about $100. She is very close with her family and is the type of person who would share what I got her and what she got me. She isn't a materialistic person so it wouldn't occur to her how much of a scrub it could make me look like sharing what we got each other for Xmas. Especially considering they know I am 25 and probably would think I'm much more financially stable.</t>
  </si>
  <si>
    <t>Alani's B day Dinner 1/14</t>
  </si>
  <si>
    <t>This is enough to find a decent place where I won't embarrass myself with a very cheap and unromantic restaurant. Less than this would certainly sacrifice quality and expirence. Granted I know she wouldn’t care but here friends and family are going to ask where we went for her bday. I feel more comfortable being a cheapskate once I've met all of them.</t>
  </si>
  <si>
    <t>Debt to Dad from last month that was not covered by xmas money ($842)</t>
  </si>
  <si>
    <t xml:space="preserve">The plan was to pay $422 on December 31st and Janruary 31st. I am unable to pay the $422 this month so likely will need to do Jan 31 and Feb 31 instead </t>
  </si>
  <si>
    <t xml:space="preserve">&lt;-----Yellow indictates things I would have been paying for and am now forgoing. </t>
  </si>
  <si>
    <t xml:space="preserve">Nicotine 1/25. </t>
  </si>
  <si>
    <t xml:space="preserve">I will figure out a way to get by with what I have until the month </t>
  </si>
  <si>
    <t>Spoitfy (Music Streaming)</t>
  </si>
  <si>
    <t xml:space="preserve">I'll work out with no music this month </t>
  </si>
  <si>
    <t>Dinning out (excluding Alani Bday $0)</t>
  </si>
  <si>
    <t xml:space="preserve">Am going to completely forgo eatting out </t>
  </si>
  <si>
    <t xml:space="preserve">Jr, Kevin and I friend group is going on ski trip in feb </t>
  </si>
  <si>
    <t xml:space="preserve">I was planning to go on this trip to vermount and was quite excited about it but let everyone know today I was not going to have the funds avaiable. Would have been roughly $550. </t>
  </si>
  <si>
    <t xml:space="preserve">Clothing </t>
  </si>
  <si>
    <t xml:space="preserve">I will not purchase so much as a pair of socks </t>
  </si>
  <si>
    <t xml:space="preserve">Social Activities with Friends and entertainment expenses </t>
  </si>
  <si>
    <t xml:space="preserve">Stuffing like going out on the weekends with Zinco or Kevin. I truly enjoy that time but I will forgo until my circumstances improve. </t>
  </si>
  <si>
    <t xml:space="preserve">Expenses Paid </t>
  </si>
  <si>
    <t>Rent</t>
  </si>
  <si>
    <t>Fun fact the last 3 month of my lease June, July, Augest are free as part of the 6 months free we got on this lease. First 3 were free and the last 3 are free :)</t>
  </si>
  <si>
    <t xml:space="preserve">Debt Payment </t>
  </si>
  <si>
    <t>Health Care Spending Account</t>
  </si>
  <si>
    <t>Taken out of pretax income from paycheck. Goes towards Health Care expenses not covered until my deducdiable is hit.</t>
  </si>
  <si>
    <t xml:space="preserve">Transit Spending Account </t>
  </si>
  <si>
    <t xml:space="preserve">Taken out of pretax income from paycheck. Goes towards monthly subway cost </t>
  </si>
  <si>
    <t xml:space="preserve">Linkedin Premium </t>
  </si>
  <si>
    <t xml:space="preserve">Basically a requirement for a recruiter to have linkedin premium. Only 2 people at my company don't have it that I have noticed. </t>
  </si>
  <si>
    <t>Grocery trip 1/1</t>
  </si>
  <si>
    <t xml:space="preserve">New years eve dinner </t>
  </si>
  <si>
    <t xml:space="preserve">I paid for half and Alani paid the other half </t>
  </si>
  <si>
    <t xml:space="preserve">Current Debt to Dad Thru 1/6/22 + Additional Debt (Assumes you say yes) </t>
  </si>
  <si>
    <t xml:space="preserve">Balance </t>
  </si>
  <si>
    <t xml:space="preserve">Description </t>
  </si>
  <si>
    <t xml:space="preserve">Current Balance on Princpial December 2021 Loan </t>
  </si>
  <si>
    <t>Additional Principal Inccurred if you agree to Loan me the money</t>
  </si>
  <si>
    <t>New Balance Total as of 1/6/21</t>
  </si>
  <si>
    <t>Incoming Sources</t>
  </si>
  <si>
    <t>Month (EST)</t>
  </si>
  <si>
    <t>Expected Income Amount</t>
  </si>
  <si>
    <t xml:space="preserve">Unpaid Commissions from 2021 Placements </t>
  </si>
  <si>
    <t xml:space="preserve">Jan-April </t>
  </si>
  <si>
    <t xml:space="preserve">The remaining outstanding commissions from 2021 haven't been paid out to me yet. I expect this to be paid out over my 1/30/22, 2/30/22, 3/30/20 &amp; 4/30/22 Pay Checks. </t>
  </si>
  <si>
    <t xml:space="preserve">Tax Returns </t>
  </si>
  <si>
    <t>March-April</t>
  </si>
  <si>
    <t xml:space="preserve">The IRS website has a tax return calculator that I have used in the past where you type in your income and what you paid in taxes for federal, state, and local gives you an estimate of your return. In the last 2 years, this estimate was about 10% less than I ended up getting. I paid $22k in taxes in 2022, and the estimated figure I got for this year's return was 10,231 because of the education credit that I'll add to this year's taxes worth $2k; I round up to $12k for the estimated return. My W2 becomes available on 1/11/22, and I plan to complete my taxes within a week of receiving the W2. </t>
  </si>
  <si>
    <t xml:space="preserve">Not Rent Payments last 3 months of lease </t>
  </si>
  <si>
    <t>July-Sep</t>
  </si>
  <si>
    <t xml:space="preserve">When we signed our 24-month lease for this apartment, they gave us 6 months free. No rent payments for the first 3 months and the last 3 months is how it was structured. We didn't have to pay rent for Sep, Oct, Nov of 2020, and no rent payments will be needed for July, Aug, and September of 2022. This puts an extra $1575 in my pocket for each of those months. </t>
  </si>
  <si>
    <t xml:space="preserve">End of Credit Card Debt Payments </t>
  </si>
  <si>
    <t>Aug-the day I die</t>
  </si>
  <si>
    <t xml:space="preserve">My last debt payment is July 1, 2022, and will free up an additional $1019 each month. 
</t>
  </si>
  <si>
    <t>Total Additional Income</t>
  </si>
  <si>
    <t>Jan-Sep</t>
  </si>
  <si>
    <t xml:space="preserve">Better days are certainly ahead, with almost $47k income outside of what ill make in placements this year which in take-home pay airing towards the conservative side will be $100k. I didn't make my first placement in June 2021 and will probably make 15 placements between now and June, so I'm confident there is a lot of money to be made in recruiting. I just need to keep grinding it out until my head is entirely above water. </t>
  </si>
  <si>
    <t>Example of repayment plan # 1</t>
  </si>
  <si>
    <t>Example of repayment plan # 2</t>
  </si>
  <si>
    <t xml:space="preserve">Month </t>
  </si>
  <si>
    <t>Payment Amount (Worst Case)</t>
  </si>
  <si>
    <t>Payment Amount (Best Case)</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</si>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</sst>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quot;$&quot;#,##0.00;[Red]&quot;$&quot;#,##0.00"/>
    <numFmt numFmtId="166" formatCode="_([$$-409]* #,##0.00_);_([$$-409]* \(#,##0.00\);_([$$-409]* &quot;-&quot;??_);_(@_)"/>
  </numFmts>
  <fonts count="18">
    <font>
      <sz val="11"/>
      <color theme="1" tint="0.24994659260841701"/>
      <name val="Calibri"/>
      <family val="2"/>
      <scheme val="minor"/>
    </font>
    <font>
      <b/>
      <sz val="28"/>
      <color theme="4"/>
      <name val="Calibri"/>
      <family val="2"/>
      <scheme val="major"/>
    </font>
    <font>
      <b/>
      <sz val="11"/>
      <color theme="4"/>
      <name val="Calibri"/>
      <family val="2"/>
      <scheme val="minor"/>
    </font>
    <font>
      <b/>
      <sz val="24"/>
      <color theme="0"/>
      <name val="Calibri"/>
      <family val="2"/>
      <scheme val="minor"/>
    </font>
    <font>
      <b/>
      <sz val="14"/>
      <color theme="3"/>
      <name val="Calibri"/>
      <family val="2"/>
      <scheme val="major"/>
    </font>
    <font>
      <sz val="11"/>
      <color theme="1" tint="0.24994659260841701"/>
      <name val="Calibri"/>
      <family val="2"/>
      <scheme val="minor"/>
    </font>
    <font>
      <b/>
      <sz val="28"/>
      <color theme="6"/>
      <name val="Calibri (Headings)"/>
    </font>
    <font>
      <sz val="11"/>
      <color rgb="FF9C5700"/>
      <name val="Calibri"/>
      <family val="2"/>
      <scheme val="minor"/>
    </font>
    <font>
      <sz val="11"/>
      <color rgb="FF3F3F76"/>
      <name val="Calibri"/>
      <scheme val="minor"/>
    </font>
    <font>
      <b/>
      <sz val="11"/>
      <color rgb="FFFA7D00"/>
      <name val="Calibri"/>
      <scheme val="minor"/>
    </font>
    <font>
      <sz val="11"/>
      <color theme="1" tint="0.34998626667073579"/>
      <name val="Calibri"/>
      <family val="2"/>
      <scheme val="minor"/>
    </font>
    <font>
      <b/>
      <sz val="11"/>
      <color theme="3"/>
      <name val="Calibri"/>
      <family val="2"/>
      <scheme val="minor"/>
    </font>
    <font>
      <sz val="11"/>
      <color rgb="FF3F3F76"/>
      <name val="Calibri"/>
      <family val="2"/>
      <scheme val="minor"/>
    </font>
    <font>
      <i/>
      <sz val="11"/>
      <color rgb="FF7F7F7F"/>
      <name val="Calibri"/>
      <family val="2"/>
      <scheme val="minor"/>
    </font>
    <font>
      <b/>
      <sz val="11"/>
      <color rgb="FFFA7D00"/>
      <name val="Calibri"/>
      <family val="2"/>
      <scheme val="minor"/>
    </font>
    <font>
      <sz val="11"/>
      <color rgb="FF006100"/>
      <name val="Calibri"/>
      <family val="2"/>
      <scheme val="minor"/>
    </font>
    <font>
      <b/>
      <i/>
      <sz val="11"/>
      <color theme="1" tint="0.24994659260841701"/>
      <name val="Calibri"/>
      <family val="2"/>
      <scheme val="minor"/>
    </font>
    <font>
      <b/>
      <sz val="11"/>
      <color theme="2"/>
      <name val="Calibri"/>
      <family val="2"/>
      <scheme val="minor"/>
    </font>
  </fonts>
  <fills count="10">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C6EFCE"/>
      </patternFill>
    </fill>
    <fill>
      <patternFill patternType="solid">
        <fgColor theme="2"/>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0" tint="-0.34998626667073579"/>
      </top>
      <bottom style="thin">
        <color theme="0" tint="-0.34998626667073579"/>
      </bottom>
      <diagonal/>
    </border>
    <border>
      <left/>
      <right/>
      <top/>
      <bottom style="thin">
        <color theme="4"/>
      </bottom>
      <diagonal/>
    </border>
  </borders>
  <cellStyleXfs count="12">
    <xf numFmtId="0" fontId="0" fillId="0" borderId="0">
      <alignment vertical="center" wrapText="1"/>
    </xf>
    <xf numFmtId="0" fontId="1" fillId="0" borderId="0" applyNumberFormat="0" applyFill="0" applyBorder="0" applyAlignment="0" applyProtection="0"/>
    <xf numFmtId="0" fontId="4" fillId="0" borderId="0" applyNumberFormat="0" applyFill="0" applyAlignment="0" applyProtection="0"/>
    <xf numFmtId="164" fontId="3" fillId="2" borderId="0" applyProtection="0">
      <alignment horizontal="right"/>
    </xf>
    <xf numFmtId="0" fontId="2" fillId="0" borderId="0" applyNumberFormat="0" applyFill="0" applyAlignment="0" applyProtection="0"/>
    <xf numFmtId="165" fontId="5" fillId="0" borderId="0" applyFont="0" applyFill="0" applyBorder="0" applyProtection="0">
      <alignment horizontal="right" vertical="center"/>
    </xf>
    <xf numFmtId="0" fontId="7" fillId="4" borderId="0" applyNumberFormat="0" applyBorder="0" applyAlignment="0" applyProtection="0"/>
    <xf numFmtId="0" fontId="8" fillId="5" borderId="1" applyNumberFormat="0" applyAlignment="0" applyProtection="0"/>
    <xf numFmtId="0" fontId="9" fillId="6" borderId="1" applyNumberFormat="0" applyAlignment="0" applyProtection="0"/>
    <xf numFmtId="0" fontId="5" fillId="7" borderId="2" applyNumberFormat="0" applyFont="0" applyAlignment="0" applyProtection="0"/>
    <xf numFmtId="0" fontId="11" fillId="0" borderId="0" applyNumberFormat="0" applyFill="0" applyBorder="0" applyAlignment="0" applyProtection="0"/>
    <xf numFmtId="0" fontId="15" fillId="8" borderId="0" applyNumberFormat="0" applyBorder="0" applyAlignment="0" applyProtection="0"/>
  </cellStyleXfs>
  <cellXfs count="32">
    <xf numFmtId="0" fontId="0" fillId="0" borderId="0" xfId="0">
      <alignment vertical="center" wrapText="1"/>
    </xf>
    <xf numFmtId="0" fontId="0" fillId="0" borderId="0" xfId="0" applyAlignment="1"/>
    <xf numFmtId="0" fontId="0" fillId="0" borderId="0" xfId="0" applyAlignment="1">
      <alignment horizontal="left" vertical="center" wrapText="1"/>
    </xf>
    <xf numFmtId="0" fontId="1" fillId="0" borderId="0" xfId="1" applyAlignment="1">
      <alignment horizontal="left" vertical="center"/>
    </xf>
    <xf numFmtId="0" fontId="4" fillId="0" borderId="0" xfId="2" applyAlignment="1">
      <alignment horizontal="left"/>
    </xf>
    <xf numFmtId="0" fontId="0" fillId="0" borderId="0" xfId="0" applyAlignment="1">
      <alignment horizontal="right" vertical="center"/>
    </xf>
    <xf numFmtId="164" fontId="3" fillId="2" borderId="0" xfId="3">
      <alignment horizontal="right"/>
    </xf>
    <xf numFmtId="0" fontId="0" fillId="0" borderId="0" xfId="0" applyAlignment="1">
      <alignment horizontal="left"/>
    </xf>
    <xf numFmtId="0" fontId="0" fillId="0" borderId="0" xfId="0" applyAlignment="1">
      <alignment horizontal="right"/>
    </xf>
    <xf numFmtId="165" fontId="0" fillId="0" borderId="0" xfId="5" applyFont="1" applyFill="1" applyBorder="1">
      <alignment horizontal="right" vertical="center"/>
    </xf>
    <xf numFmtId="165" fontId="0" fillId="0" borderId="0" xfId="5" applyFont="1">
      <alignment horizontal="right" vertical="center"/>
    </xf>
    <xf numFmtId="0" fontId="6" fillId="0" borderId="0" xfId="1" applyFont="1" applyAlignment="1">
      <alignment horizontal="left" vertical="center"/>
    </xf>
    <xf numFmtId="164" fontId="3" fillId="3" borderId="0" xfId="3" applyFill="1">
      <alignment horizontal="right"/>
    </xf>
    <xf numFmtId="0" fontId="7" fillId="4" borderId="0" xfId="6" applyAlignment="1">
      <alignment horizontal="left" vertical="center" wrapText="1"/>
    </xf>
    <xf numFmtId="165" fontId="7" fillId="4" borderId="0" xfId="6" applyNumberFormat="1" applyAlignment="1">
      <alignment horizontal="right" vertical="center"/>
    </xf>
    <xf numFmtId="0" fontId="7" fillId="4" borderId="0" xfId="6" applyAlignment="1">
      <alignment vertical="center" wrapText="1"/>
    </xf>
    <xf numFmtId="44" fontId="9" fillId="6" borderId="1" xfId="8" applyNumberFormat="1" applyAlignment="1">
      <alignment vertical="center" wrapText="1"/>
    </xf>
    <xf numFmtId="44" fontId="8" fillId="5" borderId="1" xfId="7" applyNumberFormat="1" applyAlignment="1">
      <alignment vertical="center" wrapText="1"/>
    </xf>
    <xf numFmtId="0" fontId="9" fillId="6" borderId="1" xfId="8" applyAlignment="1">
      <alignment vertical="center" wrapText="1"/>
    </xf>
    <xf numFmtId="16" fontId="8" fillId="5" borderId="1" xfId="7" applyNumberFormat="1" applyAlignment="1">
      <alignment vertical="center" wrapText="1"/>
    </xf>
    <xf numFmtId="44" fontId="12" fillId="5" borderId="1" xfId="7" applyNumberFormat="1" applyFont="1" applyFill="1" applyBorder="1" applyAlignment="1">
      <alignment vertical="center" wrapText="1"/>
    </xf>
    <xf numFmtId="0" fontId="13" fillId="5" borderId="3" xfId="7" applyFont="1" applyBorder="1" applyAlignment="1">
      <alignment vertical="center" wrapText="1"/>
    </xf>
    <xf numFmtId="44" fontId="14" fillId="6" borderId="1" xfId="7" applyNumberFormat="1" applyFont="1" applyFill="1" applyBorder="1" applyAlignment="1">
      <alignment vertical="center" wrapText="1"/>
    </xf>
    <xf numFmtId="0" fontId="10" fillId="0" borderId="3" xfId="0" applyFont="1" applyBorder="1">
      <alignment vertical="center" wrapText="1"/>
    </xf>
    <xf numFmtId="166" fontId="8" fillId="5" borderId="1" xfId="7" applyNumberFormat="1" applyAlignment="1">
      <alignment vertical="center" wrapText="1"/>
    </xf>
    <xf numFmtId="166" fontId="9" fillId="6" borderId="1" xfId="8" applyNumberFormat="1" applyAlignment="1">
      <alignment vertical="center" wrapText="1"/>
    </xf>
    <xf numFmtId="0" fontId="10" fillId="7" borderId="2" xfId="9" applyFont="1" applyAlignment="1">
      <alignment vertical="center" wrapText="1"/>
    </xf>
    <xf numFmtId="0" fontId="11" fillId="0" borderId="0" xfId="10" applyFill="1" applyAlignment="1">
      <alignment vertical="center" wrapText="1"/>
    </xf>
    <xf numFmtId="0" fontId="16" fillId="0" borderId="0" xfId="0" applyFont="1">
      <alignment vertical="center" wrapText="1"/>
    </xf>
    <xf numFmtId="0" fontId="11" fillId="9" borderId="4" xfId="10" applyFill="1" applyBorder="1" applyAlignment="1">
      <alignment vertical="center" wrapText="1"/>
    </xf>
    <xf numFmtId="0" fontId="17" fillId="0" borderId="4" xfId="0" applyFont="1" applyFill="1" applyBorder="1">
      <alignment vertical="center" wrapText="1"/>
    </xf>
    <xf numFmtId="0" fontId="15" fillId="8" borderId="0" xfId="11" applyAlignment="1">
      <alignment vertical="center" wrapText="1"/>
    </xf>
  </cellXfs>
  <cellStyles count="12">
    <cellStyle name="Calculation" xfId="8" builtinId="22"/>
    <cellStyle name="Currency" xfId="5" builtinId="4" customBuiltin="1"/>
    <cellStyle name="Good" xfId="11" builtinId="26"/>
    <cellStyle name="Heading 1" xfId="2" builtinId="16" customBuiltin="1"/>
    <cellStyle name="Heading 2" xfId="3" builtinId="17" customBuiltin="1"/>
    <cellStyle name="Heading 3" xfId="4" builtinId="18" customBuiltin="1"/>
    <cellStyle name="Heading 4" xfId="10" builtinId="19"/>
    <cellStyle name="Input" xfId="7" builtinId="20"/>
    <cellStyle name="Neutral" xfId="6" builtinId="28"/>
    <cellStyle name="Normal" xfId="0" builtinId="0" customBuiltin="1"/>
    <cellStyle name="Note" xfId="9" builtinId="10"/>
    <cellStyle name="Title" xfId="1" builtinId="15" customBuiltin="1"/>
  </cellStyles>
  <dxfs count="5">
    <dxf>
      <font>
        <color theme="3"/>
      </font>
    </dxf>
    <dxf>
      <font>
        <b/>
        <i val="0"/>
        <color theme="3"/>
      </font>
    </dxf>
    <dxf>
      <font>
        <b/>
        <i val="0"/>
        <color theme="3"/>
      </font>
      <fill>
        <patternFill patternType="none">
          <bgColor auto="1"/>
        </patternFill>
      </fill>
      <border diagonalUp="0" diagonalDown="0">
        <left/>
        <right/>
        <top style="thin">
          <color theme="5"/>
        </top>
        <bottom/>
        <vertical/>
        <horizontal/>
      </border>
    </dxf>
    <dxf>
      <font>
        <b/>
        <i val="0"/>
        <color theme="3"/>
      </font>
      <fill>
        <patternFill patternType="none">
          <fgColor indexed="64"/>
          <bgColor auto="1"/>
        </patternFill>
      </fill>
      <border diagonalUp="0" diagonalDown="0">
        <left/>
        <right/>
        <top/>
        <bottom style="thin">
          <color theme="4"/>
        </bottom>
        <vertical/>
        <horizontal/>
      </border>
    </dxf>
    <dxf>
      <font>
        <b val="0"/>
        <i val="0"/>
        <color theme="1" tint="0.34998626667073579"/>
      </font>
      <border diagonalUp="0" diagonalDown="0">
        <left/>
        <right/>
        <top/>
        <bottom/>
        <vertical/>
        <horizontal style="thin">
          <color theme="0" tint="-0.34998626667073579"/>
        </horizontal>
      </border>
    </dxf>
  </dxfs>
  <tableStyles count="1" defaultTableStyle="Calculated List" defaultPivotStyle="PivotStyleLight16">
    <tableStyle name="Calculated List" pivot="0" count="5" xr9:uid="{00000000-0011-0000-FFFF-FFFF00000000}">
      <tableStyleElement type="wholeTable" dxfId="4"/>
      <tableStyleElement type="headerRow" dxfId="3"/>
      <tableStyleElement type="totalRow" dxfId="2"/>
      <tableStyleElement type="firstColumn"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 displayName="List" ref="B4:C26">
  <autoFilter ref="B4:C26" xr:uid="{00000000-0009-0000-0100-000001000000}">
    <filterColumn colId="0" hiddenButton="1"/>
    <filterColumn colId="1" hiddenButton="1"/>
  </autoFilter>
  <tableColumns count="2">
    <tableColumn id="1" xr3:uid="{00000000-0010-0000-0000-000001000000}" name="Item" totalsRowLabel="Total"/>
    <tableColumn id="4" xr3:uid="{00000000-0010-0000-0000-000004000000}" name="Cost" totalsRowFunction="sum" dataCellStyle="Currency"/>
  </tableColumns>
  <tableStyleInfo name="Calculated List" showFirstColumn="1" showLastColumn="0" showRowStripes="1" showColumnStripes="0"/>
  <extLst>
    <ext xmlns:x14="http://schemas.microsoft.com/office/spreadsheetml/2009/9/main" uri="{504A1905-F514-4f6f-8877-14C23A59335A}">
      <x14:table altTextSummary="Enter items and cost to total in this List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DAC731-DF3C-EF4B-8EE3-21BD0DC3B5B7}" name="List3" displayName="List3" ref="B4:C13">
  <autoFilter ref="B4:C13" xr:uid="{00000000-0009-0000-0100-000001000000}">
    <filterColumn colId="0" hiddenButton="1"/>
    <filterColumn colId="1" hiddenButton="1"/>
  </autoFilter>
  <tableColumns count="2">
    <tableColumn id="1" xr3:uid="{A2E0E5F6-09A7-A94D-9E9A-31B3002FF54C}" name="Item" totalsRowLabel="Total"/>
    <tableColumn id="4" xr3:uid="{1E04934D-5AC0-CD43-AD3D-531A45BDD6EA}" name="Cost" totalsRowFunction="sum" dataCellStyle="Currency"/>
  </tableColumns>
  <tableStyleInfo name="Calculated List" showFirstColumn="1" showLastColumn="0" showRowStripes="1" showColumnStripes="0"/>
  <extLst>
    <ext xmlns:x14="http://schemas.microsoft.com/office/spreadsheetml/2009/9/main" uri="{504A1905-F514-4f6f-8877-14C23A59335A}">
      <x14:table altTextSummary="Enter items and cost to total in this List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5C45B2-552A-413B-B95A-5F555C86DB9C}" name="Table5" displayName="Table5" ref="A17:B27" totalsRowShown="0">
  <autoFilter ref="A17:B27" xr:uid="{0E5C45B2-552A-413B-B95A-5F555C86DB9C}"/>
  <tableColumns count="2">
    <tableColumn id="1" xr3:uid="{EEC5556E-B40F-484B-8D38-A4D4ACE3180E}" name="Month "/>
    <tableColumn id="2" xr3:uid="{F376A6D5-37DA-49FD-9DF4-6FDB33F1A45D}" name="Payment Amount (Worst Case)"/>
  </tableColumns>
  <tableStyleInfo name="Calculated List"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684FF6-8932-4FF3-8E37-1BBD91CAE62B}" name="Table58" displayName="Table58" ref="E17:F21" totalsRowShown="0">
  <autoFilter ref="E17:F21" xr:uid="{17684FF6-8932-4FF3-8E37-1BBD91CAE62B}"/>
  <tableColumns count="2">
    <tableColumn id="1" xr3:uid="{1BCC5FD6-357A-4748-B23D-4AF599C1B4A2}" name="Month "/>
    <tableColumn id="2" xr3:uid="{46E5CD57-681B-41AC-85A3-3E6EADBD709D}" name="Payment Amount (Best Case)"/>
  </tableColumns>
  <tableStyleInfo name="Calculated List"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E8FBAE-13EE-4058-BDB7-C0D28D1A4597}" name="List34" displayName="List34" ref="B4:C13">
  <autoFilter ref="B4:C13" xr:uid="{00000000-0009-0000-0100-000001000000}">
    <filterColumn colId="0" hiddenButton="1"/>
    <filterColumn colId="1" hiddenButton="1"/>
  </autoFilter>
  <tableColumns count="2">
    <tableColumn id="1" xr3:uid="{81551B77-D87C-46DA-883B-0FDB5317A59C}" name="Item" totalsRowLabel="Total"/>
    <tableColumn id="4" xr3:uid="{21FA4B6C-F6C1-44DA-8755-7B7431D33AF7}" name="Cost" totalsRowFunction="sum" dataCellStyle="Currency"/>
  </tableColumns>
  <tableStyleInfo name="Calculated List" showFirstColumn="1" showLastColumn="0" showRowStripes="1" showColumnStripes="0"/>
  <extLst>
    <ext xmlns:x14="http://schemas.microsoft.com/office/spreadsheetml/2009/9/main" uri="{504A1905-F514-4f6f-8877-14C23A59335A}">
      <x14:table altTextSummary="Enter items and cost to total in this List table"/>
    </ext>
  </extLst>
</table>
</file>

<file path=xl/theme/theme1.xml><?xml version="1.0" encoding="utf-8"?>
<a:theme xmlns:a="http://schemas.openxmlformats.org/drawingml/2006/main" name="Office Theme">
  <a:themeElements>
    <a:clrScheme name="To Do List">
      <a:dk1>
        <a:sysClr val="windowText" lastClr="000000"/>
      </a:dk1>
      <a:lt1>
        <a:sysClr val="window" lastClr="FFFFFF"/>
      </a:lt1>
      <a:dk2>
        <a:srgbClr val="140545"/>
      </a:dk2>
      <a:lt2>
        <a:srgbClr val="FEF2E5"/>
      </a:lt2>
      <a:accent1>
        <a:srgbClr val="EA4193"/>
      </a:accent1>
      <a:accent2>
        <a:srgbClr val="F49129"/>
      </a:accent2>
      <a:accent3>
        <a:srgbClr val="93BF2B"/>
      </a:accent3>
      <a:accent4>
        <a:srgbClr val="31A0C5"/>
      </a:accent4>
      <a:accent5>
        <a:srgbClr val="DEC53B"/>
      </a:accent5>
      <a:accent6>
        <a:srgbClr val="724F97"/>
      </a:accent6>
      <a:hlink>
        <a:srgbClr val="31A0C5"/>
      </a:hlink>
      <a:folHlink>
        <a:srgbClr val="724F97"/>
      </a:folHlink>
    </a:clrScheme>
    <a:fontScheme name="To Do Lis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F26"/>
  <sheetViews>
    <sheetView showGridLines="0" workbookViewId="0">
      <pane ySplit="4" topLeftCell="A5" activePane="bottomLeft" state="frozen"/>
      <selection pane="bottomLeft" activeCell="E26" sqref="E26"/>
    </sheetView>
  </sheetViews>
  <sheetFormatPr defaultColWidth="8.7109375" defaultRowHeight="30" customHeight="1"/>
  <cols>
    <col min="1" max="1" width="2.7109375" customWidth="1"/>
    <col min="2" max="2" width="25.7109375" style="2" customWidth="1"/>
    <col min="3" max="3" width="15.28515625" style="5" customWidth="1"/>
    <col min="4" max="4" width="2.42578125" customWidth="1"/>
    <col min="5" max="5" width="83.42578125" customWidth="1"/>
    <col min="6" max="6" width="56.28515625" customWidth="1"/>
  </cols>
  <sheetData>
    <row r="1" spans="2:5" ht="34.5" customHeight="1">
      <c r="B1" s="3" t="s">
        <v>0</v>
      </c>
    </row>
    <row r="2" spans="2:5" s="1" customFormat="1" ht="26.25" customHeight="1">
      <c r="B2" s="4" t="s">
        <v>1</v>
      </c>
      <c r="C2" s="5"/>
    </row>
    <row r="3" spans="2:5" s="1" customFormat="1" ht="39" customHeight="1">
      <c r="B3" s="6">
        <f>SUM(List[Cost])</f>
        <v>2250</v>
      </c>
      <c r="C3"/>
    </row>
    <row r="4" spans="2:5" ht="30" customHeight="1">
      <c r="B4" s="7" t="s">
        <v>2</v>
      </c>
      <c r="C4" s="8" t="s">
        <v>3</v>
      </c>
    </row>
    <row r="5" spans="2:5" ht="46.5" customHeight="1">
      <c r="B5" s="2" t="s">
        <v>4</v>
      </c>
      <c r="C5" s="9">
        <v>83</v>
      </c>
      <c r="E5" t="s">
        <v>5</v>
      </c>
    </row>
    <row r="6" spans="2:5" ht="42" customHeight="1">
      <c r="B6" s="2" t="s">
        <v>6</v>
      </c>
      <c r="C6" s="9">
        <v>115</v>
      </c>
      <c r="E6" t="s">
        <v>7</v>
      </c>
    </row>
    <row r="7" spans="2:5" ht="30" customHeight="1">
      <c r="B7" s="2" t="s">
        <v>8</v>
      </c>
      <c r="C7" s="9">
        <v>196</v>
      </c>
      <c r="E7" t="s">
        <v>9</v>
      </c>
    </row>
    <row r="8" spans="2:5" ht="45.75" customHeight="1">
      <c r="B8" s="2" t="s">
        <v>10</v>
      </c>
      <c r="C8" s="9">
        <v>62</v>
      </c>
      <c r="E8" t="s">
        <v>11</v>
      </c>
    </row>
    <row r="9" spans="2:5" ht="53.25" customHeight="1">
      <c r="B9" s="2" t="s">
        <v>12</v>
      </c>
      <c r="C9" s="10">
        <v>119</v>
      </c>
      <c r="E9" t="s">
        <v>13</v>
      </c>
    </row>
    <row r="10" spans="2:5" ht="48.75" customHeight="1">
      <c r="B10" s="2" t="s">
        <v>14</v>
      </c>
      <c r="C10" s="10">
        <v>1000</v>
      </c>
      <c r="E10" t="s">
        <v>15</v>
      </c>
    </row>
    <row r="11" spans="2:5" ht="30" customHeight="1">
      <c r="B11" s="2" t="s">
        <v>16</v>
      </c>
      <c r="C11" s="10">
        <v>60</v>
      </c>
      <c r="E11" t="s">
        <v>17</v>
      </c>
    </row>
    <row r="12" spans="2:5" ht="30" customHeight="1">
      <c r="B12" s="2" t="s">
        <v>18</v>
      </c>
      <c r="C12" s="10">
        <v>60</v>
      </c>
      <c r="E12" t="s">
        <v>19</v>
      </c>
    </row>
    <row r="13" spans="2:5" ht="30" customHeight="1">
      <c r="B13" s="2" t="s">
        <v>20</v>
      </c>
      <c r="C13" s="10">
        <v>18</v>
      </c>
      <c r="E13" t="s">
        <v>21</v>
      </c>
    </row>
    <row r="14" spans="2:5" ht="30" customHeight="1">
      <c r="B14" s="2" t="s">
        <v>22</v>
      </c>
      <c r="C14" s="10">
        <v>15</v>
      </c>
      <c r="E14" t="s">
        <v>23</v>
      </c>
    </row>
    <row r="15" spans="2:5" ht="30" customHeight="1">
      <c r="B15" s="2" t="s">
        <v>24</v>
      </c>
      <c r="C15" s="10">
        <v>52</v>
      </c>
    </row>
    <row r="16" spans="2:5" ht="30" customHeight="1">
      <c r="B16" s="2" t="s">
        <v>25</v>
      </c>
      <c r="C16" s="10">
        <v>15</v>
      </c>
    </row>
    <row r="17" spans="1:6" ht="30" customHeight="1">
      <c r="B17" s="2" t="s">
        <v>26</v>
      </c>
      <c r="C17" s="10">
        <v>15</v>
      </c>
    </row>
    <row r="18" spans="1:6" ht="188.25" customHeight="1">
      <c r="B18" s="2" t="s">
        <v>27</v>
      </c>
      <c r="C18" s="10">
        <v>315</v>
      </c>
      <c r="E18" t="s">
        <v>28</v>
      </c>
    </row>
    <row r="19" spans="1:6" ht="168" customHeight="1">
      <c r="B19" s="2" t="s">
        <v>29</v>
      </c>
      <c r="C19" s="10">
        <v>125</v>
      </c>
      <c r="E19" t="s">
        <v>30</v>
      </c>
    </row>
    <row r="20" spans="1:6" ht="50.25" customHeight="1">
      <c r="B20" s="13" t="s">
        <v>31</v>
      </c>
      <c r="C20" s="14">
        <v>0</v>
      </c>
      <c r="D20" s="15"/>
      <c r="E20" s="15" t="s">
        <v>32</v>
      </c>
      <c r="F20" t="s">
        <v>33</v>
      </c>
    </row>
    <row r="21" spans="1:6" ht="30" customHeight="1">
      <c r="B21" s="13" t="s">
        <v>34</v>
      </c>
      <c r="C21" s="14">
        <v>0</v>
      </c>
      <c r="D21" s="15"/>
      <c r="E21" s="15" t="s">
        <v>35</v>
      </c>
    </row>
    <row r="22" spans="1:6" ht="30" customHeight="1">
      <c r="B22" s="13" t="s">
        <v>36</v>
      </c>
      <c r="C22" s="14">
        <v>0</v>
      </c>
      <c r="D22" s="15"/>
      <c r="E22" s="15" t="s">
        <v>37</v>
      </c>
    </row>
    <row r="23" spans="1:6" ht="74.25" customHeight="1">
      <c r="B23" s="13" t="s">
        <v>38</v>
      </c>
      <c r="C23" s="14">
        <v>0</v>
      </c>
      <c r="D23" s="15"/>
      <c r="E23" s="15" t="s">
        <v>39</v>
      </c>
    </row>
    <row r="24" spans="1:6" ht="80.25" customHeight="1">
      <c r="B24" s="13" t="s">
        <v>40</v>
      </c>
      <c r="C24" s="14">
        <v>0</v>
      </c>
      <c r="D24" s="15"/>
      <c r="E24" s="15" t="s">
        <v>41</v>
      </c>
    </row>
    <row r="25" spans="1:6" ht="74.25" customHeight="1">
      <c r="B25" s="13" t="s">
        <v>42</v>
      </c>
      <c r="C25" s="14">
        <v>0</v>
      </c>
      <c r="D25" s="15"/>
      <c r="E25" s="15" t="s">
        <v>43</v>
      </c>
    </row>
    <row r="26" spans="1:6" ht="91.5" customHeight="1">
      <c r="A26" s="15"/>
      <c r="B26" s="13" t="s">
        <v>44</v>
      </c>
      <c r="C26" s="14">
        <v>0</v>
      </c>
      <c r="D26" s="15"/>
      <c r="E26" s="15" t="s">
        <v>45</v>
      </c>
    </row>
  </sheetData>
  <printOptions horizontalCentered="1"/>
  <pageMargins left="0.7" right="0.7" top="0.75" bottom="0.75" header="0.3" footer="0.3"/>
  <pageSetup fitToHeight="0" orientation="portrait" horizontalDpi="4294967293"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BF1E-F020-0843-A72F-1A25C35DC3BB}">
  <sheetPr codeName="Sheet2">
    <tabColor theme="6"/>
    <pageSetUpPr fitToPage="1"/>
  </sheetPr>
  <dimension ref="B1:E13"/>
  <sheetViews>
    <sheetView showGridLines="0" workbookViewId="0">
      <pane ySplit="4" topLeftCell="A5" activePane="bottomLeft" state="frozen"/>
      <selection pane="bottomLeft" activeCell="E5" sqref="E5"/>
    </sheetView>
  </sheetViews>
  <sheetFormatPr defaultColWidth="8.7109375" defaultRowHeight="30" customHeight="1"/>
  <cols>
    <col min="1" max="1" width="2.7109375" customWidth="1"/>
    <col min="2" max="2" width="25.7109375" style="2" customWidth="1"/>
    <col min="3" max="3" width="15.28515625" style="5" customWidth="1"/>
    <col min="4" max="4" width="2.42578125" customWidth="1"/>
    <col min="5" max="5" width="49.85546875" customWidth="1"/>
  </cols>
  <sheetData>
    <row r="1" spans="2:5" ht="34.5" customHeight="1">
      <c r="B1" s="11" t="s">
        <v>46</v>
      </c>
    </row>
    <row r="2" spans="2:5" s="1" customFormat="1" ht="26.25" customHeight="1">
      <c r="B2" s="4" t="s">
        <v>1</v>
      </c>
      <c r="C2" s="5"/>
    </row>
    <row r="3" spans="2:5" s="1" customFormat="1" ht="39" customHeight="1">
      <c r="B3" s="12">
        <f>SUM(List3[Cost])</f>
        <v>3101</v>
      </c>
      <c r="C3"/>
    </row>
    <row r="4" spans="2:5" ht="30" customHeight="1">
      <c r="B4" s="7" t="s">
        <v>2</v>
      </c>
      <c r="C4" s="8" t="s">
        <v>3</v>
      </c>
    </row>
    <row r="5" spans="2:5" ht="54" customHeight="1">
      <c r="B5" s="2" t="s">
        <v>47</v>
      </c>
      <c r="C5" s="9">
        <v>1575</v>
      </c>
      <c r="E5" t="s">
        <v>48</v>
      </c>
    </row>
    <row r="6" spans="2:5" ht="30" customHeight="1">
      <c r="B6" s="2" t="s">
        <v>49</v>
      </c>
      <c r="C6" s="9">
        <v>1019</v>
      </c>
    </row>
    <row r="7" spans="2:5" ht="54" customHeight="1">
      <c r="B7" s="2" t="s">
        <v>50</v>
      </c>
      <c r="C7" s="10">
        <v>200</v>
      </c>
      <c r="E7" t="s">
        <v>51</v>
      </c>
    </row>
    <row r="8" spans="2:5" ht="39.75" customHeight="1">
      <c r="B8" s="2" t="s">
        <v>52</v>
      </c>
      <c r="C8" s="10">
        <v>115</v>
      </c>
      <c r="E8" t="s">
        <v>53</v>
      </c>
    </row>
    <row r="9" spans="2:5" ht="56.25" customHeight="1">
      <c r="B9" s="2" t="s">
        <v>54</v>
      </c>
      <c r="C9" s="10">
        <v>38</v>
      </c>
      <c r="E9" t="s">
        <v>55</v>
      </c>
    </row>
    <row r="10" spans="2:5" ht="30" customHeight="1">
      <c r="B10" s="2" t="s">
        <v>56</v>
      </c>
      <c r="C10" s="10">
        <v>115</v>
      </c>
    </row>
    <row r="11" spans="2:5" ht="30" customHeight="1">
      <c r="B11" s="2" t="s">
        <v>57</v>
      </c>
      <c r="C11" s="10">
        <v>39</v>
      </c>
      <c r="E11" t="s">
        <v>58</v>
      </c>
    </row>
    <row r="12" spans="2:5" ht="30" customHeight="1">
      <c r="C12" s="10"/>
    </row>
    <row r="13" spans="2:5" ht="30" customHeight="1">
      <c r="C13" s="10"/>
    </row>
  </sheetData>
  <printOptions horizontalCentered="1"/>
  <pageMargins left="0.7" right="0.7" top="0.75" bottom="0.75" header="0.3" footer="0.3"/>
  <pageSetup fitToHeight="0" orientation="portrait" horizontalDpi="4294967293"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85E3-AAEC-4DC5-877B-413ABFB7F9A6}">
  <dimension ref="A1:F27"/>
  <sheetViews>
    <sheetView tabSelected="1" workbookViewId="0">
      <selection activeCell="O9" sqref="O9"/>
    </sheetView>
  </sheetViews>
  <sheetFormatPr defaultRowHeight="15"/>
  <cols>
    <col min="1" max="1" width="11.42578125" bestFit="1" customWidth="1"/>
    <col min="2" max="2" width="21.42578125" customWidth="1"/>
    <col min="3" max="3" width="20.5703125" customWidth="1"/>
    <col min="4" max="4" width="48.7109375" customWidth="1"/>
    <col min="6" max="6" width="30.7109375" customWidth="1"/>
  </cols>
  <sheetData>
    <row r="1" spans="1:5" ht="105.75" customHeight="1">
      <c r="A1" s="28" t="s">
        <v>59</v>
      </c>
    </row>
    <row r="2" spans="1:5">
      <c r="A2" s="30" t="s">
        <v>60</v>
      </c>
      <c r="B2" s="30" t="s">
        <v>61</v>
      </c>
    </row>
    <row r="3" spans="1:5" ht="45">
      <c r="A3" s="20">
        <v>842</v>
      </c>
      <c r="B3" s="21" t="s">
        <v>62</v>
      </c>
    </row>
    <row r="4" spans="1:5" ht="45">
      <c r="A4" s="20">
        <v>2250</v>
      </c>
      <c r="B4" s="21" t="s">
        <v>63</v>
      </c>
    </row>
    <row r="5" spans="1:5" ht="30">
      <c r="A5" s="22">
        <f>SUM(A3:A4)</f>
        <v>3092</v>
      </c>
      <c r="B5" s="21" t="s">
        <v>64</v>
      </c>
    </row>
    <row r="7" spans="1:5" ht="30">
      <c r="A7" s="29" t="s">
        <v>65</v>
      </c>
      <c r="B7" s="29" t="s">
        <v>66</v>
      </c>
      <c r="C7" s="29" t="s">
        <v>67</v>
      </c>
      <c r="D7" s="29" t="s">
        <v>61</v>
      </c>
    </row>
    <row r="8" spans="1:5" ht="75">
      <c r="A8" s="27" t="s">
        <v>68</v>
      </c>
      <c r="B8" s="26" t="s">
        <v>69</v>
      </c>
      <c r="C8" s="24">
        <v>29212</v>
      </c>
      <c r="D8" s="23" t="s">
        <v>70</v>
      </c>
    </row>
    <row r="9" spans="1:5" ht="180">
      <c r="A9" s="27" t="s">
        <v>71</v>
      </c>
      <c r="B9" s="26" t="s">
        <v>72</v>
      </c>
      <c r="C9" s="24">
        <v>12000</v>
      </c>
      <c r="D9" s="23" t="s">
        <v>73</v>
      </c>
    </row>
    <row r="10" spans="1:5" ht="120">
      <c r="A10" s="27" t="s">
        <v>74</v>
      </c>
      <c r="B10" s="26" t="s">
        <v>75</v>
      </c>
      <c r="C10" s="24">
        <f>1575*3</f>
        <v>4725</v>
      </c>
      <c r="D10" s="23" t="s">
        <v>76</v>
      </c>
    </row>
    <row r="11" spans="1:5" ht="60">
      <c r="A11" s="27" t="s">
        <v>77</v>
      </c>
      <c r="B11" s="26" t="s">
        <v>78</v>
      </c>
      <c r="C11" s="24">
        <v>1019</v>
      </c>
      <c r="D11" s="23" t="s">
        <v>79</v>
      </c>
    </row>
    <row r="12" spans="1:5" ht="135">
      <c r="A12" s="27" t="s">
        <v>80</v>
      </c>
      <c r="B12" s="26" t="s">
        <v>81</v>
      </c>
      <c r="C12" s="25">
        <f>SUM(C8:C11)</f>
        <v>46956</v>
      </c>
      <c r="D12" s="23" t="s">
        <v>82</v>
      </c>
    </row>
    <row r="16" spans="1:5" ht="76.5" customHeight="1">
      <c r="A16" s="31" t="s">
        <v>83</v>
      </c>
      <c r="E16" s="31" t="s">
        <v>84</v>
      </c>
    </row>
    <row r="17" spans="1:6" ht="30">
      <c r="A17" t="s">
        <v>85</v>
      </c>
      <c r="B17" t="s">
        <v>86</v>
      </c>
      <c r="E17" t="s">
        <v>85</v>
      </c>
      <c r="F17" t="s">
        <v>87</v>
      </c>
    </row>
    <row r="18" spans="1:6">
      <c r="A18" s="19">
        <v>44593</v>
      </c>
      <c r="B18" s="17">
        <v>343.55</v>
      </c>
      <c r="E18" s="19">
        <v>44593</v>
      </c>
      <c r="F18" s="17">
        <v>1031</v>
      </c>
    </row>
    <row r="19" spans="1:6">
      <c r="A19" s="19">
        <v>44621</v>
      </c>
      <c r="B19" s="17">
        <v>343.55</v>
      </c>
      <c r="E19" s="19">
        <v>44621</v>
      </c>
      <c r="F19" s="17">
        <v>1031</v>
      </c>
    </row>
    <row r="20" spans="1:6">
      <c r="A20" s="19">
        <v>44652</v>
      </c>
      <c r="B20" s="17">
        <v>343.55</v>
      </c>
      <c r="E20" s="19">
        <v>44652</v>
      </c>
      <c r="F20" s="17">
        <v>1031</v>
      </c>
    </row>
    <row r="21" spans="1:6">
      <c r="A21" s="19">
        <v>44682</v>
      </c>
      <c r="B21" s="17">
        <v>343.55</v>
      </c>
      <c r="E21" s="18" t="s">
        <v>88</v>
      </c>
      <c r="F21" s="16">
        <f>SUM(F18:F20)</f>
        <v>3093</v>
      </c>
    </row>
    <row r="22" spans="1:6">
      <c r="A22" s="19">
        <v>44713</v>
      </c>
      <c r="B22" s="17">
        <v>343.55</v>
      </c>
    </row>
    <row r="23" spans="1:6">
      <c r="A23" s="19">
        <v>44743</v>
      </c>
      <c r="B23" s="17">
        <v>343.55</v>
      </c>
    </row>
    <row r="24" spans="1:6">
      <c r="A24" s="19">
        <v>44774</v>
      </c>
      <c r="B24" s="17">
        <v>343.55</v>
      </c>
    </row>
    <row r="25" spans="1:6">
      <c r="A25" s="19">
        <v>44805</v>
      </c>
      <c r="B25" s="17">
        <v>343.55</v>
      </c>
    </row>
    <row r="26" spans="1:6">
      <c r="A26" s="19">
        <v>44835</v>
      </c>
      <c r="B26" s="17">
        <v>343.6</v>
      </c>
    </row>
    <row r="27" spans="1:6">
      <c r="A27" s="18" t="s">
        <v>88</v>
      </c>
      <c r="B27" s="16">
        <f>SUM(B18:B26)</f>
        <v>3092.0000000000005</v>
      </c>
    </row>
  </sheetData>
  <pageMargins left="0.7" right="0.7" top="0.75" bottom="0.75" header="0.3" footer="0.3"/>
  <pageSetup orientation="portrait" horizontalDpi="0" verticalDpi="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55C5-CF4C-4600-8A98-C024BF550F0F}">
  <sheetPr codeName="Sheet3">
    <tabColor theme="6"/>
    <pageSetUpPr fitToPage="1"/>
  </sheetPr>
  <dimension ref="B1:E13"/>
  <sheetViews>
    <sheetView showGridLines="0" workbookViewId="0">
      <pane ySplit="4" topLeftCell="A5" activePane="bottomLeft" state="frozen"/>
      <selection pane="bottomLeft" activeCell="C1" sqref="C1"/>
    </sheetView>
  </sheetViews>
  <sheetFormatPr defaultColWidth="8.7109375" defaultRowHeight="30" customHeight="1"/>
  <cols>
    <col min="1" max="1" width="2.7109375" customWidth="1"/>
    <col min="2" max="2" width="25.7109375" style="2" customWidth="1"/>
    <col min="3" max="3" width="15.28515625" style="5" customWidth="1"/>
    <col min="4" max="4" width="2.42578125" customWidth="1"/>
    <col min="5" max="5" width="40.140625" customWidth="1"/>
  </cols>
  <sheetData>
    <row r="1" spans="2:5" ht="34.5" customHeight="1">
      <c r="B1" s="11" t="s">
        <v>46</v>
      </c>
    </row>
    <row r="2" spans="2:5" s="1" customFormat="1" ht="26.25" customHeight="1">
      <c r="B2" s="4" t="s">
        <v>1</v>
      </c>
      <c r="C2" s="5"/>
    </row>
    <row r="3" spans="2:5" s="1" customFormat="1" ht="39" customHeight="1">
      <c r="B3" s="12">
        <f>SUM(List34[Cost])</f>
        <v>3101</v>
      </c>
      <c r="C3"/>
    </row>
    <row r="4" spans="2:5" ht="30" customHeight="1">
      <c r="B4" s="7" t="s">
        <v>2</v>
      </c>
      <c r="C4" s="8" t="s">
        <v>3</v>
      </c>
    </row>
    <row r="5" spans="2:5" ht="30" customHeight="1">
      <c r="B5" s="2" t="s">
        <v>47</v>
      </c>
      <c r="C5" s="9">
        <v>1575</v>
      </c>
    </row>
    <row r="6" spans="2:5" ht="30" customHeight="1">
      <c r="B6" s="2" t="s">
        <v>49</v>
      </c>
      <c r="C6" s="9">
        <v>1019</v>
      </c>
    </row>
    <row r="7" spans="2:5" ht="54" customHeight="1">
      <c r="B7" s="2" t="s">
        <v>50</v>
      </c>
      <c r="C7" s="10">
        <v>200</v>
      </c>
      <c r="E7" t="s">
        <v>51</v>
      </c>
    </row>
    <row r="8" spans="2:5" ht="39.75" customHeight="1">
      <c r="B8" s="2" t="s">
        <v>52</v>
      </c>
      <c r="C8" s="10">
        <v>115</v>
      </c>
      <c r="E8" t="s">
        <v>53</v>
      </c>
    </row>
    <row r="9" spans="2:5" ht="56.25" customHeight="1">
      <c r="B9" s="2" t="s">
        <v>54</v>
      </c>
      <c r="C9" s="10">
        <v>38</v>
      </c>
      <c r="E9" t="s">
        <v>55</v>
      </c>
    </row>
    <row r="10" spans="2:5" ht="30" customHeight="1">
      <c r="B10" s="2" t="s">
        <v>56</v>
      </c>
      <c r="C10" s="10">
        <v>115</v>
      </c>
    </row>
    <row r="11" spans="2:5" ht="30" customHeight="1">
      <c r="B11" s="2" t="s">
        <v>57</v>
      </c>
      <c r="C11" s="10">
        <v>39</v>
      </c>
      <c r="E11" t="s">
        <v>58</v>
      </c>
    </row>
    <row r="12" spans="2:5" ht="30" customHeight="1">
      <c r="C12" s="10"/>
    </row>
    <row r="13" spans="2:5" ht="30" customHeight="1">
      <c r="C13" s="10"/>
    </row>
  </sheetData>
  <printOptions horizontalCentered="1"/>
  <pageMargins left="0.7" right="0.7" top="0.75" bottom="0.75" header="0.3" footer="0.3"/>
  <pageSetup fitToHeight="0" orientation="portrait" horizontalDpi="4294967293" r:id="rId1"/>
  <headerFooter differentFirst="1">
    <oddFoote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9A9D-415F-449C-B0D7-422084CCB23B}">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TM10000068</Template>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Unpaid</vt:lpstr>
      <vt:lpstr>Paid</vt:lpstr>
      <vt:lpstr>Repayment and Income Forecast </vt:lpstr>
      <vt:lpstr>On the Herizon </vt:lpstr>
      <vt:lpstr>Sheet1</vt:lpstr>
      <vt:lpstr>'On the Herizon '!Print_Titles</vt:lpstr>
      <vt:lpstr>Paid!Print_Titles</vt:lpstr>
      <vt:lpstr>Unpaid!Print_Titles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Blair</dc:creator>
  <cp:keywords/>
  <dc:description/>
  <cp:lastModifiedBy>Bryan Blair</cp:lastModifiedBy>
  <cp:revision/>
  <dcterms:created xsi:type="dcterms:W3CDTF">2017-02-03T07:33:08Z</dcterms:created>
  <dcterms:modified xsi:type="dcterms:W3CDTF">2022-01-06T22:06:52Z</dcterms:modified>
  <cp:category/>
  <cp:contentStatus/>
</cp:coreProperties>
</file>