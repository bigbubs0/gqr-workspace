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08"/>
  <workbookPr codeName="ThisWorkbook"/>
  <mc:AlternateContent xmlns:mc="http://schemas.openxmlformats.org/markup-compatibility/2006">
    <mc:Choice Requires="x15">
      <x15ac:absPath xmlns:x15ac="http://schemas.microsoft.com/office/spreadsheetml/2010/11/ac" url="https://d.docs.live.net/03f5a8b71d73844e/Documents/"/>
    </mc:Choice>
  </mc:AlternateContent>
  <xr:revisionPtr revIDLastSave="1" documentId="8_{B8268A5B-161E-EE40-8DB7-5611B985B567}" xr6:coauthVersionLast="45" xr6:coauthVersionMax="45" xr10:uidLastSave="{843EED4F-767B-FA4B-ACF4-C418E7E3E319}"/>
  <bookViews>
    <workbookView xWindow="0" yWindow="0" windowWidth="25600" windowHeight="16000" xr2:uid="{00000000-000D-0000-FFFF-FFFF00000000}"/>
  </bookViews>
  <sheets>
    <sheet name="Grocery List" sheetId="1" r:id="rId1"/>
  </sheets>
  <definedNames>
    <definedName name="Category1">'Grocery List'!$D$2</definedName>
    <definedName name="Category1Total">'Grocery List'!$D$3</definedName>
    <definedName name="Category2">'Grocery List'!$E$2</definedName>
    <definedName name="Category2Total">'Grocery List'!$E$3</definedName>
    <definedName name="Category3">'Grocery List'!$F$2</definedName>
    <definedName name="Category3Total">'Grocery List'!$F$3</definedName>
    <definedName name="Category4">'Grocery List'!$G$2</definedName>
    <definedName name="Category4Total">'Grocery List'!$G$3</definedName>
    <definedName name="Category5">'Grocery List'!$H$2</definedName>
    <definedName name="Category5Total">'Grocery List'!$H$3</definedName>
    <definedName name="CategoryLookup">'Grocery List'!$D$2:$H$2</definedName>
    <definedName name="ColumnTitle1">GroceryList[[#Headers],[DONE?]]</definedName>
    <definedName name="ColumnTitleRegion1..J3.1">'Grocery List'!$D$2</definedName>
    <definedName name="GrandTotal">SUM(GroceryList[TOTAL])</definedName>
    <definedName name="_xlnm.Print_Titles" localSheetId="0">'Grocery List'!$5:$5</definedName>
  </definedNames>
  <calcPr calcId="18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29" i="1" l="1"/>
  <c r="G26" i="1" l="1"/>
  <c r="G6" i="1"/>
  <c r="G7" i="1"/>
  <c r="G8" i="1"/>
  <c r="G9" i="1"/>
  <c r="G10" i="1"/>
  <c r="G11" i="1"/>
  <c r="G12" i="1"/>
  <c r="G13" i="1"/>
  <c r="G14" i="1"/>
  <c r="G15" i="1"/>
  <c r="G16" i="1"/>
  <c r="G17" i="1"/>
  <c r="G18" i="1"/>
  <c r="G19" i="1"/>
  <c r="G20" i="1"/>
  <c r="G21" i="1"/>
  <c r="G22" i="1"/>
  <c r="G23" i="1"/>
  <c r="G24" i="1"/>
  <c r="G25" i="1"/>
  <c r="G27" i="1"/>
  <c r="G28" i="1"/>
  <c r="G30" i="1"/>
  <c r="H3" i="1" l="1"/>
  <c r="D3" i="1" l="1"/>
  <c r="I3" i="1"/>
  <c r="G3" i="1" l="1"/>
  <c r="E3" i="1"/>
  <c r="F3" i="1"/>
  <c r="I4" i="1" l="1"/>
</calcChain>
</file>

<file path=xl/sharedStrings.xml><?xml version="1.0" encoding="utf-8"?>
<sst xmlns="http://schemas.openxmlformats.org/spreadsheetml/2006/main" count="62" uniqueCount="38">
  <si>
    <t>GROCERY
LIST</t>
  </si>
  <si>
    <t xml:space="preserve">GROCERY </t>
  </si>
  <si>
    <t>COSTCO</t>
  </si>
  <si>
    <t>BUTCHER</t>
  </si>
  <si>
    <t>LOCAL MARKET</t>
  </si>
  <si>
    <t>OTHER</t>
  </si>
  <si>
    <t>GRAND TOTAL</t>
  </si>
  <si>
    <t>DONE?</t>
  </si>
  <si>
    <t>ITEM</t>
  </si>
  <si>
    <t>STORE</t>
  </si>
  <si>
    <t>QTY</t>
  </si>
  <si>
    <t>TOTAL</t>
  </si>
  <si>
    <t>NOTE</t>
  </si>
  <si>
    <t>EST PRICE</t>
  </si>
  <si>
    <t>Paper Towels</t>
  </si>
  <si>
    <t xml:space="preserve">White Rice </t>
  </si>
  <si>
    <t xml:space="preserve">Scrubbing Bubbles </t>
  </si>
  <si>
    <t>Butter Sticks</t>
  </si>
  <si>
    <t xml:space="preserve">Butter Tub </t>
  </si>
  <si>
    <t xml:space="preserve">Preztels </t>
  </si>
  <si>
    <t>Trail Mix</t>
  </si>
  <si>
    <t xml:space="preserve">Beef Jerky </t>
  </si>
  <si>
    <t>Honey</t>
  </si>
  <si>
    <t xml:space="preserve">Mushrooms </t>
  </si>
  <si>
    <t>Buffalo Sauce</t>
  </si>
  <si>
    <t>Chicken Breasts (LB)</t>
  </si>
  <si>
    <t>Pork Tenderlion ( LB)</t>
  </si>
  <si>
    <t>Shirt Steak (LB)</t>
  </si>
  <si>
    <t xml:space="preserve">Bleach </t>
  </si>
  <si>
    <t>Pork Shoulder</t>
  </si>
  <si>
    <t>Bath Towls</t>
  </si>
  <si>
    <t xml:space="preserve">Silver Cooking Trays </t>
  </si>
  <si>
    <t>Whole Milk (Gal)</t>
  </si>
  <si>
    <t>Protien Powder (5 LB)</t>
  </si>
  <si>
    <t xml:space="preserve">Eggs </t>
  </si>
  <si>
    <t>Sponges (package)</t>
  </si>
  <si>
    <t>Airwick Plugins (2 Pack)</t>
  </si>
  <si>
    <t>Ground Beef (LB)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</si>
</sst>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1" formatCode="_(* #,##0_);_(* \(#,##0\);_(* &quot;-&quot;_);_(@_)"/>
    <numFmt numFmtId="43" formatCode="_(* #,##0.00_);_(* \(#,##0.00\);_(* &quot;-&quot;??_);_(@_)"/>
    <numFmt numFmtId="164" formatCode="&quot;$&quot;#,##0.00"/>
    <numFmt numFmtId="165" formatCode="&quot;$&quot;#,##0.00;[Red]&quot;$&quot;#,##0.00"/>
  </numFmts>
  <fonts count="8" x14ac:knownFonts="1">
    <font>
      <sz val="11"/>
      <color theme="3"/>
      <name val="Calibri"/>
      <family val="2"/>
      <scheme val="minor"/>
    </font>
    <font>
      <sz val="11"/>
      <color theme="0"/>
      <name val="Calibri"/>
      <family val="2"/>
      <scheme val="minor"/>
    </font>
    <font>
      <sz val="16"/>
      <color theme="0"/>
      <name val="Calibri"/>
      <family val="2"/>
      <scheme val="minor"/>
    </font>
    <font>
      <sz val="11"/>
      <color theme="3"/>
      <name val="Calibri"/>
      <family val="2"/>
      <scheme val="minor"/>
    </font>
    <font>
      <sz val="28"/>
      <color theme="0"/>
      <name val="Calibri"/>
      <family val="2"/>
      <scheme val="major"/>
    </font>
    <font>
      <sz val="11"/>
      <color theme="0"/>
      <name val="Calibri"/>
      <family val="2"/>
      <scheme val="major"/>
    </font>
    <font>
      <sz val="11"/>
      <color theme="3"/>
      <name val="Calibri"/>
      <family val="2"/>
      <scheme val="major"/>
    </font>
    <font>
      <b/>
      <sz val="11"/>
      <color rgb="FF3F3F3F"/>
      <name val="Calibri"/>
      <family val="2"/>
      <scheme val="minor"/>
    </font>
  </fonts>
  <fills count="11">
    <fill>
      <patternFill patternType="none"/>
    </fill>
    <fill>
      <patternFill patternType="gray125"/>
    </fill>
    <fill>
      <patternFill patternType="solid">
        <fgColor theme="4"/>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5" tint="-0.499984740745262"/>
        <bgColor indexed="64"/>
      </patternFill>
    </fill>
    <fill>
      <patternFill patternType="solid">
        <fgColor theme="9"/>
        <bgColor indexed="64"/>
      </patternFill>
    </fill>
    <fill>
      <patternFill patternType="solid">
        <fgColor theme="4"/>
      </patternFill>
    </fill>
    <fill>
      <patternFill patternType="solid">
        <fgColor rgb="FFF2F2F2"/>
      </patternFill>
    </fill>
    <fill>
      <patternFill patternType="solid">
        <fgColor theme="3"/>
        <bgColor indexed="64"/>
      </patternFill>
    </fill>
  </fills>
  <borders count="5">
    <border>
      <left/>
      <right/>
      <top/>
      <bottom/>
      <diagonal/>
    </border>
    <border>
      <left style="thick">
        <color theme="0"/>
      </left>
      <right style="thick">
        <color theme="0"/>
      </right>
      <top style="thick">
        <color theme="0"/>
      </top>
      <bottom/>
      <diagonal/>
    </border>
    <border>
      <left style="thick">
        <color theme="0"/>
      </left>
      <right style="thick">
        <color theme="0"/>
      </right>
      <top/>
      <bottom style="thick">
        <color theme="0"/>
      </bottom>
      <diagonal/>
    </border>
    <border>
      <left/>
      <right style="thick">
        <color theme="0"/>
      </right>
      <top/>
      <bottom/>
      <diagonal/>
    </border>
    <border>
      <left style="thin">
        <color rgb="FF3F3F3F"/>
      </left>
      <right style="thin">
        <color rgb="FF3F3F3F"/>
      </right>
      <top style="thin">
        <color rgb="FF3F3F3F"/>
      </top>
      <bottom style="thin">
        <color rgb="FF3F3F3F"/>
      </bottom>
      <diagonal/>
    </border>
  </borders>
  <cellStyleXfs count="20">
    <xf numFmtId="0" fontId="0" fillId="0" borderId="0" applyNumberFormat="0" applyBorder="0" applyProtection="0">
      <alignment horizontal="left" vertical="center" wrapText="1"/>
    </xf>
    <xf numFmtId="0" fontId="5" fillId="6" borderId="1" applyNumberFormat="0" applyProtection="0">
      <alignment horizontal="center" wrapText="1"/>
    </xf>
    <xf numFmtId="0" fontId="4" fillId="2" borderId="0" applyNumberFormat="0" applyBorder="0" applyProtection="0">
      <alignment horizontal="left" vertical="center" wrapText="1"/>
    </xf>
    <xf numFmtId="43" fontId="3" fillId="0" borderId="0" applyFont="0" applyFill="0" applyBorder="0" applyAlignment="0" applyProtection="0"/>
    <xf numFmtId="41" fontId="3" fillId="0" borderId="0" applyFont="0" applyFill="0" applyBorder="0" applyAlignment="0" applyProtection="0"/>
    <xf numFmtId="164" fontId="2" fillId="0" borderId="2" applyFill="0" applyProtection="0">
      <alignment horizontal="center" vertical="top"/>
    </xf>
    <xf numFmtId="164" fontId="3" fillId="0" borderId="0" applyFont="0" applyFill="0" applyBorder="0" applyProtection="0">
      <alignment horizontal="right" vertical="center" indent="3"/>
    </xf>
    <xf numFmtId="9" fontId="3" fillId="0" borderId="0" applyFont="0" applyFill="0" applyBorder="0" applyAlignment="0" applyProtection="0"/>
    <xf numFmtId="0" fontId="1" fillId="3" borderId="1" applyNumberFormat="0" applyProtection="0">
      <alignment horizontal="center" wrapText="1"/>
    </xf>
    <xf numFmtId="0" fontId="1" fillId="4" borderId="1" applyNumberFormat="0" applyProtection="0">
      <alignment horizontal="center" wrapText="1"/>
    </xf>
    <xf numFmtId="0" fontId="1" fillId="5" borderId="1" applyNumberFormat="0" applyProtection="0">
      <alignment horizontal="center" wrapText="1"/>
    </xf>
    <xf numFmtId="0" fontId="1" fillId="2" borderId="0" applyNumberFormat="0" applyProtection="0">
      <alignment horizontal="right" vertical="center" indent="16"/>
    </xf>
    <xf numFmtId="0" fontId="1" fillId="10" borderId="1" applyNumberFormat="0" applyProtection="0">
      <alignment horizontal="center" wrapText="1"/>
    </xf>
    <xf numFmtId="0" fontId="1" fillId="7" borderId="1">
      <alignment horizontal="center" wrapText="1"/>
    </xf>
    <xf numFmtId="0" fontId="3" fillId="0" borderId="0" applyNumberFormat="0" applyFont="0" applyFill="0" applyBorder="0">
      <alignment horizontal="center" vertical="center"/>
    </xf>
    <xf numFmtId="0" fontId="6" fillId="0" borderId="0" applyNumberFormat="0" applyFill="0" applyBorder="0" applyAlignment="0" applyProtection="0">
      <alignment vertical="center" wrapText="1"/>
    </xf>
    <xf numFmtId="0" fontId="3" fillId="0" borderId="0" applyNumberFormat="0" applyFill="0" applyBorder="0" applyAlignment="0" applyProtection="0">
      <alignment vertical="center" wrapText="1"/>
    </xf>
    <xf numFmtId="0" fontId="1" fillId="8" borderId="0" applyNumberFormat="0" applyProtection="0">
      <alignment horizontal="center" vertical="center"/>
    </xf>
    <xf numFmtId="0" fontId="7" fillId="9" borderId="4" applyNumberFormat="0" applyAlignment="0" applyProtection="0"/>
    <xf numFmtId="165" fontId="2" fillId="10" borderId="2" applyProtection="0">
      <alignment horizontal="center" vertical="top"/>
    </xf>
  </cellStyleXfs>
  <cellXfs count="34">
    <xf numFmtId="0" fontId="0" fillId="0" borderId="0" xfId="0">
      <alignment horizontal="left" vertical="center" wrapText="1"/>
    </xf>
    <xf numFmtId="0" fontId="0" fillId="0" borderId="0" xfId="0" applyFill="1" applyProtection="1">
      <alignment horizontal="left" vertical="center" wrapText="1"/>
    </xf>
    <xf numFmtId="164" fontId="2" fillId="6" borderId="2" xfId="5" applyFill="1" applyProtection="1">
      <alignment horizontal="center" vertical="top"/>
    </xf>
    <xf numFmtId="164" fontId="2" fillId="3" borderId="2" xfId="5" applyFill="1" applyProtection="1">
      <alignment horizontal="center" vertical="top"/>
    </xf>
    <xf numFmtId="164" fontId="2" fillId="5" borderId="2" xfId="5" applyFill="1" applyProtection="1">
      <alignment horizontal="center" vertical="top"/>
    </xf>
    <xf numFmtId="164" fontId="2" fillId="7" borderId="2" xfId="5" applyFill="1" applyProtection="1">
      <alignment horizontal="center" vertical="top"/>
    </xf>
    <xf numFmtId="0" fontId="0" fillId="0" borderId="0" xfId="0" applyFont="1" applyProtection="1">
      <alignment horizontal="left" vertical="center" wrapText="1"/>
    </xf>
    <xf numFmtId="0" fontId="0" fillId="0" borderId="0" xfId="0" applyFont="1" applyFill="1" applyBorder="1" applyAlignment="1" applyProtection="1">
      <alignment horizontal="center" vertical="center"/>
    </xf>
    <xf numFmtId="0" fontId="0" fillId="0" borderId="0" xfId="0" applyFont="1" applyFill="1" applyBorder="1" applyAlignment="1" applyProtection="1">
      <alignment horizontal="left" vertical="center"/>
    </xf>
    <xf numFmtId="0" fontId="0" fillId="0" borderId="0" xfId="0" applyFont="1" applyFill="1" applyBorder="1" applyAlignment="1" applyProtection="1">
      <alignment vertical="center"/>
    </xf>
    <xf numFmtId="164" fontId="0" fillId="0" borderId="0" xfId="0" applyNumberFormat="1" applyFont="1" applyFill="1" applyBorder="1" applyAlignment="1" applyProtection="1">
      <alignment vertical="center"/>
    </xf>
    <xf numFmtId="0" fontId="0" fillId="0" borderId="0" xfId="0" applyBorder="1" applyProtection="1">
      <alignment horizontal="left" vertical="center" wrapText="1"/>
    </xf>
    <xf numFmtId="164" fontId="0" fillId="0" borderId="0" xfId="6" applyFont="1" applyFill="1" applyBorder="1" applyProtection="1">
      <alignment horizontal="right" vertical="center" indent="3"/>
    </xf>
    <xf numFmtId="164" fontId="0" fillId="0" borderId="0" xfId="0" applyNumberFormat="1" applyFont="1" applyProtection="1">
      <alignment horizontal="left" vertical="center" wrapText="1"/>
    </xf>
    <xf numFmtId="0" fontId="0" fillId="0" borderId="0" xfId="0" applyProtection="1">
      <alignment horizontal="left" vertical="center" wrapText="1"/>
    </xf>
    <xf numFmtId="164" fontId="2" fillId="4" borderId="2" xfId="5" applyFill="1" applyProtection="1">
      <alignment horizontal="center" vertical="top"/>
    </xf>
    <xf numFmtId="0" fontId="1" fillId="3" borderId="1" xfId="8" applyProtection="1">
      <alignment horizontal="center" wrapText="1"/>
    </xf>
    <xf numFmtId="0" fontId="1" fillId="7" borderId="1" xfId="13">
      <alignment horizontal="center" wrapText="1"/>
    </xf>
    <xf numFmtId="0" fontId="5" fillId="6" borderId="1" xfId="1" applyProtection="1">
      <alignment horizontal="center" wrapText="1"/>
    </xf>
    <xf numFmtId="0" fontId="1" fillId="4" borderId="1" xfId="9" applyProtection="1">
      <alignment horizontal="center" wrapText="1"/>
    </xf>
    <xf numFmtId="0" fontId="1" fillId="5" borderId="1" xfId="10" applyProtection="1">
      <alignment horizontal="center" wrapText="1"/>
    </xf>
    <xf numFmtId="0" fontId="1" fillId="10" borderId="1" xfId="12" applyProtection="1">
      <alignment horizontal="center" wrapText="1"/>
    </xf>
    <xf numFmtId="0" fontId="1" fillId="8" borderId="0" xfId="17" applyProtection="1">
      <alignment horizontal="center" vertical="center"/>
    </xf>
    <xf numFmtId="0" fontId="0" fillId="0" borderId="0" xfId="14" applyFont="1" applyBorder="1">
      <alignment horizontal="center" vertical="center"/>
    </xf>
    <xf numFmtId="164" fontId="2" fillId="10" borderId="2" xfId="5" applyFill="1" applyProtection="1">
      <alignment horizontal="center" vertical="top"/>
    </xf>
    <xf numFmtId="0" fontId="4" fillId="2" borderId="0" xfId="2" applyAlignment="1" applyProtection="1">
      <alignment horizontal="left" vertical="center" wrapText="1"/>
    </xf>
    <xf numFmtId="0" fontId="4" fillId="2" borderId="3" xfId="2" applyBorder="1" applyAlignment="1" applyProtection="1">
      <alignment horizontal="left" vertical="center" wrapText="1"/>
    </xf>
    <xf numFmtId="0" fontId="1" fillId="8" borderId="0" xfId="17" applyAlignment="1" applyProtection="1">
      <alignment vertical="center"/>
    </xf>
    <xf numFmtId="0" fontId="1" fillId="2" borderId="0" xfId="11" applyAlignment="1" applyProtection="1">
      <alignment horizontal="right" vertical="center" indent="16"/>
    </xf>
    <xf numFmtId="2" fontId="0" fillId="0" borderId="0" xfId="0" applyNumberFormat="1" applyFont="1" applyFill="1" applyBorder="1" applyAlignment="1" applyProtection="1">
      <alignment horizontal="center" vertical="center"/>
    </xf>
    <xf numFmtId="0" fontId="0" fillId="0" borderId="0" xfId="14" applyFont="1">
      <alignment horizontal="center" vertical="center"/>
    </xf>
    <xf numFmtId="164" fontId="0" fillId="0" borderId="0" xfId="6" applyFont="1" applyProtection="1">
      <alignment horizontal="right" vertical="center" indent="3"/>
    </xf>
    <xf numFmtId="164" fontId="0" fillId="0" borderId="0" xfId="0" applyNumberFormat="1" applyProtection="1">
      <alignment horizontal="left" vertical="center" wrapText="1"/>
    </xf>
    <xf numFmtId="164" fontId="0" fillId="0" borderId="0" xfId="6" applyFont="1" applyFill="1" applyProtection="1">
      <alignment horizontal="right" vertical="center" indent="3"/>
    </xf>
  </cellXfs>
  <cellStyles count="20">
    <cellStyle name="Accent1" xfId="17" builtinId="29" customBuiltin="1"/>
    <cellStyle name="Calculation" xfId="19" builtinId="22" customBuiltin="1"/>
    <cellStyle name="Category" xfId="13" xr:uid="{00000000-0005-0000-0000-000002000000}"/>
    <cellStyle name="Center Alignment" xfId="14" xr:uid="{00000000-0005-0000-0000-000003000000}"/>
    <cellStyle name="Comma" xfId="3" builtinId="3" customBuiltin="1"/>
    <cellStyle name="Comma [0]" xfId="4" builtinId="6" customBuiltin="1"/>
    <cellStyle name="Currency" xfId="5" builtinId="4" customBuiltin="1"/>
    <cellStyle name="Currency [0]" xfId="6" builtinId="7" customBuiltin="1"/>
    <cellStyle name="Followed Hyperlink" xfId="16" builtinId="9" customBuiltin="1"/>
    <cellStyle name="Heading 1" xfId="1" builtinId="16" customBuiltin="1"/>
    <cellStyle name="Heading 2" xfId="8" builtinId="17" customBuiltin="1"/>
    <cellStyle name="Heading 3" xfId="9" builtinId="18" customBuiltin="1"/>
    <cellStyle name="Heading 4" xfId="10" builtinId="19" customBuiltin="1"/>
    <cellStyle name="Hyperlink" xfId="15" builtinId="8" customBuiltin="1"/>
    <cellStyle name="Normal" xfId="0" builtinId="0" customBuiltin="1"/>
    <cellStyle name="Note" xfId="11" builtinId="10" customBuiltin="1"/>
    <cellStyle name="Output" xfId="18" builtinId="21" customBuiltin="1"/>
    <cellStyle name="Percent" xfId="7" builtinId="5" customBuiltin="1"/>
    <cellStyle name="Title" xfId="2" builtinId="15" customBuiltin="1"/>
    <cellStyle name="Total" xfId="12" builtinId="25" customBuiltin="1"/>
  </cellStyles>
  <dxfs count="14">
    <dxf>
      <border>
        <right/>
        <bottom style="thin">
          <color theme="0"/>
        </bottom>
        <vertical/>
        <horizontal/>
      </border>
    </dxf>
    <dxf>
      <font>
        <color rgb="FFFF0000"/>
      </font>
      <fill>
        <patternFill>
          <bgColor theme="2"/>
        </patternFill>
      </fill>
    </dxf>
    <dxf>
      <font>
        <b/>
        <i val="0"/>
        <strike/>
        <color theme="4" tint="0.39994506668294322"/>
      </font>
    </dxf>
    <dxf>
      <font>
        <b/>
        <i val="0"/>
        <strike/>
        <color theme="4" tint="0.39994506668294322"/>
      </font>
    </dxf>
    <dxf>
      <numFmt numFmtId="164" formatCode="&quot;$&quot;#,##0.00"/>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font>
        <b/>
        <i val="0"/>
        <color theme="4" tint="-0.24994659260841701"/>
      </font>
      <fill>
        <patternFill>
          <bgColor theme="2"/>
        </patternFill>
      </fill>
      <border>
        <top style="medium">
          <color theme="4"/>
        </top>
        <bottom style="medium">
          <color theme="4"/>
        </bottom>
      </border>
    </dxf>
    <dxf>
      <font>
        <b val="0"/>
        <i val="0"/>
        <color theme="4" tint="-0.24994659260841701"/>
      </font>
      <fill>
        <patternFill>
          <bgColor theme="2"/>
        </patternFill>
      </fill>
    </dxf>
  </dxfs>
  <tableStyles count="1" defaultTableStyle="Grocery List" defaultPivotStyle="PivotStyleLight8">
    <tableStyle name="Grocery List" pivot="0" count="2" xr9:uid="{00000000-0011-0000-FFFF-FFFF00000000}">
      <tableStyleElement type="wholeTable" dxfId="13"/>
      <tableStyleElement type="headerRow" dxfId="1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GroceryList" displayName="GroceryList" ref="B5:H30" headerRowDxfId="11" dataDxfId="10" totalsRowDxfId="9">
  <autoFilter ref="B5:H30" xr:uid="{00000000-0009-0000-0100-000001000000}"/>
  <tableColumns count="7">
    <tableColumn id="1" xr3:uid="{00000000-0010-0000-0000-000001000000}" name="DONE?" totalsRowLabel="Total" dataCellStyle="Center Alignment"/>
    <tableColumn id="2" xr3:uid="{00000000-0010-0000-0000-000002000000}" name="ITEM" dataDxfId="8" dataCellStyle="Normal"/>
    <tableColumn id="3" xr3:uid="{00000000-0010-0000-0000-000003000000}" name="STORE" dataDxfId="7" dataCellStyle="Normal"/>
    <tableColumn id="4" xr3:uid="{00000000-0010-0000-0000-000004000000}" name="QTY" dataCellStyle="Center Alignment"/>
    <tableColumn id="5" xr3:uid="{00000000-0010-0000-0000-000005000000}" name="EST PRICE" dataDxfId="6" dataCellStyle="Currency [0]"/>
    <tableColumn id="6" xr3:uid="{00000000-0010-0000-0000-000006000000}" name="TOTAL" dataDxfId="4" dataCellStyle="Currency [0]">
      <calculatedColumnFormula>GroceryList[[#This Row],[QTY]]*GroceryList[[#This Row],[EST PRICE]]</calculatedColumnFormula>
    </tableColumn>
    <tableColumn id="7" xr3:uid="{00000000-0010-0000-0000-000007000000}" name="NOTE" totalsRowFunction="count" dataDxfId="5" dataCellStyle="Normal"/>
  </tableColumns>
  <tableStyleInfo name="Grocery List" showFirstColumn="0" showLastColumn="0" showRowStripes="1" showColumnStripes="0"/>
  <extLst>
    <ext xmlns:x14="http://schemas.microsoft.com/office/spreadsheetml/2009/9/main" uri="{504A1905-F514-4f6f-8877-14C23A59335A}">
      <x14:table altTextSummary="Enter grocery Item, Store name, Category, Quantity, Unit, Unit Price, and Notes in this table. Select Yes in the Done column when item has been bought"/>
    </ext>
  </extLst>
</table>
</file>

<file path=xl/theme/theme1.xml><?xml version="1.0" encoding="utf-8"?>
<a:theme xmlns:a="http://schemas.openxmlformats.org/drawingml/2006/main" name="Office Theme">
  <a:themeElements>
    <a:clrScheme name="Grocery List">
      <a:dk1>
        <a:sysClr val="windowText" lastClr="000000"/>
      </a:dk1>
      <a:lt1>
        <a:sysClr val="window" lastClr="FFFFFF"/>
      </a:lt1>
      <a:dk2>
        <a:srgbClr val="505050"/>
      </a:dk2>
      <a:lt2>
        <a:srgbClr val="F5F5F5"/>
      </a:lt2>
      <a:accent1>
        <a:srgbClr val="93855A"/>
      </a:accent1>
      <a:accent2>
        <a:srgbClr val="7FAC39"/>
      </a:accent2>
      <a:accent3>
        <a:srgbClr val="7954F2"/>
      </a:accent3>
      <a:accent4>
        <a:srgbClr val="0041D2"/>
      </a:accent4>
      <a:accent5>
        <a:srgbClr val="BF1A8D"/>
      </a:accent5>
      <a:accent6>
        <a:srgbClr val="287F71"/>
      </a:accent6>
      <a:hlink>
        <a:srgbClr val="0041D2"/>
      </a:hlink>
      <a:folHlink>
        <a:srgbClr val="BF1A8D"/>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5"/>
    <pageSetUpPr fitToPage="1"/>
  </sheetPr>
  <dimension ref="B1:J30"/>
  <sheetViews>
    <sheetView showGridLines="0" tabSelected="1" topLeftCell="B12" zoomScaleNormal="100" workbookViewId="0">
      <selection activeCell="I16" sqref="I16"/>
    </sheetView>
  </sheetViews>
  <sheetFormatPr baseColWidth="10" defaultColWidth="9.1640625" defaultRowHeight="30" customHeight="1" x14ac:dyDescent="0.2"/>
  <cols>
    <col min="1" max="1" width="2.6640625" style="14" customWidth="1"/>
    <col min="2" max="2" width="11.5" style="6" customWidth="1"/>
    <col min="3" max="3" width="22.6640625" style="6" customWidth="1"/>
    <col min="4" max="4" width="25.6640625" style="6" customWidth="1"/>
    <col min="5" max="7" width="21.5" style="6" customWidth="1"/>
    <col min="8" max="8" width="21.5" style="13" customWidth="1"/>
    <col min="9" max="9" width="21.5" style="6" customWidth="1"/>
    <col min="10" max="10" width="25.6640625" style="6" customWidth="1"/>
    <col min="11" max="11" width="2.6640625" style="14" customWidth="1"/>
    <col min="12" max="16384" width="9.1640625" style="14"/>
  </cols>
  <sheetData>
    <row r="1" spans="2:10" s="1" customFormat="1" ht="81" customHeight="1" thickBot="1" x14ac:dyDescent="0.25">
      <c r="B1" s="27"/>
      <c r="C1" s="27"/>
      <c r="D1" s="27"/>
      <c r="E1" s="27"/>
      <c r="F1" s="27"/>
      <c r="G1" s="27"/>
      <c r="H1" s="27"/>
      <c r="I1" s="27"/>
      <c r="J1" s="27"/>
    </row>
    <row r="2" spans="2:10" s="1" customFormat="1" ht="35" customHeight="1" thickTop="1" x14ac:dyDescent="0.2">
      <c r="B2" s="25" t="s">
        <v>0</v>
      </c>
      <c r="C2" s="26"/>
      <c r="D2" s="18" t="s">
        <v>1</v>
      </c>
      <c r="E2" s="16" t="s">
        <v>2</v>
      </c>
      <c r="F2" s="19" t="s">
        <v>3</v>
      </c>
      <c r="G2" s="20" t="s">
        <v>4</v>
      </c>
      <c r="H2" s="17" t="s">
        <v>5</v>
      </c>
      <c r="I2" s="21" t="s">
        <v>6</v>
      </c>
      <c r="J2" s="22"/>
    </row>
    <row r="3" spans="2:10" s="1" customFormat="1" ht="35" customHeight="1" thickBot="1" x14ac:dyDescent="0.25">
      <c r="B3" s="25"/>
      <c r="C3" s="26"/>
      <c r="D3" s="2">
        <f>IFERROR(SUMIF(GroceryList[STORE],Category1,GroceryList[TOTAL]), "")</f>
        <v>21</v>
      </c>
      <c r="E3" s="3">
        <f>IFERROR(SUMIF(GroceryList[STORE],Category2,GroceryList[TOTAL]), "")</f>
        <v>166</v>
      </c>
      <c r="F3" s="15">
        <f>IFERROR(SUMIF(GroceryList[STORE],Category3,GroceryList[TOTAL]), "")</f>
        <v>103</v>
      </c>
      <c r="G3" s="4">
        <f>IFERROR(SUMIF(GroceryList[STORE],Category4,GroceryList[TOTAL]), "")</f>
        <v>6</v>
      </c>
      <c r="H3" s="5">
        <f>IFERROR(SUMIF(GroceryList[STORE],Category5,GroceryList[TOTAL]), "")</f>
        <v>67.5</v>
      </c>
      <c r="I3" s="24">
        <f>SUM(GroceryList[TOTAL])</f>
        <v>363.5</v>
      </c>
      <c r="J3" s="22"/>
    </row>
    <row r="4" spans="2:10" s="1" customFormat="1" ht="21" customHeight="1" thickTop="1" x14ac:dyDescent="0.2">
      <c r="B4" s="28"/>
      <c r="C4" s="28"/>
      <c r="D4" s="28"/>
      <c r="E4" s="28"/>
      <c r="F4" s="28"/>
      <c r="G4" s="28"/>
      <c r="H4" s="28"/>
      <c r="I4" s="22" t="str">
        <f>IF(SUM(D3:H3)&lt;&gt;SUM(GroceryList[TOTAL]),"Out of Balance","")</f>
        <v/>
      </c>
      <c r="J4" s="22"/>
    </row>
    <row r="5" spans="2:10" s="1" customFormat="1" ht="30" customHeight="1" x14ac:dyDescent="0.2">
      <c r="B5" s="7" t="s">
        <v>7</v>
      </c>
      <c r="C5" s="8" t="s">
        <v>8</v>
      </c>
      <c r="D5" s="9" t="s">
        <v>9</v>
      </c>
      <c r="E5" s="29" t="s">
        <v>10</v>
      </c>
      <c r="F5" s="9" t="s">
        <v>13</v>
      </c>
      <c r="G5" s="10" t="s">
        <v>11</v>
      </c>
      <c r="H5" s="8" t="s">
        <v>12</v>
      </c>
    </row>
    <row r="6" spans="2:10" s="1" customFormat="1" ht="30" customHeight="1" x14ac:dyDescent="0.2">
      <c r="B6" s="23"/>
      <c r="C6" s="11" t="s">
        <v>14</v>
      </c>
      <c r="D6" s="11" t="s">
        <v>2</v>
      </c>
      <c r="E6" s="23">
        <v>2</v>
      </c>
      <c r="F6" s="12">
        <v>20</v>
      </c>
      <c r="G6" s="12">
        <f>GroceryList[[#This Row],[QTY]]*GroceryList[[#This Row],[EST PRICE]]</f>
        <v>40</v>
      </c>
      <c r="H6" s="11"/>
    </row>
    <row r="7" spans="2:10" s="1" customFormat="1" ht="30" customHeight="1" x14ac:dyDescent="0.2">
      <c r="B7" s="23"/>
      <c r="C7" s="11" t="s">
        <v>15</v>
      </c>
      <c r="D7" s="11" t="s">
        <v>2</v>
      </c>
      <c r="E7" s="23">
        <v>1</v>
      </c>
      <c r="F7" s="12">
        <v>10</v>
      </c>
      <c r="G7" s="12">
        <f>GroceryList[[#This Row],[QTY]]*GroceryList[[#This Row],[EST PRICE]]</f>
        <v>10</v>
      </c>
      <c r="H7" s="11"/>
    </row>
    <row r="8" spans="2:10" s="1" customFormat="1" ht="30" customHeight="1" x14ac:dyDescent="0.2">
      <c r="B8" s="23"/>
      <c r="C8" s="11" t="s">
        <v>25</v>
      </c>
      <c r="D8" s="11" t="s">
        <v>3</v>
      </c>
      <c r="E8" s="23">
        <v>5</v>
      </c>
      <c r="F8" s="12">
        <v>5</v>
      </c>
      <c r="G8" s="12">
        <f>GroceryList[[#This Row],[QTY]]*GroceryList[[#This Row],[EST PRICE]]</f>
        <v>25</v>
      </c>
      <c r="H8" s="11"/>
    </row>
    <row r="9" spans="2:10" s="1" customFormat="1" ht="30" customHeight="1" x14ac:dyDescent="0.2">
      <c r="B9" s="23"/>
      <c r="C9" s="11" t="s">
        <v>26</v>
      </c>
      <c r="D9" s="11" t="s">
        <v>3</v>
      </c>
      <c r="E9" s="23">
        <v>2</v>
      </c>
      <c r="F9" s="12">
        <v>9</v>
      </c>
      <c r="G9" s="12">
        <f>GroceryList[[#This Row],[QTY]]*GroceryList[[#This Row],[EST PRICE]]</f>
        <v>18</v>
      </c>
      <c r="H9" s="11"/>
    </row>
    <row r="10" spans="2:10" s="1" customFormat="1" ht="30" customHeight="1" x14ac:dyDescent="0.2">
      <c r="B10" s="23"/>
      <c r="C10" s="11" t="s">
        <v>27</v>
      </c>
      <c r="D10" s="11" t="s">
        <v>3</v>
      </c>
      <c r="E10" s="23">
        <v>2</v>
      </c>
      <c r="F10" s="33">
        <v>10</v>
      </c>
      <c r="G10" s="12">
        <f>GroceryList[[#This Row],[QTY]]*GroceryList[[#This Row],[EST PRICE]]</f>
        <v>20</v>
      </c>
      <c r="H10" s="11"/>
    </row>
    <row r="11" spans="2:10" s="1" customFormat="1" ht="30" customHeight="1" x14ac:dyDescent="0.2">
      <c r="B11" s="23"/>
      <c r="C11" s="11" t="s">
        <v>16</v>
      </c>
      <c r="D11" s="11" t="s">
        <v>2</v>
      </c>
      <c r="E11" s="23">
        <v>2</v>
      </c>
      <c r="F11" s="12">
        <v>8</v>
      </c>
      <c r="G11" s="12">
        <f>GroceryList[[#This Row],[QTY]]*GroceryList[[#This Row],[EST PRICE]]</f>
        <v>16</v>
      </c>
      <c r="H11" s="11"/>
    </row>
    <row r="12" spans="2:10" s="1" customFormat="1" ht="30" customHeight="1" x14ac:dyDescent="0.2">
      <c r="B12" s="23"/>
      <c r="C12" s="11" t="s">
        <v>17</v>
      </c>
      <c r="D12" s="11" t="s">
        <v>2</v>
      </c>
      <c r="E12" s="23">
        <v>4</v>
      </c>
      <c r="F12" s="12">
        <v>5</v>
      </c>
      <c r="G12" s="12">
        <f>GroceryList[[#This Row],[QTY]]*GroceryList[[#This Row],[EST PRICE]]</f>
        <v>20</v>
      </c>
      <c r="H12" s="11"/>
    </row>
    <row r="13" spans="2:10" s="1" customFormat="1" ht="30" customHeight="1" x14ac:dyDescent="0.2">
      <c r="B13" s="23"/>
      <c r="C13" s="11" t="s">
        <v>18</v>
      </c>
      <c r="D13" s="11" t="s">
        <v>2</v>
      </c>
      <c r="E13" s="23">
        <v>1</v>
      </c>
      <c r="F13" s="12">
        <v>6</v>
      </c>
      <c r="G13" s="12">
        <f>GroceryList[[#This Row],[QTY]]*GroceryList[[#This Row],[EST PRICE]]</f>
        <v>6</v>
      </c>
      <c r="H13" s="11"/>
    </row>
    <row r="14" spans="2:10" s="1" customFormat="1" ht="30" customHeight="1" x14ac:dyDescent="0.2">
      <c r="B14" s="23"/>
      <c r="C14" s="11" t="s">
        <v>19</v>
      </c>
      <c r="D14" s="11" t="s">
        <v>2</v>
      </c>
      <c r="E14" s="23">
        <v>1</v>
      </c>
      <c r="F14" s="12">
        <v>4</v>
      </c>
      <c r="G14" s="12">
        <f>GroceryList[[#This Row],[QTY]]*GroceryList[[#This Row],[EST PRICE]]</f>
        <v>4</v>
      </c>
      <c r="H14" s="11"/>
    </row>
    <row r="15" spans="2:10" s="1" customFormat="1" ht="30" customHeight="1" x14ac:dyDescent="0.2">
      <c r="B15" s="23"/>
      <c r="C15" s="11" t="s">
        <v>20</v>
      </c>
      <c r="D15" s="11" t="s">
        <v>2</v>
      </c>
      <c r="E15" s="23">
        <v>1</v>
      </c>
      <c r="F15" s="12">
        <v>12</v>
      </c>
      <c r="G15" s="12">
        <f>GroceryList[[#This Row],[QTY]]*GroceryList[[#This Row],[EST PRICE]]</f>
        <v>12</v>
      </c>
      <c r="H15" s="11"/>
    </row>
    <row r="16" spans="2:10" s="1" customFormat="1" ht="30" customHeight="1" x14ac:dyDescent="0.2">
      <c r="B16" s="23"/>
      <c r="C16" s="11" t="s">
        <v>21</v>
      </c>
      <c r="D16" s="11" t="s">
        <v>2</v>
      </c>
      <c r="E16" s="23">
        <v>1</v>
      </c>
      <c r="F16" s="12">
        <v>10</v>
      </c>
      <c r="G16" s="12">
        <f>GroceryList[[#This Row],[QTY]]*GroceryList[[#This Row],[EST PRICE]]</f>
        <v>10</v>
      </c>
      <c r="H16" s="11"/>
    </row>
    <row r="17" spans="2:8" s="1" customFormat="1" ht="30" customHeight="1" x14ac:dyDescent="0.2">
      <c r="B17" s="23"/>
      <c r="C17" s="11" t="s">
        <v>22</v>
      </c>
      <c r="D17" s="11" t="s">
        <v>2</v>
      </c>
      <c r="E17" s="23">
        <v>1</v>
      </c>
      <c r="F17" s="12">
        <v>10</v>
      </c>
      <c r="G17" s="12">
        <f>GroceryList[[#This Row],[QTY]]*GroceryList[[#This Row],[EST PRICE]]</f>
        <v>10</v>
      </c>
      <c r="H17" s="11"/>
    </row>
    <row r="18" spans="2:8" s="1" customFormat="1" ht="30" customHeight="1" x14ac:dyDescent="0.2">
      <c r="B18" s="23"/>
      <c r="C18" s="11" t="s">
        <v>23</v>
      </c>
      <c r="D18" s="11" t="s">
        <v>4</v>
      </c>
      <c r="E18" s="23">
        <v>1</v>
      </c>
      <c r="F18" s="12">
        <v>6</v>
      </c>
      <c r="G18" s="12">
        <f>GroceryList[[#This Row],[QTY]]*GroceryList[[#This Row],[EST PRICE]]</f>
        <v>6</v>
      </c>
      <c r="H18" s="11"/>
    </row>
    <row r="19" spans="2:8" s="1" customFormat="1" ht="30" customHeight="1" x14ac:dyDescent="0.2">
      <c r="B19" s="23"/>
      <c r="C19" s="11" t="s">
        <v>24</v>
      </c>
      <c r="D19" s="11" t="s">
        <v>1</v>
      </c>
      <c r="E19" s="23">
        <v>1</v>
      </c>
      <c r="F19" s="12">
        <v>5</v>
      </c>
      <c r="G19" s="12">
        <f>GroceryList[[#This Row],[QTY]]*GroceryList[[#This Row],[EST PRICE]]</f>
        <v>5</v>
      </c>
      <c r="H19" s="11"/>
    </row>
    <row r="20" spans="2:8" s="1" customFormat="1" ht="30" customHeight="1" x14ac:dyDescent="0.2">
      <c r="B20" s="23"/>
      <c r="C20" s="11" t="s">
        <v>35</v>
      </c>
      <c r="D20" s="11" t="s">
        <v>2</v>
      </c>
      <c r="E20" s="23">
        <v>1</v>
      </c>
      <c r="F20" s="12">
        <v>10</v>
      </c>
      <c r="G20" s="12">
        <f>GroceryList[[#This Row],[QTY]]*GroceryList[[#This Row],[EST PRICE]]</f>
        <v>10</v>
      </c>
      <c r="H20" s="11"/>
    </row>
    <row r="21" spans="2:8" s="1" customFormat="1" ht="30" customHeight="1" x14ac:dyDescent="0.2">
      <c r="B21" s="23"/>
      <c r="C21" s="11" t="s">
        <v>28</v>
      </c>
      <c r="D21" s="11" t="s">
        <v>2</v>
      </c>
      <c r="E21" s="23">
        <v>1</v>
      </c>
      <c r="F21" s="12">
        <v>4</v>
      </c>
      <c r="G21" s="12">
        <f>GroceryList[[#This Row],[QTY]]*GroceryList[[#This Row],[EST PRICE]]</f>
        <v>4</v>
      </c>
      <c r="H21" s="11"/>
    </row>
    <row r="22" spans="2:8" s="1" customFormat="1" ht="30" customHeight="1" x14ac:dyDescent="0.2">
      <c r="B22" s="23"/>
      <c r="C22" s="11" t="s">
        <v>36</v>
      </c>
      <c r="D22" s="11" t="s">
        <v>2</v>
      </c>
      <c r="E22" s="23">
        <v>4</v>
      </c>
      <c r="F22" s="12">
        <v>6</v>
      </c>
      <c r="G22" s="12">
        <f>GroceryList[[#This Row],[QTY]]*GroceryList[[#This Row],[EST PRICE]]</f>
        <v>24</v>
      </c>
      <c r="H22" s="11"/>
    </row>
    <row r="23" spans="2:8" ht="30" customHeight="1" x14ac:dyDescent="0.2">
      <c r="B23" s="23"/>
      <c r="C23" s="11" t="s">
        <v>29</v>
      </c>
      <c r="D23" s="11" t="s">
        <v>3</v>
      </c>
      <c r="E23" s="23">
        <v>1</v>
      </c>
      <c r="F23" s="12">
        <v>15</v>
      </c>
      <c r="G23" s="12">
        <f>GroceryList[[#This Row],[QTY]]*GroceryList[[#This Row],[EST PRICE]]</f>
        <v>15</v>
      </c>
      <c r="H23" s="11"/>
    </row>
    <row r="24" spans="2:8" ht="30" customHeight="1" x14ac:dyDescent="0.2">
      <c r="B24" s="23"/>
      <c r="C24" s="11" t="s">
        <v>37</v>
      </c>
      <c r="D24" s="11" t="s">
        <v>3</v>
      </c>
      <c r="E24" s="23">
        <v>5</v>
      </c>
      <c r="F24" s="12">
        <v>5</v>
      </c>
      <c r="G24" s="12">
        <f>GroceryList[[#This Row],[QTY]]*GroceryList[[#This Row],[EST PRICE]]</f>
        <v>25</v>
      </c>
      <c r="H24" s="11"/>
    </row>
    <row r="25" spans="2:8" ht="30" customHeight="1" x14ac:dyDescent="0.2">
      <c r="B25" s="23"/>
      <c r="C25" s="11" t="s">
        <v>30</v>
      </c>
      <c r="D25" s="11" t="s">
        <v>5</v>
      </c>
      <c r="E25" s="23">
        <v>2</v>
      </c>
      <c r="F25" s="12">
        <v>5</v>
      </c>
      <c r="G25" s="12">
        <f>GroceryList[[#This Row],[QTY]]*GroceryList[[#This Row],[EST PRICE]]</f>
        <v>10</v>
      </c>
      <c r="H25" s="11"/>
    </row>
    <row r="26" spans="2:8" ht="30" customHeight="1" x14ac:dyDescent="0.2">
      <c r="B26" s="23"/>
      <c r="C26" s="11" t="s">
        <v>31</v>
      </c>
      <c r="D26" s="11" t="s">
        <v>5</v>
      </c>
      <c r="E26" s="23">
        <v>1</v>
      </c>
      <c r="F26" s="12">
        <v>1.5</v>
      </c>
      <c r="G26" s="12">
        <f>GroceryList[[#This Row],[QTY]]*GroceryList[[#This Row],[EST PRICE]]</f>
        <v>1.5</v>
      </c>
      <c r="H26" s="11"/>
    </row>
    <row r="27" spans="2:8" ht="30" customHeight="1" x14ac:dyDescent="0.2">
      <c r="B27" s="30"/>
      <c r="C27" s="14" t="s">
        <v>33</v>
      </c>
      <c r="D27" s="14" t="s">
        <v>5</v>
      </c>
      <c r="E27" s="30">
        <v>1</v>
      </c>
      <c r="F27" s="31">
        <v>52</v>
      </c>
      <c r="G27" s="31">
        <f>GroceryList[[#This Row],[QTY]]*GroceryList[[#This Row],[EST PRICE]]</f>
        <v>52</v>
      </c>
      <c r="H27" s="32"/>
    </row>
    <row r="28" spans="2:8" ht="30" customHeight="1" x14ac:dyDescent="0.2">
      <c r="B28" s="30"/>
      <c r="C28" s="14" t="s">
        <v>32</v>
      </c>
      <c r="D28" s="14" t="s">
        <v>1</v>
      </c>
      <c r="E28" s="30">
        <v>2</v>
      </c>
      <c r="F28" s="31">
        <v>8</v>
      </c>
      <c r="G28" s="31">
        <f>GroceryList[[#This Row],[QTY]]*GroceryList[[#This Row],[EST PRICE]]</f>
        <v>16</v>
      </c>
      <c r="H28" s="32"/>
    </row>
    <row r="29" spans="2:8" ht="30" customHeight="1" x14ac:dyDescent="0.2">
      <c r="B29" s="30"/>
      <c r="C29" s="14" t="s">
        <v>34</v>
      </c>
      <c r="D29" s="14" t="s">
        <v>5</v>
      </c>
      <c r="E29" s="30">
        <v>1</v>
      </c>
      <c r="F29" s="31">
        <v>4</v>
      </c>
      <c r="G29" s="31">
        <f>GroceryList[[#This Row],[QTY]]*GroceryList[[#This Row],[EST PRICE]]</f>
        <v>4</v>
      </c>
      <c r="H29" s="32"/>
    </row>
    <row r="30" spans="2:8" ht="30" customHeight="1" x14ac:dyDescent="0.2">
      <c r="B30" s="30"/>
      <c r="C30" s="14"/>
      <c r="D30" s="14"/>
      <c r="E30" s="30"/>
      <c r="F30" s="31"/>
      <c r="G30" s="31">
        <f>GroceryList[[#This Row],[QTY]]*GroceryList[[#This Row],[EST PRICE]]</f>
        <v>0</v>
      </c>
      <c r="H30" s="32"/>
    </row>
  </sheetData>
  <mergeCells count="3">
    <mergeCell ref="B2:C3"/>
    <mergeCell ref="B1:J1"/>
    <mergeCell ref="B4:H4"/>
  </mergeCells>
  <conditionalFormatting sqref="B6:H9 B10:E11 G10:H11 B12:H30">
    <cfRule type="expression" dxfId="3" priority="1">
      <formula>$B6="yes"</formula>
    </cfRule>
  </conditionalFormatting>
  <conditionalFormatting sqref="F11">
    <cfRule type="expression" dxfId="2" priority="13">
      <formula>$B10="yes"</formula>
    </cfRule>
  </conditionalFormatting>
  <conditionalFormatting sqref="I2:I4">
    <cfRule type="expression" dxfId="1" priority="16">
      <formula>SUM($D$3:$H$3)&lt;&gt;SUM($G$6:$G$30)</formula>
    </cfRule>
  </conditionalFormatting>
  <conditionalFormatting sqref="I4">
    <cfRule type="expression" dxfId="0" priority="17">
      <formula>SUM($D$3:$H$3)&lt;&gt;SUM($G$6:$G$30)</formula>
    </cfRule>
  </conditionalFormatting>
  <dataValidations xWindow="58" yWindow="320" count="17">
    <dataValidation allowBlank="1" showInputMessage="1" showErrorMessage="1" prompt="Create a grocery list in this Grocery List worksheet. Use the Done column to indicate when items have been bought" sqref="A1" xr:uid="{00000000-0002-0000-0000-000002000000}"/>
    <dataValidation allowBlank="1" showInputMessage="1" showErrorMessage="1" prompt="Image is in this row" sqref="B1" xr:uid="{00000000-0002-0000-0000-000003000000}"/>
    <dataValidation allowBlank="1" showInputMessage="1" showErrorMessage="1" prompt="Grand Total is automatically calculated in this cell. If the Grand Total does not match the table total, text will appear below indicating &quot;out of balance&quot;" sqref="I3" xr:uid="{00000000-0002-0000-0000-000004000000}"/>
    <dataValidation allowBlank="1" showInputMessage="1" showErrorMessage="1" prompt="Text will automatically appear if table total is not equal to Grand Total. This happens when category name in row 2 changes but category in table column E refers to the old name" sqref="I4" xr:uid="{00000000-0002-0000-0000-000005000000}"/>
    <dataValidation allowBlank="1" showInputMessage="1" showErrorMessage="1" prompt="Select Yes in this column for items bought, font style becomes strikethrough. Press ALT+DOWN ARROW to open dropdown list; ENTER for selection. Heading filters find specific entries" sqref="B5" xr:uid="{00000000-0002-0000-0000-000006000000}"/>
    <dataValidation allowBlank="1" showInputMessage="1" showErrorMessage="1" prompt="Enter Item in this column under this heading" sqref="C5" xr:uid="{00000000-0002-0000-0000-000007000000}"/>
    <dataValidation allowBlank="1" showInputMessage="1" showErrorMessage="1" prompt="Select Category in this column under this heading. Press ALT+DOWN ARROW to open dropdown list; ENTER for selection. Category names are populated based on the values defined above" sqref="D5" xr:uid="{00000000-0002-0000-0000-000009000000}"/>
    <dataValidation allowBlank="1" showInputMessage="1" showErrorMessage="1" prompt="Enter Quantity in this column under this heading" sqref="E5" xr:uid="{00000000-0002-0000-0000-00000A000000}"/>
    <dataValidation allowBlank="1" showInputMessage="1" showErrorMessage="1" prompt="Enter Unit Price in this column under this heading" sqref="F5" xr:uid="{00000000-0002-0000-0000-00000C000000}"/>
    <dataValidation allowBlank="1" showInputMessage="1" showErrorMessage="1" prompt="Total is automatically calculated in this column under this heading" sqref="G5" xr:uid="{00000000-0002-0000-0000-00000D000000}"/>
    <dataValidation allowBlank="1" showInputMessage="1" showErrorMessage="1" prompt="Enter Notes in this column under this heading" sqref="H5" xr:uid="{00000000-0002-0000-0000-00000E000000}"/>
    <dataValidation allowBlank="1" showInputMessage="1" showErrorMessage="1" prompt="Enter category in this cell" sqref="D2:H2" xr:uid="{00000000-0002-0000-0000-00000F000000}"/>
    <dataValidation allowBlank="1" showInputMessage="1" showErrorMessage="1" prompt="Grand Total is automatically calculated in cell below" sqref="I2" xr:uid="{00000000-0002-0000-0000-000010000000}"/>
    <dataValidation allowBlank="1" showInputMessage="1" showErrorMessage="1" prompt="Total amount for the above category is automatically updated in this cell" sqref="D3:H3" xr:uid="{00000000-0002-0000-0000-000011000000}"/>
    <dataValidation allowBlank="1" showInputMessage="1" showErrorMessage="1" prompt="Title of this worksheet is in this cell. Customize categories in cells at right. Totals for each category will automatically update as items are added to Grocery List table below" sqref="B2:C3" xr:uid="{00000000-0002-0000-0000-000012000000}"/>
    <dataValidation type="list" errorStyle="warning" allowBlank="1" showInputMessage="1" showErrorMessage="1" error="Select Yes from list for items bought. Select CANCEL, then press ALT+DOWN ARROW to open the drop-down list, then ENTER to make selection" sqref="B6:B30" xr:uid="{00000000-0002-0000-0000-000000000000}">
      <formula1>"Yes"</formula1>
    </dataValidation>
    <dataValidation type="list" errorStyle="warning" allowBlank="1" showInputMessage="1" showErrorMessage="1" error="Select Category from the list. Select CANCEL, then press ALT+DOWN ARROW to open the drop-down list, then ENTER to make selection" sqref="D6:D30" xr:uid="{00000000-0002-0000-0000-000001000000}">
      <formula1>CategoryLookup</formula1>
    </dataValidation>
  </dataValidations>
  <printOptions horizontalCentered="1"/>
  <pageMargins left="0.3" right="0.3" top="0.5" bottom="0.5" header="0.3" footer="0.3"/>
  <pageSetup scale="50" fitToHeight="0" orientation="portrait" r:id="rId1"/>
  <headerFooter differentFirst="1">
    <oddFooter>Page &amp;P of &amp;N</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14</vt:i4>
      </vt:variant>
    </vt:vector>
  </HeadingPairs>
  <TitlesOfParts>
    <vt:vector size="15" baseType="lpstr">
      <vt:lpstr>Grocery List</vt:lpstr>
      <vt:lpstr>Category1</vt:lpstr>
      <vt:lpstr>Category1Total</vt:lpstr>
      <vt:lpstr>Category2</vt:lpstr>
      <vt:lpstr>Category2Total</vt:lpstr>
      <vt:lpstr>Category3</vt:lpstr>
      <vt:lpstr>Category3Total</vt:lpstr>
      <vt:lpstr>Category4</vt:lpstr>
      <vt:lpstr>Category4Total</vt:lpstr>
      <vt:lpstr>Category5</vt:lpstr>
      <vt:lpstr>Category5Total</vt:lpstr>
      <vt:lpstr>CategoryLookup</vt:lpstr>
      <vt:lpstr>ColumnTitle1</vt:lpstr>
      <vt:lpstr>ColumnTitleRegion1..J3.1</vt:lpstr>
      <vt:lpstr>'Grocery List'!Print_Titles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Bryan Blair</cp:lastModifiedBy>
  <cp:revision/>
  <dcterms:created xsi:type="dcterms:W3CDTF">2020-11-30T04:08:08Z</dcterms:created>
  <dcterms:modified xsi:type="dcterms:W3CDTF">2020-11-30T16:46:44Z</dcterms:modified>
  <cp:category/>
  <cp:contentStatus/>
</cp:coreProperties>
</file>